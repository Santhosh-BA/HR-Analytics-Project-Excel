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13_ncr:1_{D359096E-D7C0-40BF-815D-450A6B98DBEA}" xr6:coauthVersionLast="47" xr6:coauthVersionMax="47" xr10:uidLastSave="{00000000-0000-0000-0000-000000000000}"/>
  <bookViews>
    <workbookView xWindow="-108" yWindow="-108" windowWidth="23256" windowHeight="12456" xr2:uid="{00000000-000D-0000-FFFF-FFFF00000000}"/>
  </bookViews>
  <sheets>
    <sheet name="Dashboard" sheetId="9" r:id="rId1"/>
    <sheet name="Employee_Data" sheetId="1" r:id="rId2"/>
    <sheet name="working_data" sheetId="5" r:id="rId3"/>
    <sheet name="Pivot_Table" sheetId="6" r:id="rId4"/>
    <sheet name="Questions " sheetId="4" r:id="rId5"/>
  </sheets>
  <definedNames>
    <definedName name="_xlnm._FilterDatabase" localSheetId="2" hidden="1">working_data!$A$1:$O$1001</definedName>
    <definedName name="Slicer_Attrition">#N/A</definedName>
    <definedName name="Slicer_Department">#N/A</definedName>
    <definedName name="Slicer_Education">#N/A</definedName>
    <definedName name="Slicer_Gender">#N/A</definedName>
    <definedName name="Slicer_Overtim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5" i="5" l="1"/>
  <c r="AA17" i="5"/>
  <c r="AA14" i="5"/>
  <c r="AA11" i="5"/>
  <c r="T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T790" i="5"/>
  <c r="T791" i="5"/>
  <c r="T792" i="5"/>
  <c r="T793" i="5"/>
  <c r="T794" i="5"/>
  <c r="T795" i="5"/>
  <c r="T796" i="5"/>
  <c r="T797" i="5"/>
  <c r="T798" i="5"/>
  <c r="T799" i="5"/>
  <c r="T800" i="5"/>
  <c r="T801" i="5"/>
  <c r="T802" i="5"/>
  <c r="T803" i="5"/>
  <c r="T804" i="5"/>
  <c r="T805" i="5"/>
  <c r="T806" i="5"/>
  <c r="T807" i="5"/>
  <c r="T808" i="5"/>
  <c r="T809" i="5"/>
  <c r="T810" i="5"/>
  <c r="T811" i="5"/>
  <c r="T812" i="5"/>
  <c r="T813" i="5"/>
  <c r="T814" i="5"/>
  <c r="T815" i="5"/>
  <c r="T816" i="5"/>
  <c r="T817" i="5"/>
  <c r="T818" i="5"/>
  <c r="T819" i="5"/>
  <c r="T820" i="5"/>
  <c r="T821" i="5"/>
  <c r="T822" i="5"/>
  <c r="T823" i="5"/>
  <c r="T824" i="5"/>
  <c r="T825" i="5"/>
  <c r="T826" i="5"/>
  <c r="T827" i="5"/>
  <c r="T828" i="5"/>
  <c r="T829" i="5"/>
  <c r="T830" i="5"/>
  <c r="T831" i="5"/>
  <c r="T832" i="5"/>
  <c r="T833" i="5"/>
  <c r="T834" i="5"/>
  <c r="T835" i="5"/>
  <c r="T836" i="5"/>
  <c r="T837" i="5"/>
  <c r="T838" i="5"/>
  <c r="T839" i="5"/>
  <c r="T840" i="5"/>
  <c r="T841" i="5"/>
  <c r="T842" i="5"/>
  <c r="T843" i="5"/>
  <c r="T844" i="5"/>
  <c r="T845" i="5"/>
  <c r="T846" i="5"/>
  <c r="T847" i="5"/>
  <c r="T848" i="5"/>
  <c r="T849" i="5"/>
  <c r="T850" i="5"/>
  <c r="T851" i="5"/>
  <c r="T852" i="5"/>
  <c r="T853" i="5"/>
  <c r="T854" i="5"/>
  <c r="T855" i="5"/>
  <c r="T856" i="5"/>
  <c r="T857" i="5"/>
  <c r="T858" i="5"/>
  <c r="T859" i="5"/>
  <c r="T860" i="5"/>
  <c r="T861" i="5"/>
  <c r="T862" i="5"/>
  <c r="T863" i="5"/>
  <c r="T864" i="5"/>
  <c r="T865" i="5"/>
  <c r="T866" i="5"/>
  <c r="T867" i="5"/>
  <c r="T868" i="5"/>
  <c r="T869" i="5"/>
  <c r="T870" i="5"/>
  <c r="T871" i="5"/>
  <c r="T872" i="5"/>
  <c r="T873" i="5"/>
  <c r="T874" i="5"/>
  <c r="T875" i="5"/>
  <c r="T876" i="5"/>
  <c r="T877" i="5"/>
  <c r="T878" i="5"/>
  <c r="T879" i="5"/>
  <c r="T880" i="5"/>
  <c r="T881" i="5"/>
  <c r="T882" i="5"/>
  <c r="T883" i="5"/>
  <c r="T884" i="5"/>
  <c r="T885" i="5"/>
  <c r="T886" i="5"/>
  <c r="T887" i="5"/>
  <c r="T888" i="5"/>
  <c r="T889" i="5"/>
  <c r="T890" i="5"/>
  <c r="T891" i="5"/>
  <c r="T892" i="5"/>
  <c r="T893" i="5"/>
  <c r="T894" i="5"/>
  <c r="T895" i="5"/>
  <c r="T896" i="5"/>
  <c r="T897" i="5"/>
  <c r="T898" i="5"/>
  <c r="T899" i="5"/>
  <c r="T900" i="5"/>
  <c r="T901" i="5"/>
  <c r="T902" i="5"/>
  <c r="T903" i="5"/>
  <c r="T904" i="5"/>
  <c r="T905" i="5"/>
  <c r="T906" i="5"/>
  <c r="T907" i="5"/>
  <c r="T908" i="5"/>
  <c r="T909" i="5"/>
  <c r="T910" i="5"/>
  <c r="T911" i="5"/>
  <c r="T912" i="5"/>
  <c r="T913" i="5"/>
  <c r="T914" i="5"/>
  <c r="T915" i="5"/>
  <c r="T916" i="5"/>
  <c r="T917" i="5"/>
  <c r="T918" i="5"/>
  <c r="T919" i="5"/>
  <c r="T920" i="5"/>
  <c r="T921" i="5"/>
  <c r="T922" i="5"/>
  <c r="T923" i="5"/>
  <c r="T924" i="5"/>
  <c r="T925" i="5"/>
  <c r="T926" i="5"/>
  <c r="T927" i="5"/>
  <c r="T928" i="5"/>
  <c r="T929" i="5"/>
  <c r="T930" i="5"/>
  <c r="T931" i="5"/>
  <c r="T932" i="5"/>
  <c r="T933" i="5"/>
  <c r="T934" i="5"/>
  <c r="T935" i="5"/>
  <c r="T936" i="5"/>
  <c r="T937" i="5"/>
  <c r="T938" i="5"/>
  <c r="T939" i="5"/>
  <c r="T940" i="5"/>
  <c r="T941" i="5"/>
  <c r="T942" i="5"/>
  <c r="T943" i="5"/>
  <c r="T944" i="5"/>
  <c r="T945" i="5"/>
  <c r="T946" i="5"/>
  <c r="T947" i="5"/>
  <c r="T948" i="5"/>
  <c r="T949" i="5"/>
  <c r="T950" i="5"/>
  <c r="T951" i="5"/>
  <c r="T952" i="5"/>
  <c r="T953" i="5"/>
  <c r="T954" i="5"/>
  <c r="T955" i="5"/>
  <c r="T956" i="5"/>
  <c r="T957" i="5"/>
  <c r="T958" i="5"/>
  <c r="T959" i="5"/>
  <c r="T960" i="5"/>
  <c r="T961" i="5"/>
  <c r="T962" i="5"/>
  <c r="T963" i="5"/>
  <c r="T964" i="5"/>
  <c r="T965" i="5"/>
  <c r="T966" i="5"/>
  <c r="T967" i="5"/>
  <c r="T968" i="5"/>
  <c r="T969" i="5"/>
  <c r="T970" i="5"/>
  <c r="T971" i="5"/>
  <c r="T972" i="5"/>
  <c r="T973" i="5"/>
  <c r="T974" i="5"/>
  <c r="T975" i="5"/>
  <c r="T976" i="5"/>
  <c r="T977" i="5"/>
  <c r="T978" i="5"/>
  <c r="T979" i="5"/>
  <c r="T980" i="5"/>
  <c r="T981" i="5"/>
  <c r="T982" i="5"/>
  <c r="T983" i="5"/>
  <c r="T984" i="5"/>
  <c r="T985" i="5"/>
  <c r="T986" i="5"/>
  <c r="T987" i="5"/>
  <c r="T988" i="5"/>
  <c r="T989" i="5"/>
  <c r="T990" i="5"/>
  <c r="T991" i="5"/>
  <c r="T992" i="5"/>
  <c r="T993" i="5"/>
  <c r="T994" i="5"/>
  <c r="T995" i="5"/>
  <c r="T996" i="5"/>
  <c r="T997" i="5"/>
  <c r="T998" i="5"/>
  <c r="T999" i="5"/>
  <c r="T1000" i="5"/>
  <c r="T1001" i="5"/>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Q256" i="5"/>
  <c r="Q257" i="5"/>
  <c r="Q258" i="5"/>
  <c r="Q259" i="5"/>
  <c r="Q260" i="5"/>
  <c r="Q261" i="5"/>
  <c r="Q262" i="5"/>
  <c r="Q263" i="5"/>
  <c r="Q264" i="5"/>
  <c r="Q265" i="5"/>
  <c r="Q266" i="5"/>
  <c r="Q267" i="5"/>
  <c r="Q268" i="5"/>
  <c r="Q269" i="5"/>
  <c r="Q270" i="5"/>
  <c r="Q271" i="5"/>
  <c r="Q272" i="5"/>
  <c r="Q273" i="5"/>
  <c r="Q274" i="5"/>
  <c r="Q275" i="5"/>
  <c r="Q276" i="5"/>
  <c r="Q277" i="5"/>
  <c r="Q278" i="5"/>
  <c r="Q279" i="5"/>
  <c r="Q280" i="5"/>
  <c r="Q281" i="5"/>
  <c r="Q282" i="5"/>
  <c r="Q283" i="5"/>
  <c r="Q284" i="5"/>
  <c r="Q285" i="5"/>
  <c r="Q286" i="5"/>
  <c r="Q287" i="5"/>
  <c r="Q288" i="5"/>
  <c r="Q289" i="5"/>
  <c r="Q290" i="5"/>
  <c r="Q291" i="5"/>
  <c r="Q292" i="5"/>
  <c r="Q293" i="5"/>
  <c r="Q294" i="5"/>
  <c r="Q295" i="5"/>
  <c r="Q296" i="5"/>
  <c r="Q297" i="5"/>
  <c r="Q298" i="5"/>
  <c r="Q299" i="5"/>
  <c r="Q300" i="5"/>
  <c r="Q301" i="5"/>
  <c r="Q302" i="5"/>
  <c r="Q303" i="5"/>
  <c r="Q304" i="5"/>
  <c r="Q305" i="5"/>
  <c r="Q306" i="5"/>
  <c r="Q307" i="5"/>
  <c r="Q308" i="5"/>
  <c r="Q309" i="5"/>
  <c r="Q310" i="5"/>
  <c r="Q311" i="5"/>
  <c r="Q312" i="5"/>
  <c r="Q313" i="5"/>
  <c r="Q314" i="5"/>
  <c r="Q315" i="5"/>
  <c r="Q316" i="5"/>
  <c r="Q317" i="5"/>
  <c r="Q318" i="5"/>
  <c r="Q319" i="5"/>
  <c r="Q320" i="5"/>
  <c r="Q321" i="5"/>
  <c r="Q322" i="5"/>
  <c r="Q323" i="5"/>
  <c r="Q324" i="5"/>
  <c r="Q325" i="5"/>
  <c r="Q326" i="5"/>
  <c r="Q327" i="5"/>
  <c r="Q328" i="5"/>
  <c r="Q329" i="5"/>
  <c r="Q330" i="5"/>
  <c r="Q331" i="5"/>
  <c r="Q332" i="5"/>
  <c r="Q333" i="5"/>
  <c r="Q334" i="5"/>
  <c r="Q335" i="5"/>
  <c r="Q336" i="5"/>
  <c r="Q337" i="5"/>
  <c r="Q338" i="5"/>
  <c r="Q339" i="5"/>
  <c r="Q340" i="5"/>
  <c r="Q341" i="5"/>
  <c r="Q342" i="5"/>
  <c r="Q343" i="5"/>
  <c r="Q344" i="5"/>
  <c r="Q345" i="5"/>
  <c r="Q346" i="5"/>
  <c r="Q347" i="5"/>
  <c r="Q348" i="5"/>
  <c r="Q349" i="5"/>
  <c r="Q350" i="5"/>
  <c r="Q351" i="5"/>
  <c r="Q352" i="5"/>
  <c r="Q353" i="5"/>
  <c r="Q354" i="5"/>
  <c r="Q355" i="5"/>
  <c r="Q356" i="5"/>
  <c r="Q357" i="5"/>
  <c r="Q358" i="5"/>
  <c r="Q359" i="5"/>
  <c r="Q360" i="5"/>
  <c r="Q361" i="5"/>
  <c r="Q362" i="5"/>
  <c r="Q363" i="5"/>
  <c r="Q364" i="5"/>
  <c r="Q365" i="5"/>
  <c r="Q366" i="5"/>
  <c r="Q367" i="5"/>
  <c r="Q368" i="5"/>
  <c r="Q369" i="5"/>
  <c r="Q370" i="5"/>
  <c r="Q371" i="5"/>
  <c r="Q372" i="5"/>
  <c r="Q373" i="5"/>
  <c r="Q374" i="5"/>
  <c r="Q375" i="5"/>
  <c r="Q376" i="5"/>
  <c r="Q377" i="5"/>
  <c r="Q378" i="5"/>
  <c r="Q379" i="5"/>
  <c r="Q380" i="5"/>
  <c r="Q381" i="5"/>
  <c r="Q382" i="5"/>
  <c r="Q383" i="5"/>
  <c r="Q384" i="5"/>
  <c r="Q385" i="5"/>
  <c r="Q386" i="5"/>
  <c r="Q387" i="5"/>
  <c r="Q388" i="5"/>
  <c r="Q389" i="5"/>
  <c r="Q390" i="5"/>
  <c r="Q391" i="5"/>
  <c r="Q392" i="5"/>
  <c r="Q393" i="5"/>
  <c r="Q394" i="5"/>
  <c r="Q395" i="5"/>
  <c r="Q396" i="5"/>
  <c r="Q397" i="5"/>
  <c r="Q398" i="5"/>
  <c r="Q399" i="5"/>
  <c r="Q400" i="5"/>
  <c r="Q401" i="5"/>
  <c r="Q402" i="5"/>
  <c r="Q403" i="5"/>
  <c r="Q404" i="5"/>
  <c r="Q405" i="5"/>
  <c r="Q406" i="5"/>
  <c r="Q407" i="5"/>
  <c r="Q408" i="5"/>
  <c r="Q409" i="5"/>
  <c r="Q410" i="5"/>
  <c r="Q411" i="5"/>
  <c r="Q412" i="5"/>
  <c r="Q413" i="5"/>
  <c r="Q414" i="5"/>
  <c r="Q415" i="5"/>
  <c r="Q416" i="5"/>
  <c r="Q417" i="5"/>
  <c r="Q418" i="5"/>
  <c r="Q419" i="5"/>
  <c r="Q420" i="5"/>
  <c r="Q421" i="5"/>
  <c r="Q422" i="5"/>
  <c r="Q423" i="5"/>
  <c r="Q424" i="5"/>
  <c r="Q425" i="5"/>
  <c r="Q426" i="5"/>
  <c r="Q427" i="5"/>
  <c r="Q428" i="5"/>
  <c r="Q429" i="5"/>
  <c r="Q430" i="5"/>
  <c r="Q431" i="5"/>
  <c r="Q432" i="5"/>
  <c r="Q433" i="5"/>
  <c r="Q434" i="5"/>
  <c r="Q435" i="5"/>
  <c r="Q436" i="5"/>
  <c r="Q437" i="5"/>
  <c r="Q438" i="5"/>
  <c r="Q439" i="5"/>
  <c r="Q440" i="5"/>
  <c r="Q441" i="5"/>
  <c r="Q442" i="5"/>
  <c r="Q443" i="5"/>
  <c r="Q444" i="5"/>
  <c r="Q445" i="5"/>
  <c r="Q446" i="5"/>
  <c r="Q447" i="5"/>
  <c r="Q448" i="5"/>
  <c r="Q449" i="5"/>
  <c r="Q450" i="5"/>
  <c r="Q451" i="5"/>
  <c r="Q452" i="5"/>
  <c r="Q453" i="5"/>
  <c r="Q454" i="5"/>
  <c r="Q455" i="5"/>
  <c r="Q456" i="5"/>
  <c r="Q457" i="5"/>
  <c r="Q458" i="5"/>
  <c r="Q459" i="5"/>
  <c r="Q460" i="5"/>
  <c r="Q461" i="5"/>
  <c r="Q462" i="5"/>
  <c r="Q463" i="5"/>
  <c r="Q464" i="5"/>
  <c r="Q465" i="5"/>
  <c r="Q466" i="5"/>
  <c r="Q467" i="5"/>
  <c r="Q468" i="5"/>
  <c r="Q469" i="5"/>
  <c r="Q470" i="5"/>
  <c r="Q471" i="5"/>
  <c r="Q472" i="5"/>
  <c r="Q473" i="5"/>
  <c r="Q474" i="5"/>
  <c r="Q475" i="5"/>
  <c r="Q476" i="5"/>
  <c r="Q477" i="5"/>
  <c r="Q478" i="5"/>
  <c r="Q479" i="5"/>
  <c r="Q480" i="5"/>
  <c r="Q481" i="5"/>
  <c r="Q482" i="5"/>
  <c r="Q483" i="5"/>
  <c r="Q484" i="5"/>
  <c r="Q485" i="5"/>
  <c r="Q486" i="5"/>
  <c r="Q487" i="5"/>
  <c r="Q488" i="5"/>
  <c r="Q489" i="5"/>
  <c r="Q490" i="5"/>
  <c r="Q491" i="5"/>
  <c r="Q492" i="5"/>
  <c r="Q493" i="5"/>
  <c r="Q494" i="5"/>
  <c r="Q495" i="5"/>
  <c r="Q496" i="5"/>
  <c r="Q497" i="5"/>
  <c r="Q498" i="5"/>
  <c r="Q499" i="5"/>
  <c r="Q500" i="5"/>
  <c r="Q501" i="5"/>
  <c r="Q502" i="5"/>
  <c r="Q503" i="5"/>
  <c r="Q504" i="5"/>
  <c r="Q505" i="5"/>
  <c r="Q506" i="5"/>
  <c r="Q507" i="5"/>
  <c r="Q508" i="5"/>
  <c r="Q509" i="5"/>
  <c r="Q510" i="5"/>
  <c r="Q511" i="5"/>
  <c r="Q512" i="5"/>
  <c r="Q513" i="5"/>
  <c r="Q514" i="5"/>
  <c r="Q515" i="5"/>
  <c r="Q516" i="5"/>
  <c r="Q517" i="5"/>
  <c r="Q518" i="5"/>
  <c r="Q519" i="5"/>
  <c r="Q520" i="5"/>
  <c r="Q521" i="5"/>
  <c r="Q522" i="5"/>
  <c r="Q523" i="5"/>
  <c r="Q524" i="5"/>
  <c r="Q525" i="5"/>
  <c r="Q526" i="5"/>
  <c r="Q527" i="5"/>
  <c r="Q528" i="5"/>
  <c r="Q529" i="5"/>
  <c r="Q530" i="5"/>
  <c r="Q531" i="5"/>
  <c r="Q532" i="5"/>
  <c r="Q533" i="5"/>
  <c r="Q534" i="5"/>
  <c r="Q535" i="5"/>
  <c r="Q536" i="5"/>
  <c r="Q537" i="5"/>
  <c r="Q538" i="5"/>
  <c r="Q539" i="5"/>
  <c r="Q540" i="5"/>
  <c r="Q541" i="5"/>
  <c r="Q542" i="5"/>
  <c r="Q543" i="5"/>
  <c r="Q544" i="5"/>
  <c r="Q545" i="5"/>
  <c r="Q546" i="5"/>
  <c r="Q547" i="5"/>
  <c r="Q548" i="5"/>
  <c r="Q549" i="5"/>
  <c r="Q550" i="5"/>
  <c r="Q551" i="5"/>
  <c r="Q552" i="5"/>
  <c r="Q553" i="5"/>
  <c r="Q554" i="5"/>
  <c r="Q555" i="5"/>
  <c r="Q556" i="5"/>
  <c r="Q557" i="5"/>
  <c r="Q558" i="5"/>
  <c r="Q559" i="5"/>
  <c r="Q560" i="5"/>
  <c r="Q561" i="5"/>
  <c r="Q562" i="5"/>
  <c r="Q563" i="5"/>
  <c r="Q564" i="5"/>
  <c r="Q565" i="5"/>
  <c r="Q566" i="5"/>
  <c r="Q567" i="5"/>
  <c r="Q568" i="5"/>
  <c r="Q569" i="5"/>
  <c r="Q570" i="5"/>
  <c r="Q571" i="5"/>
  <c r="Q572" i="5"/>
  <c r="Q573" i="5"/>
  <c r="Q574" i="5"/>
  <c r="Q575" i="5"/>
  <c r="Q576" i="5"/>
  <c r="Q577" i="5"/>
  <c r="Q578" i="5"/>
  <c r="Q579" i="5"/>
  <c r="Q580" i="5"/>
  <c r="Q581" i="5"/>
  <c r="Q582" i="5"/>
  <c r="Q583" i="5"/>
  <c r="Q584" i="5"/>
  <c r="Q585" i="5"/>
  <c r="Q586" i="5"/>
  <c r="Q587" i="5"/>
  <c r="Q588" i="5"/>
  <c r="Q589" i="5"/>
  <c r="Q590" i="5"/>
  <c r="Q591" i="5"/>
  <c r="Q592" i="5"/>
  <c r="Q593" i="5"/>
  <c r="Q594" i="5"/>
  <c r="Q595" i="5"/>
  <c r="Q596" i="5"/>
  <c r="Q597" i="5"/>
  <c r="Q598" i="5"/>
  <c r="Q599" i="5"/>
  <c r="Q600" i="5"/>
  <c r="Q601" i="5"/>
  <c r="Q602" i="5"/>
  <c r="Q603" i="5"/>
  <c r="Q604" i="5"/>
  <c r="Q605" i="5"/>
  <c r="Q606" i="5"/>
  <c r="Q607" i="5"/>
  <c r="Q608" i="5"/>
  <c r="Q609" i="5"/>
  <c r="Q610" i="5"/>
  <c r="Q611" i="5"/>
  <c r="Q612" i="5"/>
  <c r="Q613" i="5"/>
  <c r="Q614" i="5"/>
  <c r="Q615" i="5"/>
  <c r="Q616" i="5"/>
  <c r="Q617" i="5"/>
  <c r="Q618" i="5"/>
  <c r="Q619" i="5"/>
  <c r="Q620" i="5"/>
  <c r="Q621" i="5"/>
  <c r="Q622" i="5"/>
  <c r="Q623" i="5"/>
  <c r="Q624" i="5"/>
  <c r="Q625" i="5"/>
  <c r="Q626" i="5"/>
  <c r="Q627" i="5"/>
  <c r="Q628" i="5"/>
  <c r="Q629" i="5"/>
  <c r="Q630" i="5"/>
  <c r="Q631" i="5"/>
  <c r="Q632" i="5"/>
  <c r="Q633" i="5"/>
  <c r="Q634" i="5"/>
  <c r="Q635" i="5"/>
  <c r="Q636" i="5"/>
  <c r="Q637" i="5"/>
  <c r="Q638" i="5"/>
  <c r="Q639" i="5"/>
  <c r="Q640" i="5"/>
  <c r="Q641" i="5"/>
  <c r="Q642" i="5"/>
  <c r="Q643" i="5"/>
  <c r="Q644" i="5"/>
  <c r="Q645" i="5"/>
  <c r="Q646" i="5"/>
  <c r="Q647" i="5"/>
  <c r="Q648" i="5"/>
  <c r="Q649" i="5"/>
  <c r="Q650" i="5"/>
  <c r="Q651" i="5"/>
  <c r="Q652" i="5"/>
  <c r="Q653" i="5"/>
  <c r="Q654" i="5"/>
  <c r="Q655" i="5"/>
  <c r="Q656" i="5"/>
  <c r="Q657" i="5"/>
  <c r="Q658" i="5"/>
  <c r="Q659" i="5"/>
  <c r="Q660" i="5"/>
  <c r="Q661" i="5"/>
  <c r="Q662" i="5"/>
  <c r="Q663" i="5"/>
  <c r="Q664" i="5"/>
  <c r="Q665" i="5"/>
  <c r="Q666" i="5"/>
  <c r="Q667" i="5"/>
  <c r="Q668" i="5"/>
  <c r="Q669" i="5"/>
  <c r="Q670" i="5"/>
  <c r="Q671" i="5"/>
  <c r="Q672" i="5"/>
  <c r="Q673" i="5"/>
  <c r="Q674" i="5"/>
  <c r="Q675" i="5"/>
  <c r="Q676" i="5"/>
  <c r="Q677" i="5"/>
  <c r="Q678" i="5"/>
  <c r="Q679" i="5"/>
  <c r="Q680" i="5"/>
  <c r="Q681" i="5"/>
  <c r="Q682" i="5"/>
  <c r="Q683" i="5"/>
  <c r="Q684" i="5"/>
  <c r="Q685" i="5"/>
  <c r="Q686" i="5"/>
  <c r="Q687" i="5"/>
  <c r="Q688" i="5"/>
  <c r="Q689" i="5"/>
  <c r="Q690" i="5"/>
  <c r="Q691" i="5"/>
  <c r="Q692" i="5"/>
  <c r="Q693" i="5"/>
  <c r="Q694" i="5"/>
  <c r="Q695" i="5"/>
  <c r="Q696" i="5"/>
  <c r="Q697" i="5"/>
  <c r="Q698" i="5"/>
  <c r="Q699" i="5"/>
  <c r="Q700" i="5"/>
  <c r="Q701" i="5"/>
  <c r="Q702" i="5"/>
  <c r="Q703" i="5"/>
  <c r="Q704" i="5"/>
  <c r="Q705" i="5"/>
  <c r="Q706" i="5"/>
  <c r="Q707" i="5"/>
  <c r="Q708" i="5"/>
  <c r="Q709" i="5"/>
  <c r="Q710" i="5"/>
  <c r="Q711" i="5"/>
  <c r="Q712" i="5"/>
  <c r="Q713" i="5"/>
  <c r="Q714" i="5"/>
  <c r="Q715" i="5"/>
  <c r="Q716" i="5"/>
  <c r="Q717" i="5"/>
  <c r="Q718" i="5"/>
  <c r="Q719" i="5"/>
  <c r="Q720" i="5"/>
  <c r="Q721" i="5"/>
  <c r="Q722" i="5"/>
  <c r="Q723" i="5"/>
  <c r="Q724" i="5"/>
  <c r="Q725" i="5"/>
  <c r="Q726" i="5"/>
  <c r="Q727" i="5"/>
  <c r="Q728" i="5"/>
  <c r="Q729" i="5"/>
  <c r="Q730" i="5"/>
  <c r="Q731" i="5"/>
  <c r="Q732" i="5"/>
  <c r="Q733" i="5"/>
  <c r="Q734" i="5"/>
  <c r="Q735" i="5"/>
  <c r="Q736" i="5"/>
  <c r="Q737" i="5"/>
  <c r="Q738" i="5"/>
  <c r="Q739" i="5"/>
  <c r="Q740" i="5"/>
  <c r="Q741" i="5"/>
  <c r="Q742" i="5"/>
  <c r="Q743" i="5"/>
  <c r="Q744" i="5"/>
  <c r="Q745" i="5"/>
  <c r="Q746" i="5"/>
  <c r="Q747" i="5"/>
  <c r="Q748" i="5"/>
  <c r="Q749" i="5"/>
  <c r="Q750" i="5"/>
  <c r="Q751" i="5"/>
  <c r="Q752" i="5"/>
  <c r="Q753" i="5"/>
  <c r="Q754" i="5"/>
  <c r="Q755" i="5"/>
  <c r="Q756" i="5"/>
  <c r="Q757" i="5"/>
  <c r="Q758" i="5"/>
  <c r="Q759" i="5"/>
  <c r="Q760" i="5"/>
  <c r="Q761" i="5"/>
  <c r="Q762" i="5"/>
  <c r="Q763" i="5"/>
  <c r="Q764" i="5"/>
  <c r="Q765" i="5"/>
  <c r="Q766" i="5"/>
  <c r="Q767" i="5"/>
  <c r="Q768" i="5"/>
  <c r="Q769" i="5"/>
  <c r="Q770" i="5"/>
  <c r="Q771" i="5"/>
  <c r="Q772" i="5"/>
  <c r="Q773" i="5"/>
  <c r="Q774" i="5"/>
  <c r="Q775" i="5"/>
  <c r="Q776" i="5"/>
  <c r="Q777" i="5"/>
  <c r="Q778" i="5"/>
  <c r="Q779" i="5"/>
  <c r="Q780" i="5"/>
  <c r="Q781" i="5"/>
  <c r="Q782" i="5"/>
  <c r="Q783" i="5"/>
  <c r="Q784" i="5"/>
  <c r="Q785" i="5"/>
  <c r="Q786" i="5"/>
  <c r="Q787" i="5"/>
  <c r="Q788" i="5"/>
  <c r="Q789" i="5"/>
  <c r="Q790" i="5"/>
  <c r="Q791" i="5"/>
  <c r="Q792" i="5"/>
  <c r="Q793" i="5"/>
  <c r="Q794" i="5"/>
  <c r="Q795" i="5"/>
  <c r="Q796" i="5"/>
  <c r="Q797" i="5"/>
  <c r="Q798" i="5"/>
  <c r="Q799" i="5"/>
  <c r="Q800" i="5"/>
  <c r="Q801" i="5"/>
  <c r="Q802" i="5"/>
  <c r="Q803" i="5"/>
  <c r="Q804" i="5"/>
  <c r="Q805" i="5"/>
  <c r="Q806" i="5"/>
  <c r="Q807" i="5"/>
  <c r="Q808" i="5"/>
  <c r="Q809" i="5"/>
  <c r="Q810" i="5"/>
  <c r="Q811" i="5"/>
  <c r="Q812" i="5"/>
  <c r="Q813" i="5"/>
  <c r="Q814" i="5"/>
  <c r="Q815" i="5"/>
  <c r="Q816" i="5"/>
  <c r="Q817" i="5"/>
  <c r="Q818" i="5"/>
  <c r="Q819" i="5"/>
  <c r="Q820" i="5"/>
  <c r="Q821" i="5"/>
  <c r="Q822" i="5"/>
  <c r="Q823" i="5"/>
  <c r="Q824" i="5"/>
  <c r="Q825" i="5"/>
  <c r="Q826" i="5"/>
  <c r="Q827" i="5"/>
  <c r="Q828" i="5"/>
  <c r="Q829" i="5"/>
  <c r="Q830" i="5"/>
  <c r="Q831" i="5"/>
  <c r="Q832" i="5"/>
  <c r="Q833" i="5"/>
  <c r="Q834" i="5"/>
  <c r="Q835" i="5"/>
  <c r="Q836" i="5"/>
  <c r="Q837" i="5"/>
  <c r="Q838" i="5"/>
  <c r="Q839" i="5"/>
  <c r="Q840" i="5"/>
  <c r="Q841" i="5"/>
  <c r="Q842" i="5"/>
  <c r="Q843" i="5"/>
  <c r="Q844" i="5"/>
  <c r="Q845" i="5"/>
  <c r="Q846" i="5"/>
  <c r="Q847" i="5"/>
  <c r="Q848" i="5"/>
  <c r="Q849" i="5"/>
  <c r="Q850" i="5"/>
  <c r="Q851" i="5"/>
  <c r="Q852" i="5"/>
  <c r="Q853" i="5"/>
  <c r="Q854" i="5"/>
  <c r="Q855" i="5"/>
  <c r="Q856" i="5"/>
  <c r="Q857" i="5"/>
  <c r="Q858" i="5"/>
  <c r="Q859" i="5"/>
  <c r="Q860" i="5"/>
  <c r="Q861" i="5"/>
  <c r="Q862" i="5"/>
  <c r="Q863" i="5"/>
  <c r="Q864" i="5"/>
  <c r="Q865" i="5"/>
  <c r="Q866" i="5"/>
  <c r="Q867" i="5"/>
  <c r="Q868" i="5"/>
  <c r="Q869" i="5"/>
  <c r="Q870" i="5"/>
  <c r="Q871" i="5"/>
  <c r="Q872" i="5"/>
  <c r="Q873" i="5"/>
  <c r="Q874" i="5"/>
  <c r="Q875" i="5"/>
  <c r="Q876" i="5"/>
  <c r="Q877" i="5"/>
  <c r="Q878" i="5"/>
  <c r="Q879" i="5"/>
  <c r="Q880" i="5"/>
  <c r="Q881" i="5"/>
  <c r="Q882" i="5"/>
  <c r="Q883" i="5"/>
  <c r="Q884" i="5"/>
  <c r="Q885" i="5"/>
  <c r="Q886" i="5"/>
  <c r="Q887" i="5"/>
  <c r="Q888" i="5"/>
  <c r="Q889" i="5"/>
  <c r="Q890" i="5"/>
  <c r="Q891" i="5"/>
  <c r="Q892" i="5"/>
  <c r="Q893" i="5"/>
  <c r="Q894" i="5"/>
  <c r="Q895" i="5"/>
  <c r="Q896" i="5"/>
  <c r="Q897" i="5"/>
  <c r="Q898" i="5"/>
  <c r="Q899" i="5"/>
  <c r="Q900" i="5"/>
  <c r="Q901" i="5"/>
  <c r="Q902" i="5"/>
  <c r="Q903" i="5"/>
  <c r="Q904" i="5"/>
  <c r="Q905" i="5"/>
  <c r="Q906" i="5"/>
  <c r="Q907" i="5"/>
  <c r="Q908" i="5"/>
  <c r="Q909" i="5"/>
  <c r="Q910" i="5"/>
  <c r="Q911" i="5"/>
  <c r="Q912" i="5"/>
  <c r="Q913" i="5"/>
  <c r="Q914" i="5"/>
  <c r="Q915" i="5"/>
  <c r="Q916" i="5"/>
  <c r="Q917" i="5"/>
  <c r="Q918" i="5"/>
  <c r="Q919" i="5"/>
  <c r="Q920" i="5"/>
  <c r="Q921" i="5"/>
  <c r="Q922" i="5"/>
  <c r="Q923" i="5"/>
  <c r="Q924" i="5"/>
  <c r="Q925" i="5"/>
  <c r="Q926" i="5"/>
  <c r="Q927" i="5"/>
  <c r="Q928" i="5"/>
  <c r="Q929" i="5"/>
  <c r="Q930" i="5"/>
  <c r="Q931" i="5"/>
  <c r="Q932" i="5"/>
  <c r="Q933" i="5"/>
  <c r="Q934" i="5"/>
  <c r="Q935" i="5"/>
  <c r="Q936" i="5"/>
  <c r="Q937" i="5"/>
  <c r="Q938" i="5"/>
  <c r="Q939" i="5"/>
  <c r="Q940" i="5"/>
  <c r="Q941" i="5"/>
  <c r="Q942" i="5"/>
  <c r="Q943" i="5"/>
  <c r="Q944" i="5"/>
  <c r="Q945" i="5"/>
  <c r="Q946" i="5"/>
  <c r="Q947" i="5"/>
  <c r="Q948" i="5"/>
  <c r="Q949" i="5"/>
  <c r="Q950" i="5"/>
  <c r="Q951" i="5"/>
  <c r="Q952" i="5"/>
  <c r="Q953" i="5"/>
  <c r="Q954" i="5"/>
  <c r="Q955" i="5"/>
  <c r="Q956" i="5"/>
  <c r="Q957" i="5"/>
  <c r="Q958" i="5"/>
  <c r="Q959" i="5"/>
  <c r="Q960" i="5"/>
  <c r="Q961" i="5"/>
  <c r="Q962" i="5"/>
  <c r="Q963" i="5"/>
  <c r="Q964" i="5"/>
  <c r="Q965" i="5"/>
  <c r="Q966" i="5"/>
  <c r="Q967" i="5"/>
  <c r="Q968" i="5"/>
  <c r="Q969" i="5"/>
  <c r="Q970" i="5"/>
  <c r="Q971" i="5"/>
  <c r="Q972" i="5"/>
  <c r="Q973" i="5"/>
  <c r="Q974" i="5"/>
  <c r="Q975" i="5"/>
  <c r="Q976" i="5"/>
  <c r="Q977" i="5"/>
  <c r="Q978" i="5"/>
  <c r="Q979" i="5"/>
  <c r="Q980" i="5"/>
  <c r="Q981" i="5"/>
  <c r="Q982" i="5"/>
  <c r="Q983" i="5"/>
  <c r="Q984" i="5"/>
  <c r="Q985" i="5"/>
  <c r="Q986" i="5"/>
  <c r="Q987" i="5"/>
  <c r="Q988" i="5"/>
  <c r="Q989" i="5"/>
  <c r="Q990" i="5"/>
  <c r="Q991" i="5"/>
  <c r="Q992" i="5"/>
  <c r="Q993" i="5"/>
  <c r="Q994" i="5"/>
  <c r="Q995" i="5"/>
  <c r="Q996" i="5"/>
  <c r="Q997" i="5"/>
  <c r="Q998" i="5"/>
  <c r="Q999" i="5"/>
  <c r="Q1000" i="5"/>
  <c r="Q1001" i="5"/>
  <c r="P2" i="5"/>
  <c r="P3" i="5"/>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AA2" i="5"/>
  <c r="AA8" i="5" l="1"/>
</calcChain>
</file>

<file path=xl/sharedStrings.xml><?xml version="1.0" encoding="utf-8"?>
<sst xmlns="http://schemas.openxmlformats.org/spreadsheetml/2006/main" count="20153" uniqueCount="1258">
  <si>
    <t>Employee_ID</t>
  </si>
  <si>
    <t>Employee_Name</t>
  </si>
  <si>
    <t>Gender</t>
  </si>
  <si>
    <t>Age</t>
  </si>
  <si>
    <t>Department</t>
  </si>
  <si>
    <t>Job_Role</t>
  </si>
  <si>
    <t>Education</t>
  </si>
  <si>
    <t>Salary</t>
  </si>
  <si>
    <t>Years_at_Company</t>
  </si>
  <si>
    <t>Performance_Rating</t>
  </si>
  <si>
    <t>Job_Satisfaction</t>
  </si>
  <si>
    <t>Overtime</t>
  </si>
  <si>
    <t>Attrition</t>
  </si>
  <si>
    <t>Marital_Status</t>
  </si>
  <si>
    <t>City</t>
  </si>
  <si>
    <t>EMP001</t>
  </si>
  <si>
    <t>Nisha Raj</t>
  </si>
  <si>
    <t>Female</t>
  </si>
  <si>
    <t>HR</t>
  </si>
  <si>
    <t>Recruiter</t>
  </si>
  <si>
    <t>MBA</t>
  </si>
  <si>
    <t>Yes</t>
  </si>
  <si>
    <t>Married</t>
  </si>
  <si>
    <t>Coimbatore</t>
  </si>
  <si>
    <t>EMP002</t>
  </si>
  <si>
    <t>Sanjay Iyer</t>
  </si>
  <si>
    <t>Marketing</t>
  </si>
  <si>
    <t>Executive</t>
  </si>
  <si>
    <t>B.Com</t>
  </si>
  <si>
    <t>No</t>
  </si>
  <si>
    <t>Pune</t>
  </si>
  <si>
    <t>EMP003</t>
  </si>
  <si>
    <t>Nisha Verma</t>
  </si>
  <si>
    <t>M.Com</t>
  </si>
  <si>
    <t>Single</t>
  </si>
  <si>
    <t>EMP004</t>
  </si>
  <si>
    <t>Ajay Kumar</t>
  </si>
  <si>
    <t>Male</t>
  </si>
  <si>
    <t>Chennai</t>
  </si>
  <si>
    <t>EMP005</t>
  </si>
  <si>
    <t>Nisha Iyer</t>
  </si>
  <si>
    <t>Finance</t>
  </si>
  <si>
    <t>Analyst</t>
  </si>
  <si>
    <t>Delhi</t>
  </si>
  <si>
    <t>EMP006</t>
  </si>
  <si>
    <t>Sanjay Sharma</t>
  </si>
  <si>
    <t>B.Tech</t>
  </si>
  <si>
    <t>EMP007</t>
  </si>
  <si>
    <t>Arjun Patel</t>
  </si>
  <si>
    <t>Sales</t>
  </si>
  <si>
    <t>Manager</t>
  </si>
  <si>
    <t>Bangalore</t>
  </si>
  <si>
    <t>EMP008</t>
  </si>
  <si>
    <t>Arjun Raj</t>
  </si>
  <si>
    <t>Hyderabad</t>
  </si>
  <si>
    <t>EMP009</t>
  </si>
  <si>
    <t>Divya Nair</t>
  </si>
  <si>
    <t>Operations</t>
  </si>
  <si>
    <t>EMP010</t>
  </si>
  <si>
    <t>Rahul Sharma</t>
  </si>
  <si>
    <t>EMP011</t>
  </si>
  <si>
    <t>Anjali Raj</t>
  </si>
  <si>
    <t>EMP012</t>
  </si>
  <si>
    <t>Ajay Patel</t>
  </si>
  <si>
    <t>EMP013</t>
  </si>
  <si>
    <t>Sanjay Nair</t>
  </si>
  <si>
    <t>IT</t>
  </si>
  <si>
    <t>Data Analyst</t>
  </si>
  <si>
    <t>EMP014</t>
  </si>
  <si>
    <t>Karthik Sharma</t>
  </si>
  <si>
    <t>Mumbai</t>
  </si>
  <si>
    <t>EMP015</t>
  </si>
  <si>
    <t>Amit Verma</t>
  </si>
  <si>
    <t>Accountant</t>
  </si>
  <si>
    <t>EMP016</t>
  </si>
  <si>
    <t>Kochi</t>
  </si>
  <si>
    <t>EMP017</t>
  </si>
  <si>
    <t>Vivek Nair</t>
  </si>
  <si>
    <t>EMP018</t>
  </si>
  <si>
    <t>Sanjay Menon</t>
  </si>
  <si>
    <t>EMP019</t>
  </si>
  <si>
    <t>Neha Sharma</t>
  </si>
  <si>
    <t>Software Engineer</t>
  </si>
  <si>
    <t>EMP020</t>
  </si>
  <si>
    <t>Pooja Patel</t>
  </si>
  <si>
    <t>EMP021</t>
  </si>
  <si>
    <t>Neha Kumar</t>
  </si>
  <si>
    <t>EMP022</t>
  </si>
  <si>
    <t>Anjali Reddy</t>
  </si>
  <si>
    <t>EMP023</t>
  </si>
  <si>
    <t>Sneha Kumar</t>
  </si>
  <si>
    <t>EMP024</t>
  </si>
  <si>
    <t>Sneha Raj</t>
  </si>
  <si>
    <t>EMP025</t>
  </si>
  <si>
    <t>Vivek Menon</t>
  </si>
  <si>
    <t>EMP026</t>
  </si>
  <si>
    <t>Pooja Reddy</t>
  </si>
  <si>
    <t>EMP027</t>
  </si>
  <si>
    <t>Pooja Singh</t>
  </si>
  <si>
    <t>EMP028</t>
  </si>
  <si>
    <t>Arjun Singh</t>
  </si>
  <si>
    <t>EMP029</t>
  </si>
  <si>
    <t>Sanjay Kumar</t>
  </si>
  <si>
    <t>EMP030</t>
  </si>
  <si>
    <t>Ajay Nair</t>
  </si>
  <si>
    <t>EMP031</t>
  </si>
  <si>
    <t>EMP032</t>
  </si>
  <si>
    <t>Ajay Iyer</t>
  </si>
  <si>
    <t>EMP033</t>
  </si>
  <si>
    <t>Pooja Raj</t>
  </si>
  <si>
    <t>EMP034</t>
  </si>
  <si>
    <t>Priya Verma</t>
  </si>
  <si>
    <t>EMP035</t>
  </si>
  <si>
    <t>EMP036</t>
  </si>
  <si>
    <t>Vivek Iyer</t>
  </si>
  <si>
    <t>EMP037</t>
  </si>
  <si>
    <t>Priya Singh</t>
  </si>
  <si>
    <t>EMP038</t>
  </si>
  <si>
    <t>Rahul Iyer</t>
  </si>
  <si>
    <t>EMP039</t>
  </si>
  <si>
    <t>Priya Reddy</t>
  </si>
  <si>
    <t>EMP040</t>
  </si>
  <si>
    <t>Amit Iyer</t>
  </si>
  <si>
    <t>EMP041</t>
  </si>
  <si>
    <t>EMP042</t>
  </si>
  <si>
    <t>Priya Kumar</t>
  </si>
  <si>
    <t>HR Executive</t>
  </si>
  <si>
    <t>EMP043</t>
  </si>
  <si>
    <t>Anjali Patel</t>
  </si>
  <si>
    <t>EMP044</t>
  </si>
  <si>
    <t>Anjali Menon</t>
  </si>
  <si>
    <t>EMP045</t>
  </si>
  <si>
    <t>Karthik Nair</t>
  </si>
  <si>
    <t>EMP046</t>
  </si>
  <si>
    <t>Rohit Reddy</t>
  </si>
  <si>
    <t>EMP047</t>
  </si>
  <si>
    <t>Rahul Kumar</t>
  </si>
  <si>
    <t>EMP048</t>
  </si>
  <si>
    <t>Rohit Kumar</t>
  </si>
  <si>
    <t>EMP049</t>
  </si>
  <si>
    <t>Rohit Nair</t>
  </si>
  <si>
    <t>EMP050</t>
  </si>
  <si>
    <t>Nisha Sharma</t>
  </si>
  <si>
    <t>EMP051</t>
  </si>
  <si>
    <t>EMP052</t>
  </si>
  <si>
    <t>Neha Verma</t>
  </si>
  <si>
    <t>EMP053</t>
  </si>
  <si>
    <t>Arjun Kumar</t>
  </si>
  <si>
    <t>EMP054</t>
  </si>
  <si>
    <t>Neha Raj</t>
  </si>
  <si>
    <t>EMP055</t>
  </si>
  <si>
    <t>Rohit Iyer</t>
  </si>
  <si>
    <t>EMP056</t>
  </si>
  <si>
    <t>EMP057</t>
  </si>
  <si>
    <t>Nisha Kumar</t>
  </si>
  <si>
    <t>EMP058</t>
  </si>
  <si>
    <t>Rohit Raj</t>
  </si>
  <si>
    <t>EMP059</t>
  </si>
  <si>
    <t>Karthik Singh</t>
  </si>
  <si>
    <t>EMP060</t>
  </si>
  <si>
    <t>Vivek Singh</t>
  </si>
  <si>
    <t>EMP061</t>
  </si>
  <si>
    <t>Priya Iyer</t>
  </si>
  <si>
    <t>EMP062</t>
  </si>
  <si>
    <t>Meera Verma</t>
  </si>
  <si>
    <t>EMP063</t>
  </si>
  <si>
    <t>Anjali Iyer</t>
  </si>
  <si>
    <t>EMP064</t>
  </si>
  <si>
    <t>Sanjay Singh</t>
  </si>
  <si>
    <t>EMP065</t>
  </si>
  <si>
    <t>EMP066</t>
  </si>
  <si>
    <t>EMP067</t>
  </si>
  <si>
    <t>Ajay Raj</t>
  </si>
  <si>
    <t>EMP068</t>
  </si>
  <si>
    <t>EMP069</t>
  </si>
  <si>
    <t>EMP070</t>
  </si>
  <si>
    <t>Sanjay Verma</t>
  </si>
  <si>
    <t>EMP071</t>
  </si>
  <si>
    <t>EMP072</t>
  </si>
  <si>
    <t>Priya Patel</t>
  </si>
  <si>
    <t>EMP073</t>
  </si>
  <si>
    <t>EMP074</t>
  </si>
  <si>
    <t>EMP075</t>
  </si>
  <si>
    <t>EMP076</t>
  </si>
  <si>
    <t>EMP077</t>
  </si>
  <si>
    <t>EMP078</t>
  </si>
  <si>
    <t>Nisha Reddy</t>
  </si>
  <si>
    <t>EMP079</t>
  </si>
  <si>
    <t>Sneha Reddy</t>
  </si>
  <si>
    <t>EMP080</t>
  </si>
  <si>
    <t>EMP081</t>
  </si>
  <si>
    <t>Priya Menon</t>
  </si>
  <si>
    <t>EMP082</t>
  </si>
  <si>
    <t>EMP083</t>
  </si>
  <si>
    <t>Arjun Reddy</t>
  </si>
  <si>
    <t>EMP084</t>
  </si>
  <si>
    <t>EMP085</t>
  </si>
  <si>
    <t>Sanjay Reddy</t>
  </si>
  <si>
    <t>EMP086</t>
  </si>
  <si>
    <t>Rahul Menon</t>
  </si>
  <si>
    <t>EMP087</t>
  </si>
  <si>
    <t>Amit Nair</t>
  </si>
  <si>
    <t>EMP088</t>
  </si>
  <si>
    <t>Karthik Iyer</t>
  </si>
  <si>
    <t>EMP089</t>
  </si>
  <si>
    <t>Rohit Verma</t>
  </si>
  <si>
    <t>EMP090</t>
  </si>
  <si>
    <t>Amit Reddy</t>
  </si>
  <si>
    <t>EMP091</t>
  </si>
  <si>
    <t>EMP092</t>
  </si>
  <si>
    <t>Sneha Verma</t>
  </si>
  <si>
    <t>EMP093</t>
  </si>
  <si>
    <t>EMP094</t>
  </si>
  <si>
    <t>EMP095</t>
  </si>
  <si>
    <t>EMP096</t>
  </si>
  <si>
    <t>Meera Iyer</t>
  </si>
  <si>
    <t>EMP097</t>
  </si>
  <si>
    <t>Sneha Patel</t>
  </si>
  <si>
    <t>EMP098</t>
  </si>
  <si>
    <t>Ajay Singh</t>
  </si>
  <si>
    <t>EMP099</t>
  </si>
  <si>
    <t>Rahul Reddy</t>
  </si>
  <si>
    <t>EMP100</t>
  </si>
  <si>
    <t>Priya Sharma</t>
  </si>
  <si>
    <t>EMP101</t>
  </si>
  <si>
    <t>Karthik Raj</t>
  </si>
  <si>
    <t>EMP102</t>
  </si>
  <si>
    <t>Neha Menon</t>
  </si>
  <si>
    <t>EMP103</t>
  </si>
  <si>
    <t>Sanjay Raj</t>
  </si>
  <si>
    <t>EMP104</t>
  </si>
  <si>
    <t>EMP105</t>
  </si>
  <si>
    <t>EMP106</t>
  </si>
  <si>
    <t>Rahul Nair</t>
  </si>
  <si>
    <t>EMP107</t>
  </si>
  <si>
    <t>EMP108</t>
  </si>
  <si>
    <t>EMP109</t>
  </si>
  <si>
    <t>EMP110</t>
  </si>
  <si>
    <t>Divya Patel</t>
  </si>
  <si>
    <t>EMP111</t>
  </si>
  <si>
    <t>Ajay Menon</t>
  </si>
  <si>
    <t>EMP112</t>
  </si>
  <si>
    <t>Karthik Reddy</t>
  </si>
  <si>
    <t>EMP113</t>
  </si>
  <si>
    <t>Nisha Menon</t>
  </si>
  <si>
    <t>EMP114</t>
  </si>
  <si>
    <t>Arjun Sharma</t>
  </si>
  <si>
    <t>EMP115</t>
  </si>
  <si>
    <t>EMP116</t>
  </si>
  <si>
    <t>Amit Raj</t>
  </si>
  <si>
    <t>EMP117</t>
  </si>
  <si>
    <t>Anjali Singh</t>
  </si>
  <si>
    <t>EMP118</t>
  </si>
  <si>
    <t>Sanjay Patel</t>
  </si>
  <si>
    <t>EMP119</t>
  </si>
  <si>
    <t>EMP120</t>
  </si>
  <si>
    <t>Rohit Sharma</t>
  </si>
  <si>
    <t>EMP121</t>
  </si>
  <si>
    <t>EMP122</t>
  </si>
  <si>
    <t>Vivek Sharma</t>
  </si>
  <si>
    <t>EMP123</t>
  </si>
  <si>
    <t>Pooja Menon</t>
  </si>
  <si>
    <t>EMP124</t>
  </si>
  <si>
    <t>Anjali Verma</t>
  </si>
  <si>
    <t>EMP125</t>
  </si>
  <si>
    <t>Priya Nair</t>
  </si>
  <si>
    <t>EMP126</t>
  </si>
  <si>
    <t>Amit Menon</t>
  </si>
  <si>
    <t>EMP127</t>
  </si>
  <si>
    <t>Amit Patel</t>
  </si>
  <si>
    <t>EMP128</t>
  </si>
  <si>
    <t>EMP129</t>
  </si>
  <si>
    <t>EMP130</t>
  </si>
  <si>
    <t>Divya Iyer</t>
  </si>
  <si>
    <t>EMP131</t>
  </si>
  <si>
    <t>EMP132</t>
  </si>
  <si>
    <t>EMP133</t>
  </si>
  <si>
    <t>EMP134</t>
  </si>
  <si>
    <t>Karthik Kumar</t>
  </si>
  <si>
    <t>EMP135</t>
  </si>
  <si>
    <t>EMP136</t>
  </si>
  <si>
    <t>EMP137</t>
  </si>
  <si>
    <t>Divya Reddy</t>
  </si>
  <si>
    <t>EMP138</t>
  </si>
  <si>
    <t>Pooja Verma</t>
  </si>
  <si>
    <t>EMP139</t>
  </si>
  <si>
    <t>EMP140</t>
  </si>
  <si>
    <t>EMP141</t>
  </si>
  <si>
    <t>EMP142</t>
  </si>
  <si>
    <t>EMP143</t>
  </si>
  <si>
    <t>EMP144</t>
  </si>
  <si>
    <t>EMP145</t>
  </si>
  <si>
    <t>Vivek Verma</t>
  </si>
  <si>
    <t>EMP146</t>
  </si>
  <si>
    <t>EMP147</t>
  </si>
  <si>
    <t>Nisha Singh</t>
  </si>
  <si>
    <t>EMP148</t>
  </si>
  <si>
    <t>Vivek Raj</t>
  </si>
  <si>
    <t>EMP149</t>
  </si>
  <si>
    <t>EMP150</t>
  </si>
  <si>
    <t>Rohit Menon</t>
  </si>
  <si>
    <t>EMP151</t>
  </si>
  <si>
    <t>Anjali Kumar</t>
  </si>
  <si>
    <t>EMP152</t>
  </si>
  <si>
    <t>EMP153</t>
  </si>
  <si>
    <t>EMP154</t>
  </si>
  <si>
    <t>Priya Raj</t>
  </si>
  <si>
    <t>EMP155</t>
  </si>
  <si>
    <t>Karthik Patel</t>
  </si>
  <si>
    <t>EMP156</t>
  </si>
  <si>
    <t>EMP157</t>
  </si>
  <si>
    <t>EMP158</t>
  </si>
  <si>
    <t>EMP159</t>
  </si>
  <si>
    <t>EMP160</t>
  </si>
  <si>
    <t>Ajay Verma</t>
  </si>
  <si>
    <t>EMP161</t>
  </si>
  <si>
    <t>EMP162</t>
  </si>
  <si>
    <t>EMP163</t>
  </si>
  <si>
    <t>EMP164</t>
  </si>
  <si>
    <t>EMP165</t>
  </si>
  <si>
    <t>Meera Reddy</t>
  </si>
  <si>
    <t>EMP166</t>
  </si>
  <si>
    <t>EMP167</t>
  </si>
  <si>
    <t>EMP168</t>
  </si>
  <si>
    <t>EMP169</t>
  </si>
  <si>
    <t>EMP170</t>
  </si>
  <si>
    <t>Rahul Patel</t>
  </si>
  <si>
    <t>EMP171</t>
  </si>
  <si>
    <t>Pooja Kumar</t>
  </si>
  <si>
    <t>EMP172</t>
  </si>
  <si>
    <t>Arjun Verma</t>
  </si>
  <si>
    <t>EMP173</t>
  </si>
  <si>
    <t>EMP174</t>
  </si>
  <si>
    <t>EMP175</t>
  </si>
  <si>
    <t>EMP176</t>
  </si>
  <si>
    <t>Meera Singh</t>
  </si>
  <si>
    <t>EMP177</t>
  </si>
  <si>
    <t>EMP178</t>
  </si>
  <si>
    <t>EMP179</t>
  </si>
  <si>
    <t>EMP180</t>
  </si>
  <si>
    <t>EMP181</t>
  </si>
  <si>
    <t>EMP182</t>
  </si>
  <si>
    <t>EMP183</t>
  </si>
  <si>
    <t>EMP184</t>
  </si>
  <si>
    <t>EMP185</t>
  </si>
  <si>
    <t>EMP186</t>
  </si>
  <si>
    <t>EMP187</t>
  </si>
  <si>
    <t>Sneha Nair</t>
  </si>
  <si>
    <t>EMP188</t>
  </si>
  <si>
    <t>EMP189</t>
  </si>
  <si>
    <t>Amit Singh</t>
  </si>
  <si>
    <t>EMP190</t>
  </si>
  <si>
    <t>EMP191</t>
  </si>
  <si>
    <t>EMP192</t>
  </si>
  <si>
    <t>Sneha Iyer</t>
  </si>
  <si>
    <t>EMP193</t>
  </si>
  <si>
    <t>EMP194</t>
  </si>
  <si>
    <t>Nisha Patel</t>
  </si>
  <si>
    <t>EMP195</t>
  </si>
  <si>
    <t>EMP196</t>
  </si>
  <si>
    <t>Rohit Patel</t>
  </si>
  <si>
    <t>EMP197</t>
  </si>
  <si>
    <t>Rohit Singh</t>
  </si>
  <si>
    <t>EMP198</t>
  </si>
  <si>
    <t>EMP199</t>
  </si>
  <si>
    <t>EMP200</t>
  </si>
  <si>
    <t>Divya Kumar</t>
  </si>
  <si>
    <t>EMP201</t>
  </si>
  <si>
    <t>EMP202</t>
  </si>
  <si>
    <t>EMP203</t>
  </si>
  <si>
    <t>Arjun Iyer</t>
  </si>
  <si>
    <t>EMP204</t>
  </si>
  <si>
    <t>Meera Menon</t>
  </si>
  <si>
    <t>EMP205</t>
  </si>
  <si>
    <t>EMP206</t>
  </si>
  <si>
    <t>EMP207</t>
  </si>
  <si>
    <t>Vivek Patel</t>
  </si>
  <si>
    <t>EMP208</t>
  </si>
  <si>
    <t>EMP209</t>
  </si>
  <si>
    <t>Pooja Sharma</t>
  </si>
  <si>
    <t>EMP210</t>
  </si>
  <si>
    <t>Ajay Reddy</t>
  </si>
  <si>
    <t>EMP211</t>
  </si>
  <si>
    <t>EMP212</t>
  </si>
  <si>
    <t>Anjali Nair</t>
  </si>
  <si>
    <t>EMP213</t>
  </si>
  <si>
    <t>EMP214</t>
  </si>
  <si>
    <t>EMP215</t>
  </si>
  <si>
    <t>EMP216</t>
  </si>
  <si>
    <t>EMP217</t>
  </si>
  <si>
    <t>Meera Kumar</t>
  </si>
  <si>
    <t>EMP218</t>
  </si>
  <si>
    <t>EMP219</t>
  </si>
  <si>
    <t>EMP220</t>
  </si>
  <si>
    <t>Meera Nair</t>
  </si>
  <si>
    <t>EMP221</t>
  </si>
  <si>
    <t>EMP222</t>
  </si>
  <si>
    <t>Karthik Verma</t>
  </si>
  <si>
    <t>EMP223</t>
  </si>
  <si>
    <t>EMP224</t>
  </si>
  <si>
    <t>EMP225</t>
  </si>
  <si>
    <t>EMP226</t>
  </si>
  <si>
    <t>EMP227</t>
  </si>
  <si>
    <t>EMP228</t>
  </si>
  <si>
    <t>EMP229</t>
  </si>
  <si>
    <t>EMP230</t>
  </si>
  <si>
    <t>EMP231</t>
  </si>
  <si>
    <t>EMP232</t>
  </si>
  <si>
    <t>EMP233</t>
  </si>
  <si>
    <t>EMP234</t>
  </si>
  <si>
    <t>EMP235</t>
  </si>
  <si>
    <t>EMP236</t>
  </si>
  <si>
    <t>EMP237</t>
  </si>
  <si>
    <t>EMP238</t>
  </si>
  <si>
    <t>Amit Sharma</t>
  </si>
  <si>
    <t>EMP239</t>
  </si>
  <si>
    <t>EMP240</t>
  </si>
  <si>
    <t>EMP241</t>
  </si>
  <si>
    <t>Nisha Nair</t>
  </si>
  <si>
    <t>EMP242</t>
  </si>
  <si>
    <t>EMP243</t>
  </si>
  <si>
    <t>EMP244</t>
  </si>
  <si>
    <t>EMP245</t>
  </si>
  <si>
    <t>EMP246</t>
  </si>
  <si>
    <t>EMP247</t>
  </si>
  <si>
    <t>EMP248</t>
  </si>
  <si>
    <t>EMP249</t>
  </si>
  <si>
    <t>EMP250</t>
  </si>
  <si>
    <t>EMP251</t>
  </si>
  <si>
    <t>EMP252</t>
  </si>
  <si>
    <t>EMP253</t>
  </si>
  <si>
    <t>EMP254</t>
  </si>
  <si>
    <t>EMP255</t>
  </si>
  <si>
    <t>EMP256</t>
  </si>
  <si>
    <t>EMP257</t>
  </si>
  <si>
    <t>EMP258</t>
  </si>
  <si>
    <t>EMP259</t>
  </si>
  <si>
    <t>EMP260</t>
  </si>
  <si>
    <t>EMP261</t>
  </si>
  <si>
    <t>Pooja Iyer</t>
  </si>
  <si>
    <t>EMP262</t>
  </si>
  <si>
    <t>EMP263</t>
  </si>
  <si>
    <t>EMP264</t>
  </si>
  <si>
    <t>EMP265</t>
  </si>
  <si>
    <t>EMP266</t>
  </si>
  <si>
    <t>EMP267</t>
  </si>
  <si>
    <t>Ajay Sharma</t>
  </si>
  <si>
    <t>EMP268</t>
  </si>
  <si>
    <t>Neha Nair</t>
  </si>
  <si>
    <t>EMP269</t>
  </si>
  <si>
    <t>EMP270</t>
  </si>
  <si>
    <t>EMP271</t>
  </si>
  <si>
    <t>EMP272</t>
  </si>
  <si>
    <t>EMP273</t>
  </si>
  <si>
    <t>Meera Sharma</t>
  </si>
  <si>
    <t>EMP274</t>
  </si>
  <si>
    <t>EMP275</t>
  </si>
  <si>
    <t>EMP276</t>
  </si>
  <si>
    <t>EMP277</t>
  </si>
  <si>
    <t>EMP278</t>
  </si>
  <si>
    <t>EMP279</t>
  </si>
  <si>
    <t>EMP280</t>
  </si>
  <si>
    <t>EMP281</t>
  </si>
  <si>
    <t>EMP282</t>
  </si>
  <si>
    <t>EMP283</t>
  </si>
  <si>
    <t>EMP284</t>
  </si>
  <si>
    <t>EMP285</t>
  </si>
  <si>
    <t>EMP286</t>
  </si>
  <si>
    <t>EMP287</t>
  </si>
  <si>
    <t>EMP288</t>
  </si>
  <si>
    <t>Rahul Raj</t>
  </si>
  <si>
    <t>EMP289</t>
  </si>
  <si>
    <t>EMP290</t>
  </si>
  <si>
    <t>EMP291</t>
  </si>
  <si>
    <t>EMP292</t>
  </si>
  <si>
    <t>EMP293</t>
  </si>
  <si>
    <t>Arjun Nair</t>
  </si>
  <si>
    <t>EMP294</t>
  </si>
  <si>
    <t>EMP295</t>
  </si>
  <si>
    <t>EMP296</t>
  </si>
  <si>
    <t>EMP297</t>
  </si>
  <si>
    <t>EMP298</t>
  </si>
  <si>
    <t>EMP299</t>
  </si>
  <si>
    <t>EMP300</t>
  </si>
  <si>
    <t>EMP301</t>
  </si>
  <si>
    <t>EMP302</t>
  </si>
  <si>
    <t>Neha Reddy</t>
  </si>
  <si>
    <t>EMP303</t>
  </si>
  <si>
    <t>EMP304</t>
  </si>
  <si>
    <t>EMP305</t>
  </si>
  <si>
    <t>EMP306</t>
  </si>
  <si>
    <t>EMP307</t>
  </si>
  <si>
    <t>EMP308</t>
  </si>
  <si>
    <t>EMP309</t>
  </si>
  <si>
    <t>EMP310</t>
  </si>
  <si>
    <t>EMP311</t>
  </si>
  <si>
    <t>EMP312</t>
  </si>
  <si>
    <t>Neha Singh</t>
  </si>
  <si>
    <t>EMP313</t>
  </si>
  <si>
    <t>EMP314</t>
  </si>
  <si>
    <t>EMP315</t>
  </si>
  <si>
    <t>EMP316</t>
  </si>
  <si>
    <t>Sneha Singh</t>
  </si>
  <si>
    <t>EMP317</t>
  </si>
  <si>
    <t>EMP318</t>
  </si>
  <si>
    <t>EMP319</t>
  </si>
  <si>
    <t>EMP320</t>
  </si>
  <si>
    <t>EMP321</t>
  </si>
  <si>
    <t>EMP322</t>
  </si>
  <si>
    <t>EMP323</t>
  </si>
  <si>
    <t>Pooja Nair</t>
  </si>
  <si>
    <t>EMP324</t>
  </si>
  <si>
    <t>EMP325</t>
  </si>
  <si>
    <t>EMP326</t>
  </si>
  <si>
    <t>EMP327</t>
  </si>
  <si>
    <t>EMP328</t>
  </si>
  <si>
    <t>EMP329</t>
  </si>
  <si>
    <t>EMP330</t>
  </si>
  <si>
    <t>EMP331</t>
  </si>
  <si>
    <t>EMP332</t>
  </si>
  <si>
    <t>EMP333</t>
  </si>
  <si>
    <t>EMP334</t>
  </si>
  <si>
    <t>EMP335</t>
  </si>
  <si>
    <t>EMP336</t>
  </si>
  <si>
    <t>EMP337</t>
  </si>
  <si>
    <t>EMP338</t>
  </si>
  <si>
    <t>EMP339</t>
  </si>
  <si>
    <t>EMP340</t>
  </si>
  <si>
    <t>EMP341</t>
  </si>
  <si>
    <t>Vivek Reddy</t>
  </si>
  <si>
    <t>EMP342</t>
  </si>
  <si>
    <t>EMP343</t>
  </si>
  <si>
    <t>EMP344</t>
  </si>
  <si>
    <t>EMP345</t>
  </si>
  <si>
    <t>EMP346</t>
  </si>
  <si>
    <t>Karthik Menon</t>
  </si>
  <si>
    <t>EMP347</t>
  </si>
  <si>
    <t>EMP348</t>
  </si>
  <si>
    <t>EMP349</t>
  </si>
  <si>
    <t>EMP350</t>
  </si>
  <si>
    <t>EMP351</t>
  </si>
  <si>
    <t>Divya Singh</t>
  </si>
  <si>
    <t>EMP352</t>
  </si>
  <si>
    <t>Meera Patel</t>
  </si>
  <si>
    <t>EMP353</t>
  </si>
  <si>
    <t>EMP354</t>
  </si>
  <si>
    <t>EMP355</t>
  </si>
  <si>
    <t>EMP356</t>
  </si>
  <si>
    <t>EMP357</t>
  </si>
  <si>
    <t>EMP358</t>
  </si>
  <si>
    <t>EMP359</t>
  </si>
  <si>
    <t>EMP360</t>
  </si>
  <si>
    <t>Meera Raj</t>
  </si>
  <si>
    <t>EMP361</t>
  </si>
  <si>
    <t>EMP362</t>
  </si>
  <si>
    <t>EMP363</t>
  </si>
  <si>
    <t>EMP364</t>
  </si>
  <si>
    <t>EMP365</t>
  </si>
  <si>
    <t>Arjun Menon</t>
  </si>
  <si>
    <t>EMP366</t>
  </si>
  <si>
    <t>EMP367</t>
  </si>
  <si>
    <t>EMP368</t>
  </si>
  <si>
    <t>EMP369</t>
  </si>
  <si>
    <t>EMP370</t>
  </si>
  <si>
    <t>EMP371</t>
  </si>
  <si>
    <t>EMP372</t>
  </si>
  <si>
    <t>EMP373</t>
  </si>
  <si>
    <t>EMP374</t>
  </si>
  <si>
    <t>EMP375</t>
  </si>
  <si>
    <t>EMP376</t>
  </si>
  <si>
    <t>EMP377</t>
  </si>
  <si>
    <t>EMP378</t>
  </si>
  <si>
    <t>EMP379</t>
  </si>
  <si>
    <t>EMP380</t>
  </si>
  <si>
    <t>EMP381</t>
  </si>
  <si>
    <t>EMP382</t>
  </si>
  <si>
    <t>EMP383</t>
  </si>
  <si>
    <t>EMP384</t>
  </si>
  <si>
    <t>EMP385</t>
  </si>
  <si>
    <t>EMP386</t>
  </si>
  <si>
    <t>EMP387</t>
  </si>
  <si>
    <t>EMP388</t>
  </si>
  <si>
    <t>EMP389</t>
  </si>
  <si>
    <t>EMP390</t>
  </si>
  <si>
    <t>EMP391</t>
  </si>
  <si>
    <t>EMP392</t>
  </si>
  <si>
    <t>Neha Patel</t>
  </si>
  <si>
    <t>EMP393</t>
  </si>
  <si>
    <t>EMP394</t>
  </si>
  <si>
    <t>EMP395</t>
  </si>
  <si>
    <t>EMP396</t>
  </si>
  <si>
    <t>EMP397</t>
  </si>
  <si>
    <t>EMP398</t>
  </si>
  <si>
    <t>EMP399</t>
  </si>
  <si>
    <t>EMP400</t>
  </si>
  <si>
    <t>EMP401</t>
  </si>
  <si>
    <t>EMP402</t>
  </si>
  <si>
    <t>EMP403</t>
  </si>
  <si>
    <t>EMP404</t>
  </si>
  <si>
    <t>EMP405</t>
  </si>
  <si>
    <t>EMP406</t>
  </si>
  <si>
    <t>EMP407</t>
  </si>
  <si>
    <t>EMP408</t>
  </si>
  <si>
    <t>EMP409</t>
  </si>
  <si>
    <t>EMP410</t>
  </si>
  <si>
    <t>EMP411</t>
  </si>
  <si>
    <t>EMP412</t>
  </si>
  <si>
    <t>EMP413</t>
  </si>
  <si>
    <t>Sneha Menon</t>
  </si>
  <si>
    <t>EMP414</t>
  </si>
  <si>
    <t>EMP415</t>
  </si>
  <si>
    <t>EMP416</t>
  </si>
  <si>
    <t>EMP417</t>
  </si>
  <si>
    <t>EMP418</t>
  </si>
  <si>
    <t>EMP419</t>
  </si>
  <si>
    <t>EMP420</t>
  </si>
  <si>
    <t>EMP421</t>
  </si>
  <si>
    <t>EMP422</t>
  </si>
  <si>
    <t>Rahul Verma</t>
  </si>
  <si>
    <t>EMP423</t>
  </si>
  <si>
    <t>EMP424</t>
  </si>
  <si>
    <t>EMP425</t>
  </si>
  <si>
    <t>EMP426</t>
  </si>
  <si>
    <t>EMP427</t>
  </si>
  <si>
    <t>EMP428</t>
  </si>
  <si>
    <t>Divya Verma</t>
  </si>
  <si>
    <t>EMP429</t>
  </si>
  <si>
    <t>EMP430</t>
  </si>
  <si>
    <t>EMP431</t>
  </si>
  <si>
    <t>EMP432</t>
  </si>
  <si>
    <t>EMP433</t>
  </si>
  <si>
    <t>EMP434</t>
  </si>
  <si>
    <t>EMP435</t>
  </si>
  <si>
    <t>Neha Iyer</t>
  </si>
  <si>
    <t>EMP436</t>
  </si>
  <si>
    <t>EMP437</t>
  </si>
  <si>
    <t>EMP438</t>
  </si>
  <si>
    <t>EMP439</t>
  </si>
  <si>
    <t>EMP440</t>
  </si>
  <si>
    <t>EMP441</t>
  </si>
  <si>
    <t>EMP442</t>
  </si>
  <si>
    <t>EMP443</t>
  </si>
  <si>
    <t>Divya Menon</t>
  </si>
  <si>
    <t>EMP444</t>
  </si>
  <si>
    <t>EMP445</t>
  </si>
  <si>
    <t>EMP446</t>
  </si>
  <si>
    <t>EMP447</t>
  </si>
  <si>
    <t>EMP448</t>
  </si>
  <si>
    <t>EMP449</t>
  </si>
  <si>
    <t>EMP450</t>
  </si>
  <si>
    <t>EMP451</t>
  </si>
  <si>
    <t>EMP452</t>
  </si>
  <si>
    <t>EMP453</t>
  </si>
  <si>
    <t>EMP454</t>
  </si>
  <si>
    <t>EMP455</t>
  </si>
  <si>
    <t>EMP456</t>
  </si>
  <si>
    <t>EMP457</t>
  </si>
  <si>
    <t>EMP458</t>
  </si>
  <si>
    <t>EMP459</t>
  </si>
  <si>
    <t>EMP460</t>
  </si>
  <si>
    <t>EMP461</t>
  </si>
  <si>
    <t>EMP462</t>
  </si>
  <si>
    <t>EMP463</t>
  </si>
  <si>
    <t>EMP464</t>
  </si>
  <si>
    <t>EMP465</t>
  </si>
  <si>
    <t>EMP466</t>
  </si>
  <si>
    <t>Divya Raj</t>
  </si>
  <si>
    <t>EMP467</t>
  </si>
  <si>
    <t>EMP468</t>
  </si>
  <si>
    <t>EMP469</t>
  </si>
  <si>
    <t>EMP470</t>
  </si>
  <si>
    <t>EMP471</t>
  </si>
  <si>
    <t>EMP472</t>
  </si>
  <si>
    <t>EMP473</t>
  </si>
  <si>
    <t>EMP474</t>
  </si>
  <si>
    <t>EMP475</t>
  </si>
  <si>
    <t>EMP476</t>
  </si>
  <si>
    <t>EMP477</t>
  </si>
  <si>
    <t>Sneha Sharma</t>
  </si>
  <si>
    <t>EMP478</t>
  </si>
  <si>
    <t>EMP479</t>
  </si>
  <si>
    <t>EMP480</t>
  </si>
  <si>
    <t>EMP481</t>
  </si>
  <si>
    <t>EMP482</t>
  </si>
  <si>
    <t>EMP483</t>
  </si>
  <si>
    <t>EMP484</t>
  </si>
  <si>
    <t>EMP485</t>
  </si>
  <si>
    <t>EMP486</t>
  </si>
  <si>
    <t>EMP487</t>
  </si>
  <si>
    <t>EMP488</t>
  </si>
  <si>
    <t>EMP489</t>
  </si>
  <si>
    <t>EMP490</t>
  </si>
  <si>
    <t>EMP491</t>
  </si>
  <si>
    <t>EMP492</t>
  </si>
  <si>
    <t>EMP493</t>
  </si>
  <si>
    <t>EMP494</t>
  </si>
  <si>
    <t>EMP495</t>
  </si>
  <si>
    <t>EMP496</t>
  </si>
  <si>
    <t>EMP497</t>
  </si>
  <si>
    <t>EMP498</t>
  </si>
  <si>
    <t>EMP499</t>
  </si>
  <si>
    <t>EMP500</t>
  </si>
  <si>
    <t>EMP501</t>
  </si>
  <si>
    <t>EMP502</t>
  </si>
  <si>
    <t>EMP503</t>
  </si>
  <si>
    <t>EMP504</t>
  </si>
  <si>
    <t>Amit Kumar</t>
  </si>
  <si>
    <t>EMP505</t>
  </si>
  <si>
    <t>EMP506</t>
  </si>
  <si>
    <t>Divya Sharma</t>
  </si>
  <si>
    <t>EMP507</t>
  </si>
  <si>
    <t>EMP508</t>
  </si>
  <si>
    <t>EMP509</t>
  </si>
  <si>
    <t>EMP510</t>
  </si>
  <si>
    <t>EMP511</t>
  </si>
  <si>
    <t>EMP512</t>
  </si>
  <si>
    <t>EMP513</t>
  </si>
  <si>
    <t>EMP514</t>
  </si>
  <si>
    <t>EMP515</t>
  </si>
  <si>
    <t>EMP516</t>
  </si>
  <si>
    <t>EMP517</t>
  </si>
  <si>
    <t>EMP518</t>
  </si>
  <si>
    <t>EMP519</t>
  </si>
  <si>
    <t>EMP520</t>
  </si>
  <si>
    <t>EMP521</t>
  </si>
  <si>
    <t>EMP522</t>
  </si>
  <si>
    <t>EMP523</t>
  </si>
  <si>
    <t>EMP524</t>
  </si>
  <si>
    <t>EMP525</t>
  </si>
  <si>
    <t>EMP526</t>
  </si>
  <si>
    <t>EMP527</t>
  </si>
  <si>
    <t>EMP528</t>
  </si>
  <si>
    <t>EMP529</t>
  </si>
  <si>
    <t>EMP530</t>
  </si>
  <si>
    <t>EMP531</t>
  </si>
  <si>
    <t>EMP532</t>
  </si>
  <si>
    <t>EMP533</t>
  </si>
  <si>
    <t>EMP534</t>
  </si>
  <si>
    <t>EMP535</t>
  </si>
  <si>
    <t>EMP536</t>
  </si>
  <si>
    <t>EMP537</t>
  </si>
  <si>
    <t>EMP538</t>
  </si>
  <si>
    <t>EMP539</t>
  </si>
  <si>
    <t>EMP540</t>
  </si>
  <si>
    <t>EMP541</t>
  </si>
  <si>
    <t>EMP542</t>
  </si>
  <si>
    <t>EMP543</t>
  </si>
  <si>
    <t>EMP544</t>
  </si>
  <si>
    <t>EMP545</t>
  </si>
  <si>
    <t>EMP546</t>
  </si>
  <si>
    <t>EMP547</t>
  </si>
  <si>
    <t>EMP548</t>
  </si>
  <si>
    <t>EMP549</t>
  </si>
  <si>
    <t>EMP550</t>
  </si>
  <si>
    <t>EMP551</t>
  </si>
  <si>
    <t>EMP552</t>
  </si>
  <si>
    <t>EMP553</t>
  </si>
  <si>
    <t>EMP554</t>
  </si>
  <si>
    <t>EMP555</t>
  </si>
  <si>
    <t>EMP556</t>
  </si>
  <si>
    <t>EMP557</t>
  </si>
  <si>
    <t>EMP558</t>
  </si>
  <si>
    <t>EMP559</t>
  </si>
  <si>
    <t>EMP560</t>
  </si>
  <si>
    <t>EMP561</t>
  </si>
  <si>
    <t>EMP562</t>
  </si>
  <si>
    <t>EMP563</t>
  </si>
  <si>
    <t>EMP564</t>
  </si>
  <si>
    <t>EMP565</t>
  </si>
  <si>
    <t>EMP566</t>
  </si>
  <si>
    <t>EMP567</t>
  </si>
  <si>
    <t>EMP568</t>
  </si>
  <si>
    <t>EMP569</t>
  </si>
  <si>
    <t>EMP570</t>
  </si>
  <si>
    <t>EMP571</t>
  </si>
  <si>
    <t>EMP572</t>
  </si>
  <si>
    <t>EMP573</t>
  </si>
  <si>
    <t>EMP574</t>
  </si>
  <si>
    <t>EMP575</t>
  </si>
  <si>
    <t>EMP576</t>
  </si>
  <si>
    <t>EMP577</t>
  </si>
  <si>
    <t>EMP578</t>
  </si>
  <si>
    <t>EMP579</t>
  </si>
  <si>
    <t>EMP580</t>
  </si>
  <si>
    <t>EMP581</t>
  </si>
  <si>
    <t>EMP582</t>
  </si>
  <si>
    <t>EMP583</t>
  </si>
  <si>
    <t>EMP584</t>
  </si>
  <si>
    <t>EMP585</t>
  </si>
  <si>
    <t>EMP586</t>
  </si>
  <si>
    <t>EMP587</t>
  </si>
  <si>
    <t>EMP588</t>
  </si>
  <si>
    <t>EMP589</t>
  </si>
  <si>
    <t>EMP590</t>
  </si>
  <si>
    <t>EMP591</t>
  </si>
  <si>
    <t>EMP592</t>
  </si>
  <si>
    <t>EMP593</t>
  </si>
  <si>
    <t>EMP594</t>
  </si>
  <si>
    <t>EMP595</t>
  </si>
  <si>
    <t>EMP596</t>
  </si>
  <si>
    <t>EMP597</t>
  </si>
  <si>
    <t>EMP598</t>
  </si>
  <si>
    <t>EMP599</t>
  </si>
  <si>
    <t>EMP600</t>
  </si>
  <si>
    <t>EMP601</t>
  </si>
  <si>
    <t>EMP602</t>
  </si>
  <si>
    <t>EMP603</t>
  </si>
  <si>
    <t>EMP604</t>
  </si>
  <si>
    <t>EMP605</t>
  </si>
  <si>
    <t>EMP606</t>
  </si>
  <si>
    <t>EMP607</t>
  </si>
  <si>
    <t>EMP608</t>
  </si>
  <si>
    <t>EMP609</t>
  </si>
  <si>
    <t>EMP610</t>
  </si>
  <si>
    <t>EMP611</t>
  </si>
  <si>
    <t>Vivek Kumar</t>
  </si>
  <si>
    <t>EMP612</t>
  </si>
  <si>
    <t>EMP613</t>
  </si>
  <si>
    <t>EMP614</t>
  </si>
  <si>
    <t>EMP615</t>
  </si>
  <si>
    <t>EMP616</t>
  </si>
  <si>
    <t>EMP617</t>
  </si>
  <si>
    <t>EMP618</t>
  </si>
  <si>
    <t>EMP619</t>
  </si>
  <si>
    <t>EMP620</t>
  </si>
  <si>
    <t>EMP621</t>
  </si>
  <si>
    <t>EMP622</t>
  </si>
  <si>
    <t>EMP623</t>
  </si>
  <si>
    <t>EMP624</t>
  </si>
  <si>
    <t>EMP625</t>
  </si>
  <si>
    <t>EMP626</t>
  </si>
  <si>
    <t>EMP627</t>
  </si>
  <si>
    <t>EMP628</t>
  </si>
  <si>
    <t>EMP629</t>
  </si>
  <si>
    <t>EMP630</t>
  </si>
  <si>
    <t>EMP631</t>
  </si>
  <si>
    <t>EMP632</t>
  </si>
  <si>
    <t>EMP633</t>
  </si>
  <si>
    <t>EMP634</t>
  </si>
  <si>
    <t>EMP635</t>
  </si>
  <si>
    <t>EMP636</t>
  </si>
  <si>
    <t>EMP637</t>
  </si>
  <si>
    <t>EMP638</t>
  </si>
  <si>
    <t>EMP639</t>
  </si>
  <si>
    <t>EMP640</t>
  </si>
  <si>
    <t>EMP641</t>
  </si>
  <si>
    <t>EMP642</t>
  </si>
  <si>
    <t>EMP643</t>
  </si>
  <si>
    <t>EMP644</t>
  </si>
  <si>
    <t>EMP645</t>
  </si>
  <si>
    <t>EMP646</t>
  </si>
  <si>
    <t>EMP647</t>
  </si>
  <si>
    <t>EMP648</t>
  </si>
  <si>
    <t>EMP649</t>
  </si>
  <si>
    <t>EMP650</t>
  </si>
  <si>
    <t>EMP651</t>
  </si>
  <si>
    <t>EMP652</t>
  </si>
  <si>
    <t>EMP653</t>
  </si>
  <si>
    <t>EMP654</t>
  </si>
  <si>
    <t>EMP655</t>
  </si>
  <si>
    <t>EMP656</t>
  </si>
  <si>
    <t>EMP657</t>
  </si>
  <si>
    <t>EMP658</t>
  </si>
  <si>
    <t>EMP659</t>
  </si>
  <si>
    <t>EMP660</t>
  </si>
  <si>
    <t>EMP661</t>
  </si>
  <si>
    <t>EMP662</t>
  </si>
  <si>
    <t>EMP663</t>
  </si>
  <si>
    <t>EMP664</t>
  </si>
  <si>
    <t>EMP665</t>
  </si>
  <si>
    <t>EMP666</t>
  </si>
  <si>
    <t>EMP667</t>
  </si>
  <si>
    <t>EMP668</t>
  </si>
  <si>
    <t>EMP669</t>
  </si>
  <si>
    <t>EMP670</t>
  </si>
  <si>
    <t>EMP671</t>
  </si>
  <si>
    <t>EMP672</t>
  </si>
  <si>
    <t>EMP673</t>
  </si>
  <si>
    <t>EMP674</t>
  </si>
  <si>
    <t>EMP675</t>
  </si>
  <si>
    <t>EMP676</t>
  </si>
  <si>
    <t>EMP677</t>
  </si>
  <si>
    <t>EMP678</t>
  </si>
  <si>
    <t>EMP679</t>
  </si>
  <si>
    <t>EMP680</t>
  </si>
  <si>
    <t>EMP681</t>
  </si>
  <si>
    <t>EMP682</t>
  </si>
  <si>
    <t>EMP683</t>
  </si>
  <si>
    <t>EMP684</t>
  </si>
  <si>
    <t>EMP685</t>
  </si>
  <si>
    <t>EMP686</t>
  </si>
  <si>
    <t>EMP687</t>
  </si>
  <si>
    <t>EMP688</t>
  </si>
  <si>
    <t>EMP689</t>
  </si>
  <si>
    <t>EMP690</t>
  </si>
  <si>
    <t>EMP691</t>
  </si>
  <si>
    <t>EMP692</t>
  </si>
  <si>
    <t>EMP693</t>
  </si>
  <si>
    <t>EMP694</t>
  </si>
  <si>
    <t>EMP695</t>
  </si>
  <si>
    <t>EMP696</t>
  </si>
  <si>
    <t>EMP697</t>
  </si>
  <si>
    <t>EMP698</t>
  </si>
  <si>
    <t>EMP699</t>
  </si>
  <si>
    <t>EMP700</t>
  </si>
  <si>
    <t>EMP701</t>
  </si>
  <si>
    <t>EMP702</t>
  </si>
  <si>
    <t>EMP703</t>
  </si>
  <si>
    <t>EMP704</t>
  </si>
  <si>
    <t>EMP705</t>
  </si>
  <si>
    <t>EMP706</t>
  </si>
  <si>
    <t>EMP707</t>
  </si>
  <si>
    <t>EMP708</t>
  </si>
  <si>
    <t>EMP709</t>
  </si>
  <si>
    <t>EMP710</t>
  </si>
  <si>
    <t>EMP711</t>
  </si>
  <si>
    <t>EMP712</t>
  </si>
  <si>
    <t>EMP713</t>
  </si>
  <si>
    <t>EMP714</t>
  </si>
  <si>
    <t>EMP715</t>
  </si>
  <si>
    <t>EMP716</t>
  </si>
  <si>
    <t>EMP717</t>
  </si>
  <si>
    <t>EMP718</t>
  </si>
  <si>
    <t>EMP719</t>
  </si>
  <si>
    <t>EMP720</t>
  </si>
  <si>
    <t>EMP721</t>
  </si>
  <si>
    <t>EMP722</t>
  </si>
  <si>
    <t>EMP723</t>
  </si>
  <si>
    <t>EMP724</t>
  </si>
  <si>
    <t>EMP725</t>
  </si>
  <si>
    <t>EMP726</t>
  </si>
  <si>
    <t>EMP727</t>
  </si>
  <si>
    <t>EMP728</t>
  </si>
  <si>
    <t>EMP729</t>
  </si>
  <si>
    <t>EMP730</t>
  </si>
  <si>
    <t>EMP731</t>
  </si>
  <si>
    <t>EMP732</t>
  </si>
  <si>
    <t>EMP733</t>
  </si>
  <si>
    <t>EMP734</t>
  </si>
  <si>
    <t>EMP735</t>
  </si>
  <si>
    <t>EMP736</t>
  </si>
  <si>
    <t>EMP737</t>
  </si>
  <si>
    <t>EMP738</t>
  </si>
  <si>
    <t>EMP739</t>
  </si>
  <si>
    <t>EMP740</t>
  </si>
  <si>
    <t>EMP741</t>
  </si>
  <si>
    <t>EMP742</t>
  </si>
  <si>
    <t>EMP743</t>
  </si>
  <si>
    <t>EMP744</t>
  </si>
  <si>
    <t>EMP745</t>
  </si>
  <si>
    <t>EMP746</t>
  </si>
  <si>
    <t>EMP747</t>
  </si>
  <si>
    <t>EMP748</t>
  </si>
  <si>
    <t>EMP749</t>
  </si>
  <si>
    <t>EMP750</t>
  </si>
  <si>
    <t>EMP751</t>
  </si>
  <si>
    <t>EMP752</t>
  </si>
  <si>
    <t>EMP753</t>
  </si>
  <si>
    <t>EMP754</t>
  </si>
  <si>
    <t>EMP755</t>
  </si>
  <si>
    <t>EMP756</t>
  </si>
  <si>
    <t>EMP757</t>
  </si>
  <si>
    <t>EMP758</t>
  </si>
  <si>
    <t>EMP759</t>
  </si>
  <si>
    <t>EMP760</t>
  </si>
  <si>
    <t>EMP761</t>
  </si>
  <si>
    <t>EMP762</t>
  </si>
  <si>
    <t>EMP763</t>
  </si>
  <si>
    <t>EMP764</t>
  </si>
  <si>
    <t>EMP765</t>
  </si>
  <si>
    <t>EMP766</t>
  </si>
  <si>
    <t>EMP767</t>
  </si>
  <si>
    <t>EMP768</t>
  </si>
  <si>
    <t>EMP769</t>
  </si>
  <si>
    <t>EMP770</t>
  </si>
  <si>
    <t>EMP771</t>
  </si>
  <si>
    <t>EMP772</t>
  </si>
  <si>
    <t>EMP773</t>
  </si>
  <si>
    <t>EMP774</t>
  </si>
  <si>
    <t>EMP775</t>
  </si>
  <si>
    <t>EMP776</t>
  </si>
  <si>
    <t>EMP777</t>
  </si>
  <si>
    <t>EMP778</t>
  </si>
  <si>
    <t>EMP779</t>
  </si>
  <si>
    <t>EMP780</t>
  </si>
  <si>
    <t>EMP781</t>
  </si>
  <si>
    <t>EMP782</t>
  </si>
  <si>
    <t>EMP783</t>
  </si>
  <si>
    <t>EMP784</t>
  </si>
  <si>
    <t>EMP785</t>
  </si>
  <si>
    <t>EMP786</t>
  </si>
  <si>
    <t>EMP787</t>
  </si>
  <si>
    <t>EMP788</t>
  </si>
  <si>
    <t>EMP789</t>
  </si>
  <si>
    <t>EMP790</t>
  </si>
  <si>
    <t>EMP791</t>
  </si>
  <si>
    <t>EMP792</t>
  </si>
  <si>
    <t>EMP793</t>
  </si>
  <si>
    <t>EMP794</t>
  </si>
  <si>
    <t>EMP795</t>
  </si>
  <si>
    <t>EMP796</t>
  </si>
  <si>
    <t>EMP797</t>
  </si>
  <si>
    <t>EMP798</t>
  </si>
  <si>
    <t>EMP799</t>
  </si>
  <si>
    <t>EMP800</t>
  </si>
  <si>
    <t>EMP801</t>
  </si>
  <si>
    <t>EMP802</t>
  </si>
  <si>
    <t>EMP803</t>
  </si>
  <si>
    <t>EMP804</t>
  </si>
  <si>
    <t>EMP805</t>
  </si>
  <si>
    <t>EMP806</t>
  </si>
  <si>
    <t>EMP807</t>
  </si>
  <si>
    <t>EMP808</t>
  </si>
  <si>
    <t>EMP809</t>
  </si>
  <si>
    <t>EMP810</t>
  </si>
  <si>
    <t>EMP811</t>
  </si>
  <si>
    <t>EMP812</t>
  </si>
  <si>
    <t>EMP813</t>
  </si>
  <si>
    <t>EMP814</t>
  </si>
  <si>
    <t>EMP815</t>
  </si>
  <si>
    <t>EMP816</t>
  </si>
  <si>
    <t>EMP817</t>
  </si>
  <si>
    <t>EMP818</t>
  </si>
  <si>
    <t>EMP819</t>
  </si>
  <si>
    <t>EMP820</t>
  </si>
  <si>
    <t>EMP821</t>
  </si>
  <si>
    <t>EMP822</t>
  </si>
  <si>
    <t>EMP823</t>
  </si>
  <si>
    <t>EMP824</t>
  </si>
  <si>
    <t>EMP825</t>
  </si>
  <si>
    <t>EMP826</t>
  </si>
  <si>
    <t>EMP827</t>
  </si>
  <si>
    <t>EMP828</t>
  </si>
  <si>
    <t>EMP829</t>
  </si>
  <si>
    <t>EMP830</t>
  </si>
  <si>
    <t>EMP831</t>
  </si>
  <si>
    <t>EMP832</t>
  </si>
  <si>
    <t>EMP833</t>
  </si>
  <si>
    <t>EMP834</t>
  </si>
  <si>
    <t>EMP835</t>
  </si>
  <si>
    <t>EMP836</t>
  </si>
  <si>
    <t>EMP837</t>
  </si>
  <si>
    <t>EMP838</t>
  </si>
  <si>
    <t>EMP839</t>
  </si>
  <si>
    <t>EMP840</t>
  </si>
  <si>
    <t>EMP841</t>
  </si>
  <si>
    <t>EMP842</t>
  </si>
  <si>
    <t>EMP843</t>
  </si>
  <si>
    <t>EMP844</t>
  </si>
  <si>
    <t>EMP845</t>
  </si>
  <si>
    <t>EMP846</t>
  </si>
  <si>
    <t>EMP847</t>
  </si>
  <si>
    <t>EMP848</t>
  </si>
  <si>
    <t>EMP849</t>
  </si>
  <si>
    <t>EMP850</t>
  </si>
  <si>
    <t>EMP851</t>
  </si>
  <si>
    <t>EMP852</t>
  </si>
  <si>
    <t>EMP853</t>
  </si>
  <si>
    <t>EMP854</t>
  </si>
  <si>
    <t>EMP855</t>
  </si>
  <si>
    <t>EMP856</t>
  </si>
  <si>
    <t>EMP857</t>
  </si>
  <si>
    <t>EMP858</t>
  </si>
  <si>
    <t>Rahul Singh</t>
  </si>
  <si>
    <t>EMP859</t>
  </si>
  <si>
    <t>EMP860</t>
  </si>
  <si>
    <t>EMP861</t>
  </si>
  <si>
    <t>EMP862</t>
  </si>
  <si>
    <t>EMP863</t>
  </si>
  <si>
    <t>EMP864</t>
  </si>
  <si>
    <t>EMP865</t>
  </si>
  <si>
    <t>EMP866</t>
  </si>
  <si>
    <t>EMP867</t>
  </si>
  <si>
    <t>EMP868</t>
  </si>
  <si>
    <t>EMP869</t>
  </si>
  <si>
    <t>EMP870</t>
  </si>
  <si>
    <t>EMP871</t>
  </si>
  <si>
    <t>EMP872</t>
  </si>
  <si>
    <t>EMP873</t>
  </si>
  <si>
    <t>EMP874</t>
  </si>
  <si>
    <t>EMP875</t>
  </si>
  <si>
    <t>EMP876</t>
  </si>
  <si>
    <t>EMP877</t>
  </si>
  <si>
    <t>EMP878</t>
  </si>
  <si>
    <t>EMP879</t>
  </si>
  <si>
    <t>EMP880</t>
  </si>
  <si>
    <t>EMP881</t>
  </si>
  <si>
    <t>EMP882</t>
  </si>
  <si>
    <t>EMP883</t>
  </si>
  <si>
    <t>EMP884</t>
  </si>
  <si>
    <t>EMP885</t>
  </si>
  <si>
    <t>EMP886</t>
  </si>
  <si>
    <t>EMP887</t>
  </si>
  <si>
    <t>EMP888</t>
  </si>
  <si>
    <t>EMP889</t>
  </si>
  <si>
    <t>EMP890</t>
  </si>
  <si>
    <t>EMP891</t>
  </si>
  <si>
    <t>EMP892</t>
  </si>
  <si>
    <t>EMP893</t>
  </si>
  <si>
    <t>EMP894</t>
  </si>
  <si>
    <t>EMP895</t>
  </si>
  <si>
    <t>EMP896</t>
  </si>
  <si>
    <t>EMP897</t>
  </si>
  <si>
    <t>EMP898</t>
  </si>
  <si>
    <t>EMP899</t>
  </si>
  <si>
    <t>EMP900</t>
  </si>
  <si>
    <t>EMP901</t>
  </si>
  <si>
    <t>EMP902</t>
  </si>
  <si>
    <t>EMP903</t>
  </si>
  <si>
    <t>EMP904</t>
  </si>
  <si>
    <t>EMP905</t>
  </si>
  <si>
    <t>EMP906</t>
  </si>
  <si>
    <t>EMP907</t>
  </si>
  <si>
    <t>EMP908</t>
  </si>
  <si>
    <t>EMP909</t>
  </si>
  <si>
    <t>EMP910</t>
  </si>
  <si>
    <t>EMP911</t>
  </si>
  <si>
    <t>EMP912</t>
  </si>
  <si>
    <t>EMP913</t>
  </si>
  <si>
    <t>EMP914</t>
  </si>
  <si>
    <t>EMP915</t>
  </si>
  <si>
    <t>EMP916</t>
  </si>
  <si>
    <t>EMP917</t>
  </si>
  <si>
    <t>EMP918</t>
  </si>
  <si>
    <t>EMP919</t>
  </si>
  <si>
    <t>EMP920</t>
  </si>
  <si>
    <t>EMP921</t>
  </si>
  <si>
    <t>EMP922</t>
  </si>
  <si>
    <t>EMP923</t>
  </si>
  <si>
    <t>EMP924</t>
  </si>
  <si>
    <t>EMP925</t>
  </si>
  <si>
    <t>EMP926</t>
  </si>
  <si>
    <t>EMP927</t>
  </si>
  <si>
    <t>EMP928</t>
  </si>
  <si>
    <t>EMP929</t>
  </si>
  <si>
    <t>EMP930</t>
  </si>
  <si>
    <t>EMP931</t>
  </si>
  <si>
    <t>EMP932</t>
  </si>
  <si>
    <t>EMP933</t>
  </si>
  <si>
    <t>EMP934</t>
  </si>
  <si>
    <t>EMP935</t>
  </si>
  <si>
    <t>EMP936</t>
  </si>
  <si>
    <t>EMP937</t>
  </si>
  <si>
    <t>EMP938</t>
  </si>
  <si>
    <t>EMP939</t>
  </si>
  <si>
    <t>EMP940</t>
  </si>
  <si>
    <t>EMP941</t>
  </si>
  <si>
    <t>EMP942</t>
  </si>
  <si>
    <t>EMP943</t>
  </si>
  <si>
    <t>EMP944</t>
  </si>
  <si>
    <t>EMP945</t>
  </si>
  <si>
    <t>EMP946</t>
  </si>
  <si>
    <t>EMP947</t>
  </si>
  <si>
    <t>EMP948</t>
  </si>
  <si>
    <t>EMP949</t>
  </si>
  <si>
    <t>EMP950</t>
  </si>
  <si>
    <t>EMP951</t>
  </si>
  <si>
    <t>EMP952</t>
  </si>
  <si>
    <t>EMP953</t>
  </si>
  <si>
    <t>EMP954</t>
  </si>
  <si>
    <t>EMP955</t>
  </si>
  <si>
    <t>EMP956</t>
  </si>
  <si>
    <t>EMP957</t>
  </si>
  <si>
    <t>EMP958</t>
  </si>
  <si>
    <t>EMP959</t>
  </si>
  <si>
    <t>EMP960</t>
  </si>
  <si>
    <t>EMP961</t>
  </si>
  <si>
    <t>EMP962</t>
  </si>
  <si>
    <t>EMP963</t>
  </si>
  <si>
    <t>EMP964</t>
  </si>
  <si>
    <t>EMP965</t>
  </si>
  <si>
    <t>EMP966</t>
  </si>
  <si>
    <t>EMP967</t>
  </si>
  <si>
    <t>EMP968</t>
  </si>
  <si>
    <t>EMP969</t>
  </si>
  <si>
    <t>EMP970</t>
  </si>
  <si>
    <t>EMP971</t>
  </si>
  <si>
    <t>EMP972</t>
  </si>
  <si>
    <t>EMP973</t>
  </si>
  <si>
    <t>EMP974</t>
  </si>
  <si>
    <t>EMP975</t>
  </si>
  <si>
    <t>EMP976</t>
  </si>
  <si>
    <t>EMP977</t>
  </si>
  <si>
    <t>EMP978</t>
  </si>
  <si>
    <t>EMP979</t>
  </si>
  <si>
    <t>EMP980</t>
  </si>
  <si>
    <t>EMP981</t>
  </si>
  <si>
    <t>EMP982</t>
  </si>
  <si>
    <t>EMP983</t>
  </si>
  <si>
    <t>EMP984</t>
  </si>
  <si>
    <t>EMP985</t>
  </si>
  <si>
    <t>EMP986</t>
  </si>
  <si>
    <t>EMP987</t>
  </si>
  <si>
    <t>EMP988</t>
  </si>
  <si>
    <t>EMP989</t>
  </si>
  <si>
    <t>EMP990</t>
  </si>
  <si>
    <t>EMP991</t>
  </si>
  <si>
    <t>EMP992</t>
  </si>
  <si>
    <t>EMP993</t>
  </si>
  <si>
    <t>EMP994</t>
  </si>
  <si>
    <t>EMP995</t>
  </si>
  <si>
    <t>EMP996</t>
  </si>
  <si>
    <t>EMP997</t>
  </si>
  <si>
    <t>EMP998</t>
  </si>
  <si>
    <t>EMP999</t>
  </si>
  <si>
    <t>EMP1000</t>
  </si>
  <si>
    <t>Which department has the highest attrition?</t>
  </si>
  <si>
    <t>Does salary affect attrition?</t>
  </si>
  <si>
    <t>Which age group leaves the company most?</t>
  </si>
  <si>
    <t>Are experienced employees leaving?</t>
  </si>
  <si>
    <t>Which education level has the highest attrition?</t>
  </si>
  <si>
    <t>Which department has the lowest job satisfaction?</t>
  </si>
  <si>
    <t>QUESTIONS</t>
  </si>
  <si>
    <t>Age_Group</t>
  </si>
  <si>
    <t>Salary_Band</t>
  </si>
  <si>
    <t>Experience_Level</t>
  </si>
  <si>
    <t>Performance_Category</t>
  </si>
  <si>
    <t>Satisfaction_category</t>
  </si>
  <si>
    <t>Pivot Table1: Total Employees</t>
  </si>
  <si>
    <t>Total_Employees</t>
  </si>
  <si>
    <t>Pivot Table 2: Employee Attrition</t>
  </si>
  <si>
    <t>Grand Total</t>
  </si>
  <si>
    <t>Pivot Table 3: Gender Distribution</t>
  </si>
  <si>
    <t>Pivot Table 4: Department-wise Employees</t>
  </si>
  <si>
    <t>Pivot Table 5: Average Salary by Department</t>
  </si>
  <si>
    <t>Average of Salary</t>
  </si>
  <si>
    <t xml:space="preserve">Department </t>
  </si>
  <si>
    <t>Total Employees</t>
  </si>
  <si>
    <t>Pivot Table 6: Average Age</t>
  </si>
  <si>
    <t>Average of Age</t>
  </si>
  <si>
    <t>Pivot Table 7: Average Job Satisfaction</t>
  </si>
  <si>
    <t>Average of Job_Satisfaction</t>
  </si>
  <si>
    <t>Pivot Table 8: Average Years at Company</t>
  </si>
  <si>
    <t>Average of Years_at_Company</t>
  </si>
  <si>
    <t>Pivot Table 9: Attrition by Department</t>
  </si>
  <si>
    <t>40-49</t>
  </si>
  <si>
    <t>Medium</t>
  </si>
  <si>
    <t>50+</t>
  </si>
  <si>
    <t>High</t>
  </si>
  <si>
    <t>30-39</t>
  </si>
  <si>
    <t>20-29</t>
  </si>
  <si>
    <t>Low</t>
  </si>
  <si>
    <t>Pivot Table 10: Attrition by Gender</t>
  </si>
  <si>
    <t>Pivot Table 11: Attrition by Age Group</t>
  </si>
  <si>
    <t>Age Group</t>
  </si>
  <si>
    <t>Pivot Table 12: Salary Band Distribution</t>
  </si>
  <si>
    <t>Pivot Table 13: Education Distribution</t>
  </si>
  <si>
    <t xml:space="preserve">Education </t>
  </si>
  <si>
    <t xml:space="preserve">Salary Band </t>
  </si>
  <si>
    <t>Pivot Table 14: Overtime vs Attrition</t>
  </si>
  <si>
    <t>Pivot Table 15: Performance Rating Distribution</t>
  </si>
  <si>
    <t>Performance Rating</t>
  </si>
  <si>
    <t>Total employees</t>
  </si>
  <si>
    <t>Attrition count</t>
  </si>
  <si>
    <t>Attrition rate</t>
  </si>
  <si>
    <t xml:space="preserve">Average Salary </t>
  </si>
  <si>
    <t>Average Age</t>
  </si>
  <si>
    <t>Average Job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</si>
</sst>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 &quot;₹&quot;\ * #,##0.00_ ;_ &quot;₹&quot;\ * \-#,##0.00_ ;_ &quot;₹&quot;\ * &quot;-&quot;??_ ;_ @_ "/>
    <numFmt numFmtId="164" formatCode="0.0"/>
    <numFmt numFmtId="165" formatCode="_ &quot;₹&quot;\ * #,##0_ ;_ &quot;₹&quot;\ * \-#,##0_ ;_ &quot;₹&quot;\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rgb="FFFFC000"/>
        <bgColor indexed="64"/>
      </patternFill>
    </fill>
    <fill>
      <patternFill patternType="solid">
        <fgColor theme="4"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0" xfId="0" applyFill="1"/>
    <xf numFmtId="0" fontId="0" fillId="3" borderId="0" xfId="0" applyFill="1"/>
    <xf numFmtId="0" fontId="0" fillId="4" borderId="0" xfId="0" applyFill="1"/>
    <xf numFmtId="0" fontId="0" fillId="0" borderId="0" xfId="0" applyNumberFormat="1"/>
    <xf numFmtId="0" fontId="3" fillId="3" borderId="0" xfId="0" applyFont="1" applyFill="1"/>
    <xf numFmtId="0" fontId="4" fillId="3" borderId="0" xfId="0" applyFont="1" applyFill="1"/>
    <xf numFmtId="0" fontId="2" fillId="3" borderId="0" xfId="0" applyFont="1" applyFill="1"/>
    <xf numFmtId="0" fontId="0" fillId="0" borderId="0" xfId="0" pivotButton="1"/>
    <xf numFmtId="0" fontId="0" fillId="0" borderId="0" xfId="0" applyAlignment="1">
      <alignment horizontal="left"/>
    </xf>
    <xf numFmtId="0" fontId="4" fillId="0" borderId="0" xfId="0" applyFont="1" applyFill="1"/>
    <xf numFmtId="0" fontId="2" fillId="0" borderId="0" xfId="0" applyFont="1" applyFill="1"/>
    <xf numFmtId="2" fontId="0" fillId="0" borderId="0" xfId="0" applyNumberFormat="1"/>
    <xf numFmtId="164" fontId="0" fillId="0" borderId="0" xfId="0" applyNumberFormat="1"/>
    <xf numFmtId="0" fontId="0" fillId="0" borderId="0" xfId="0" applyFill="1"/>
    <xf numFmtId="1" fontId="0" fillId="0" borderId="0" xfId="0" applyNumberFormat="1"/>
    <xf numFmtId="0" fontId="2" fillId="5" borderId="0" xfId="0" applyFont="1" applyFill="1"/>
    <xf numFmtId="9" fontId="2" fillId="5" borderId="0" xfId="2" applyFont="1" applyFill="1"/>
    <xf numFmtId="2" fontId="2" fillId="5" borderId="0" xfId="2" applyNumberFormat="1" applyFont="1" applyFill="1"/>
    <xf numFmtId="1" fontId="2" fillId="5" borderId="0" xfId="2" applyNumberFormat="1" applyFont="1" applyFill="1"/>
    <xf numFmtId="165" fontId="2" fillId="5" borderId="0" xfId="1" applyNumberFormat="1" applyFont="1" applyFill="1"/>
  </cellXfs>
  <cellStyles count="3">
    <cellStyle name="Currency" xfId="1" builtinId="4"/>
    <cellStyle name="Normal" xfId="0" builtinId="0"/>
    <cellStyle name="Percent" xfId="2" builtinId="5"/>
  </cellStyles>
  <dxfs count="21">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2" formatCode="0.00"/>
    </dxf>
    <dxf>
      <numFmt numFmtId="1" formatCode="0"/>
    </dxf>
    <dxf>
      <numFmt numFmtId="164" formatCode="0.0"/>
    </dxf>
    <dxf>
      <numFmt numFmtId="1" formatCode="0"/>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9C0006"/>
      </font>
      <fill>
        <patternFill>
          <bgColor rgb="FFFFC7CE"/>
        </patternFill>
      </fill>
    </dxf>
    <dxf>
      <font>
        <b/>
        <i val="0"/>
        <name val="Calibri"/>
        <family val="2"/>
        <scheme val="minor"/>
      </font>
    </dxf>
    <dxf>
      <font>
        <b/>
        <color theme="1"/>
      </font>
      <border>
        <bottom style="thin">
          <color theme="4"/>
        </bottom>
        <vertical/>
        <horizontal/>
      </border>
    </dxf>
    <dxf>
      <font>
        <sz val="8"/>
        <color theme="1"/>
      </font>
      <border diagonalUp="0" diagonalDown="0">
        <left/>
        <right/>
        <top/>
        <bottom/>
        <vertical/>
        <horizontal/>
      </border>
    </dxf>
  </dxfs>
  <tableStyles count="2" defaultTableStyle="TableStyleMedium9" defaultPivotStyle="PivotStyleLight16">
    <tableStyle name="022023" pivot="0" table="0" count="10" xr9:uid="{CFBE8CEF-212F-4A6E-A25F-974C27E61EB3}">
      <tableStyleElement type="wholeTable" dxfId="20"/>
      <tableStyleElement type="headerRow" dxfId="19"/>
    </tableStyle>
    <tableStyle name="Slicer Style 1" pivot="0" table="0" count="1" xr9:uid="{9BA6C71C-2492-494F-9910-65BBBCA412DC}">
      <tableStyleElement type="wholeTable" dxfId="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02202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[HR_Analytics_project.xlxs.xlsx]Pivot_Table!PivotTable9</c:name>
    <c:fmtId val="13"/>
  </c:pivotSource>
  <c:chart>
    <c:title>
      <c:tx>
        <c:rich>
          <a:bodyPr rot="0" spcFirstLastPara="1" vertOverflow="ellipsis" vert="horz" wrap="square" anchor="ctr" anchorCtr="1"/>
          <a:lstStyle/>
          <a:p>
            <a:pPr algn="ctr" rtl="0">
              <a:defRPr lang="en-IN" sz="2000" b="1" i="0" u="none" strike="noStrike" kern="1200" cap="none" spc="0" normalizeH="0" baseline="0">
                <a:solidFill>
                  <a:sysClr val="windowText" lastClr="000000">
                    <a:lumMod val="65000"/>
                    <a:lumOff val="35000"/>
                  </a:sysClr>
                </a:solidFill>
                <a:latin typeface="+mn-lt"/>
                <a:ea typeface="+mn-ea"/>
                <a:cs typeface="+mn-cs"/>
              </a:defRPr>
            </a:pPr>
            <a:r>
              <a:rPr lang="en-IN" sz="2000" b="1" i="0" u="none" strike="noStrike" kern="1200" spc="0" baseline="0">
                <a:solidFill>
                  <a:sysClr val="windowText" lastClr="000000">
                    <a:lumMod val="65000"/>
                    <a:lumOff val="35000"/>
                  </a:sysClr>
                </a:solidFill>
                <a:latin typeface="+mn-lt"/>
                <a:ea typeface="+mn-ea"/>
                <a:cs typeface="+mn-cs"/>
              </a:rPr>
              <a:t>Employees by Department</a:t>
            </a:r>
          </a:p>
        </c:rich>
      </c:tx>
      <c:layout>
        <c:manualLayout>
          <c:xMode val="edge"/>
          <c:yMode val="edge"/>
          <c:x val="0.20203300091194229"/>
          <c:y val="6.1565385037882107E-2"/>
        </c:manualLayout>
      </c:layout>
      <c:overlay val="0"/>
      <c:spPr>
        <a:noFill/>
        <a:ln>
          <a:noFill/>
        </a:ln>
        <a:effectLst/>
      </c:spPr>
      <c:txPr>
        <a:bodyPr rot="0" spcFirstLastPara="1" vertOverflow="ellipsis" vert="horz" wrap="square" anchor="ctr" anchorCtr="1"/>
        <a:lstStyle/>
        <a:p>
          <a:pPr algn="ctr" rtl="0">
            <a:defRPr lang="en-IN" sz="2000" b="1" i="0" u="none" strike="noStrike" kern="1200" cap="none" spc="0" normalizeH="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53975">
            <a:solidFill>
              <a:schemeClr val="accent1">
                <a:shade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accent1">
                <a:shade val="50000"/>
              </a:schemeClr>
            </a:solidFill>
          </a:ln>
          <a:effectLst>
            <a:outerShdw blurRad="50800" dist="711200" dir="5400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230363766512659"/>
          <c:y val="0.21431416079175705"/>
          <c:w val="0.56327324786880983"/>
          <c:h val="0.63667907895385512"/>
        </c:manualLayout>
      </c:layout>
      <c:barChart>
        <c:barDir val="bar"/>
        <c:grouping val="clustered"/>
        <c:varyColors val="0"/>
        <c:ser>
          <c:idx val="0"/>
          <c:order val="0"/>
          <c:tx>
            <c:strRef>
              <c:f>Pivot_Table!$K$20:$K$21</c:f>
              <c:strCache>
                <c:ptCount val="1"/>
                <c:pt idx="0">
                  <c:v>No</c:v>
                </c:pt>
              </c:strCache>
            </c:strRef>
          </c:tx>
          <c:spPr>
            <a:solidFill>
              <a:schemeClr val="accent1"/>
            </a:solidFill>
            <a:ln w="53975">
              <a:solidFill>
                <a:schemeClr val="accen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Pivot_Table!$J$22:$J$28</c:f>
              <c:strCache>
                <c:ptCount val="6"/>
                <c:pt idx="0">
                  <c:v>Finance</c:v>
                </c:pt>
                <c:pt idx="1">
                  <c:v>HR</c:v>
                </c:pt>
                <c:pt idx="2">
                  <c:v>IT</c:v>
                </c:pt>
                <c:pt idx="3">
                  <c:v>Marketing</c:v>
                </c:pt>
                <c:pt idx="4">
                  <c:v>Operations</c:v>
                </c:pt>
                <c:pt idx="5">
                  <c:v>Sales</c:v>
                </c:pt>
              </c:strCache>
            </c:strRef>
          </c:cat>
          <c:val>
            <c:numRef>
              <c:f>Pivot_Table!$K$22:$K$28</c:f>
              <c:numCache>
                <c:formatCode>0</c:formatCode>
                <c:ptCount val="6"/>
                <c:pt idx="0">
                  <c:v>139</c:v>
                </c:pt>
                <c:pt idx="1">
                  <c:v>145</c:v>
                </c:pt>
                <c:pt idx="2">
                  <c:v>125</c:v>
                </c:pt>
                <c:pt idx="3">
                  <c:v>136</c:v>
                </c:pt>
                <c:pt idx="4">
                  <c:v>124</c:v>
                </c:pt>
                <c:pt idx="5">
                  <c:v>153</c:v>
                </c:pt>
              </c:numCache>
            </c:numRef>
          </c:val>
          <c:extLst>
            <c:ext xmlns:c16="http://schemas.microsoft.com/office/drawing/2014/chart" uri="{C3380CC4-5D6E-409C-BE32-E72D297353CC}">
              <c16:uniqueId val="{00000000-506E-4FA9-9C21-DDD6CBE4E51C}"/>
            </c:ext>
          </c:extLst>
        </c:ser>
        <c:ser>
          <c:idx val="1"/>
          <c:order val="1"/>
          <c:tx>
            <c:strRef>
              <c:f>Pivot_Table!$L$20:$L$21</c:f>
              <c:strCache>
                <c:ptCount val="1"/>
                <c:pt idx="0">
                  <c:v>Yes</c:v>
                </c:pt>
              </c:strCache>
            </c:strRef>
          </c:tx>
          <c:spPr>
            <a:solidFill>
              <a:schemeClr val="accent2"/>
            </a:solidFill>
            <a:ln w="0">
              <a:solidFill>
                <a:schemeClr val="accent1">
                  <a:shade val="50000"/>
                </a:schemeClr>
              </a:solidFill>
            </a:ln>
            <a:effectLst>
              <a:outerShdw blurRad="50800" dist="711200" dir="5400000" algn="ctr" rotWithShape="0">
                <a:srgbClr val="000000">
                  <a:alpha val="43137"/>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Pivot_Table!$J$22:$J$28</c:f>
              <c:strCache>
                <c:ptCount val="6"/>
                <c:pt idx="0">
                  <c:v>Finance</c:v>
                </c:pt>
                <c:pt idx="1">
                  <c:v>HR</c:v>
                </c:pt>
                <c:pt idx="2">
                  <c:v>IT</c:v>
                </c:pt>
                <c:pt idx="3">
                  <c:v>Marketing</c:v>
                </c:pt>
                <c:pt idx="4">
                  <c:v>Operations</c:v>
                </c:pt>
                <c:pt idx="5">
                  <c:v>Sales</c:v>
                </c:pt>
              </c:strCache>
            </c:strRef>
          </c:cat>
          <c:val>
            <c:numRef>
              <c:f>Pivot_Table!$L$22:$L$28</c:f>
              <c:numCache>
                <c:formatCode>0</c:formatCode>
                <c:ptCount val="6"/>
                <c:pt idx="0">
                  <c:v>31</c:v>
                </c:pt>
                <c:pt idx="1">
                  <c:v>34</c:v>
                </c:pt>
                <c:pt idx="2">
                  <c:v>26</c:v>
                </c:pt>
                <c:pt idx="3">
                  <c:v>22</c:v>
                </c:pt>
                <c:pt idx="4">
                  <c:v>44</c:v>
                </c:pt>
                <c:pt idx="5">
                  <c:v>21</c:v>
                </c:pt>
              </c:numCache>
            </c:numRef>
          </c:val>
          <c:extLst>
            <c:ext xmlns:c16="http://schemas.microsoft.com/office/drawing/2014/chart" uri="{C3380CC4-5D6E-409C-BE32-E72D297353CC}">
              <c16:uniqueId val="{00000001-4145-4394-8D2E-3858B05A2E94}"/>
            </c:ext>
          </c:extLst>
        </c:ser>
        <c:dLbls>
          <c:showLegendKey val="0"/>
          <c:showVal val="0"/>
          <c:showCatName val="0"/>
          <c:showSerName val="0"/>
          <c:showPercent val="0"/>
          <c:showBubbleSize val="0"/>
        </c:dLbls>
        <c:gapWidth val="52"/>
        <c:overlap val="-50"/>
        <c:axId val="1900779392"/>
        <c:axId val="1900779808"/>
      </c:barChart>
      <c:catAx>
        <c:axId val="1900779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none" spc="0" normalizeH="0" baseline="0">
                <a:solidFill>
                  <a:schemeClr val="tx1">
                    <a:lumMod val="65000"/>
                    <a:lumOff val="35000"/>
                  </a:schemeClr>
                </a:solidFill>
                <a:latin typeface="+mn-lt"/>
                <a:ea typeface="+mn-ea"/>
                <a:cs typeface="+mn-cs"/>
              </a:defRPr>
            </a:pPr>
            <a:endParaRPr lang="en-US"/>
          </a:p>
        </c:txPr>
        <c:crossAx val="1900779808"/>
        <c:crosses val="autoZero"/>
        <c:auto val="1"/>
        <c:lblAlgn val="ctr"/>
        <c:lblOffset val="100"/>
        <c:noMultiLvlLbl val="0"/>
      </c:catAx>
      <c:valAx>
        <c:axId val="19007798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00779392"/>
        <c:crosses val="autoZero"/>
        <c:crossBetween val="between"/>
      </c:valAx>
      <c:spPr>
        <a:noFill/>
        <a:ln>
          <a:noFill/>
        </a:ln>
        <a:effectLst>
          <a:outerShdw blurRad="50800" dist="25400" dir="5400000" algn="ctr" rotWithShape="0">
            <a:srgbClr val="000000">
              <a:alpha val="43137"/>
            </a:srgbClr>
          </a:outerShdw>
        </a:effectLst>
      </c:spPr>
    </c:plotArea>
    <c:legend>
      <c:legendPos val="l"/>
      <c:legendEntry>
        <c:idx val="0"/>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5.3719008264462804E-2"/>
          <c:y val="0.66129592597613895"/>
          <c:w val="0.13572266245699363"/>
          <c:h val="0.3295579916992101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[HR_Analytics_project.xlxs.xlsx]Pivot_Table!PivotTable9</c:name>
    <c:fmtId val="18"/>
  </c:pivotSource>
  <c:chart>
    <c:title>
      <c:tx>
        <c:rich>
          <a:bodyPr rot="0" spcFirstLastPara="1" vertOverflow="ellipsis" vert="horz" wrap="square" anchor="ctr" anchorCtr="1"/>
          <a:lstStyle/>
          <a:p>
            <a:pPr algn="ctr" rtl="0">
              <a:defRPr lang="en-IN" sz="2000" b="1" i="0" u="none" strike="noStrike" kern="1200" spc="0" baseline="0">
                <a:solidFill>
                  <a:sysClr val="windowText" lastClr="000000">
                    <a:lumMod val="65000"/>
                    <a:lumOff val="35000"/>
                  </a:sysClr>
                </a:solidFill>
                <a:latin typeface="+mn-lt"/>
                <a:ea typeface="+mn-ea"/>
                <a:cs typeface="+mn-cs"/>
              </a:defRPr>
            </a:pPr>
            <a:r>
              <a:rPr lang="en-IN" sz="2000" b="1" i="0" u="none" strike="noStrike" kern="1200" spc="0" baseline="0">
                <a:solidFill>
                  <a:sysClr val="windowText" lastClr="000000">
                    <a:lumMod val="65000"/>
                    <a:lumOff val="35000"/>
                  </a:sysClr>
                </a:solidFill>
                <a:latin typeface="+mn-lt"/>
                <a:ea typeface="+mn-ea"/>
                <a:cs typeface="+mn-cs"/>
              </a:rPr>
              <a:t>Department-wise Attrition</a:t>
            </a:r>
          </a:p>
        </c:rich>
      </c:tx>
      <c:overlay val="0"/>
      <c:spPr>
        <a:noFill/>
        <a:ln>
          <a:noFill/>
        </a:ln>
        <a:effectLst/>
      </c:spPr>
      <c:txPr>
        <a:bodyPr rot="0" spcFirstLastPara="1" vertOverflow="ellipsis" vert="horz" wrap="square" anchor="ctr" anchorCtr="1"/>
        <a:lstStyle/>
        <a:p>
          <a:pPr algn="ctr" rtl="0">
            <a:defRPr lang="en-IN" sz="20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Pivot_Table!$K$20:$K$21</c:f>
              <c:strCache>
                <c:ptCount val="1"/>
                <c:pt idx="0">
                  <c:v>No</c:v>
                </c:pt>
              </c:strCache>
            </c:strRef>
          </c:tx>
          <c:spPr>
            <a:solidFill>
              <a:schemeClr val="accent1"/>
            </a:solidFill>
            <a:ln>
              <a:noFill/>
            </a:ln>
            <a:effectLst/>
          </c:spPr>
          <c:invertIfNegative val="0"/>
          <c:cat>
            <c:strRef>
              <c:f>Pivot_Table!$J$22:$J$28</c:f>
              <c:strCache>
                <c:ptCount val="6"/>
                <c:pt idx="0">
                  <c:v>Finance</c:v>
                </c:pt>
                <c:pt idx="1">
                  <c:v>HR</c:v>
                </c:pt>
                <c:pt idx="2">
                  <c:v>IT</c:v>
                </c:pt>
                <c:pt idx="3">
                  <c:v>Marketing</c:v>
                </c:pt>
                <c:pt idx="4">
                  <c:v>Operations</c:v>
                </c:pt>
                <c:pt idx="5">
                  <c:v>Sales</c:v>
                </c:pt>
              </c:strCache>
            </c:strRef>
          </c:cat>
          <c:val>
            <c:numRef>
              <c:f>Pivot_Table!$K$22:$K$28</c:f>
              <c:numCache>
                <c:formatCode>0</c:formatCode>
                <c:ptCount val="6"/>
                <c:pt idx="0">
                  <c:v>139</c:v>
                </c:pt>
                <c:pt idx="1">
                  <c:v>145</c:v>
                </c:pt>
                <c:pt idx="2">
                  <c:v>125</c:v>
                </c:pt>
                <c:pt idx="3">
                  <c:v>136</c:v>
                </c:pt>
                <c:pt idx="4">
                  <c:v>124</c:v>
                </c:pt>
                <c:pt idx="5">
                  <c:v>153</c:v>
                </c:pt>
              </c:numCache>
            </c:numRef>
          </c:val>
          <c:extLst>
            <c:ext xmlns:c16="http://schemas.microsoft.com/office/drawing/2014/chart" uri="{C3380CC4-5D6E-409C-BE32-E72D297353CC}">
              <c16:uniqueId val="{00000000-9177-4CF0-8501-B3342689D9EA}"/>
            </c:ext>
          </c:extLst>
        </c:ser>
        <c:ser>
          <c:idx val="1"/>
          <c:order val="1"/>
          <c:tx>
            <c:strRef>
              <c:f>Pivot_Table!$L$20:$L$21</c:f>
              <c:strCache>
                <c:ptCount val="1"/>
                <c:pt idx="0">
                  <c:v>Yes</c:v>
                </c:pt>
              </c:strCache>
            </c:strRef>
          </c:tx>
          <c:spPr>
            <a:solidFill>
              <a:schemeClr val="accent2"/>
            </a:solidFill>
            <a:ln>
              <a:noFill/>
            </a:ln>
            <a:effectLst/>
          </c:spPr>
          <c:invertIfNegative val="0"/>
          <c:cat>
            <c:strRef>
              <c:f>Pivot_Table!$J$22:$J$28</c:f>
              <c:strCache>
                <c:ptCount val="6"/>
                <c:pt idx="0">
                  <c:v>Finance</c:v>
                </c:pt>
                <c:pt idx="1">
                  <c:v>HR</c:v>
                </c:pt>
                <c:pt idx="2">
                  <c:v>IT</c:v>
                </c:pt>
                <c:pt idx="3">
                  <c:v>Marketing</c:v>
                </c:pt>
                <c:pt idx="4">
                  <c:v>Operations</c:v>
                </c:pt>
                <c:pt idx="5">
                  <c:v>Sales</c:v>
                </c:pt>
              </c:strCache>
            </c:strRef>
          </c:cat>
          <c:val>
            <c:numRef>
              <c:f>Pivot_Table!$L$22:$L$28</c:f>
              <c:numCache>
                <c:formatCode>0</c:formatCode>
                <c:ptCount val="6"/>
                <c:pt idx="0">
                  <c:v>31</c:v>
                </c:pt>
                <c:pt idx="1">
                  <c:v>34</c:v>
                </c:pt>
                <c:pt idx="2">
                  <c:v>26</c:v>
                </c:pt>
                <c:pt idx="3">
                  <c:v>22</c:v>
                </c:pt>
                <c:pt idx="4">
                  <c:v>44</c:v>
                </c:pt>
                <c:pt idx="5">
                  <c:v>21</c:v>
                </c:pt>
              </c:numCache>
            </c:numRef>
          </c:val>
          <c:extLst>
            <c:ext xmlns:c16="http://schemas.microsoft.com/office/drawing/2014/chart" uri="{C3380CC4-5D6E-409C-BE32-E72D297353CC}">
              <c16:uniqueId val="{00000001-10C8-4ADA-B339-F029A71A3AD8}"/>
            </c:ext>
          </c:extLst>
        </c:ser>
        <c:dLbls>
          <c:showLegendKey val="0"/>
          <c:showVal val="0"/>
          <c:showCatName val="0"/>
          <c:showSerName val="0"/>
          <c:showPercent val="0"/>
          <c:showBubbleSize val="0"/>
        </c:dLbls>
        <c:gapWidth val="150"/>
        <c:overlap val="100"/>
        <c:axId val="326630975"/>
        <c:axId val="326618911"/>
      </c:barChart>
      <c:catAx>
        <c:axId val="32663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618911"/>
        <c:crosses val="autoZero"/>
        <c:auto val="1"/>
        <c:lblAlgn val="ctr"/>
        <c:lblOffset val="100"/>
        <c:noMultiLvlLbl val="0"/>
      </c:catAx>
      <c:valAx>
        <c:axId val="326618911"/>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326630975"/>
        <c:crosses val="autoZero"/>
        <c:crossBetween val="between"/>
      </c:valAx>
      <c:spPr>
        <a:noFill/>
        <a:ln>
          <a:noFill/>
        </a:ln>
        <a:effectLst>
          <a:outerShdw blurRad="50800" dist="50800" dir="5400000" sx="1000" sy="1000" algn="ctr" rotWithShape="0">
            <a:srgbClr val="000000">
              <a:alpha val="43137"/>
            </a:srgbClr>
          </a:outerShdw>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[HR_Analytics_project.xlxs.xlsx]Pivot_Table!PivotTable5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2000">
                <a:solidFill>
                  <a:schemeClr val="tx2">
                    <a:lumMod val="75000"/>
                  </a:schemeClr>
                </a:solidFill>
              </a:rPr>
              <a:t>Average Salary</a:t>
            </a:r>
            <a:r>
              <a:rPr lang="en-US" sz="2000" baseline="0">
                <a:solidFill>
                  <a:schemeClr val="tx2">
                    <a:lumMod val="75000"/>
                  </a:schemeClr>
                </a:solidFill>
              </a:rPr>
              <a:t> by Department</a:t>
            </a:r>
            <a:endParaRPr lang="en-US">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Pivot_Table!$F$9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numFmt formatCode="&quot;₹&quot;0,&quot;K&quot;" sourceLinked="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Pivot_Table!$E$10:$E$16</c:f>
              <c:strCache>
                <c:ptCount val="6"/>
                <c:pt idx="0">
                  <c:v>Finance</c:v>
                </c:pt>
                <c:pt idx="1">
                  <c:v>HR</c:v>
                </c:pt>
                <c:pt idx="2">
                  <c:v>IT</c:v>
                </c:pt>
                <c:pt idx="3">
                  <c:v>Marketing</c:v>
                </c:pt>
                <c:pt idx="4">
                  <c:v>Operations</c:v>
                </c:pt>
                <c:pt idx="5">
                  <c:v>Sales</c:v>
                </c:pt>
              </c:strCache>
            </c:strRef>
          </c:cat>
          <c:val>
            <c:numRef>
              <c:f>Pivot_Table!$F$10:$F$16</c:f>
              <c:numCache>
                <c:formatCode>0.0</c:formatCode>
                <c:ptCount val="6"/>
                <c:pt idx="0">
                  <c:v>71005.882352941175</c:v>
                </c:pt>
                <c:pt idx="1">
                  <c:v>71793.296089385476</c:v>
                </c:pt>
                <c:pt idx="2">
                  <c:v>70324.503311258275</c:v>
                </c:pt>
                <c:pt idx="3">
                  <c:v>72848.101265822785</c:v>
                </c:pt>
                <c:pt idx="4">
                  <c:v>74017.857142857145</c:v>
                </c:pt>
                <c:pt idx="5">
                  <c:v>72712.643678160923</c:v>
                </c:pt>
              </c:numCache>
            </c:numRef>
          </c:val>
          <c:extLst>
            <c:ext xmlns:c16="http://schemas.microsoft.com/office/drawing/2014/chart" uri="{C3380CC4-5D6E-409C-BE32-E72D297353CC}">
              <c16:uniqueId val="{00000000-3BC0-4F7F-8AFA-AF55EE9624CB}"/>
            </c:ext>
          </c:extLst>
        </c:ser>
        <c:dLbls>
          <c:dLblPos val="outEnd"/>
          <c:showLegendKey val="0"/>
          <c:showVal val="1"/>
          <c:showCatName val="0"/>
          <c:showSerName val="0"/>
          <c:showPercent val="0"/>
          <c:showBubbleSize val="0"/>
        </c:dLbls>
        <c:gapWidth val="100"/>
        <c:overlap val="-24"/>
        <c:axId val="228154895"/>
        <c:axId val="228158223"/>
      </c:barChart>
      <c:catAx>
        <c:axId val="22815489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28158223"/>
        <c:crosses val="autoZero"/>
        <c:auto val="1"/>
        <c:lblAlgn val="ctr"/>
        <c:lblOffset val="100"/>
        <c:noMultiLvlLbl val="0"/>
      </c:catAx>
      <c:valAx>
        <c:axId val="228158223"/>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22815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[HR_Analytics_project.xlxs.xlsx]Pivot_Table!PivotTable12</c:name>
    <c:fmtId val="3"/>
  </c:pivotSource>
  <c:chart>
    <c:title>
      <c:tx>
        <c:rich>
          <a:bodyPr rot="0" spcFirstLastPara="1" vertOverflow="ellipsis" vert="horz" wrap="square" anchor="ctr" anchorCtr="1"/>
          <a:lstStyle/>
          <a:p>
            <a:pPr algn="ctr">
              <a:defRPr sz="2000" b="1" i="0" u="none" strike="noStrike" kern="1200" baseline="0">
                <a:solidFill>
                  <a:schemeClr val="dk1">
                    <a:lumMod val="75000"/>
                    <a:lumOff val="25000"/>
                  </a:schemeClr>
                </a:solidFill>
                <a:latin typeface="+mn-lt"/>
                <a:ea typeface="+mn-ea"/>
                <a:cs typeface="+mn-cs"/>
              </a:defRPr>
            </a:pPr>
            <a:r>
              <a:rPr lang="en-US" sz="2000"/>
              <a:t>Salary</a:t>
            </a:r>
            <a:r>
              <a:rPr lang="en-US" sz="2000" baseline="0"/>
              <a:t> Band Distribution</a:t>
            </a:r>
            <a:endParaRPr lang="en-US" sz="2000"/>
          </a:p>
        </c:rich>
      </c:tx>
      <c:layout>
        <c:manualLayout>
          <c:xMode val="edge"/>
          <c:yMode val="edge"/>
          <c:x val="0.24358496351436754"/>
          <c:y val="3.2397113803651852E-2"/>
        </c:manualLayout>
      </c:layout>
      <c:overlay val="0"/>
      <c:spPr>
        <a:noFill/>
        <a:ln>
          <a:noFill/>
        </a:ln>
        <a:effectLst/>
      </c:spPr>
      <c:txPr>
        <a:bodyPr rot="0" spcFirstLastPara="1" vertOverflow="ellipsis" vert="horz" wrap="square" anchor="ctr" anchorCtr="1"/>
        <a:lstStyle/>
        <a:p>
          <a:pPr algn="ct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254000" sx="102000" sy="102000" algn="ctr" rotWithShape="0">
              <a:prstClr val="black">
                <a:alpha val="20000"/>
              </a:prstClr>
            </a:outerShdw>
          </a:effectLst>
        </c:spP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9799485232765652E-2"/>
                  <c:h val="8.3651544842649889E-2"/>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9799485232765652E-2"/>
                  <c:h val="8.3651544842649889E-2"/>
                </c:manualLayout>
              </c15:layout>
            </c:ext>
          </c:extLst>
        </c:dLbl>
      </c:pivotFmt>
      <c:pivotFmt>
        <c:idx val="12"/>
        <c:spPr>
          <a:solidFill>
            <a:schemeClr val="accent1">
              <a:tint val="65000"/>
            </a:schemeClr>
          </a:solidFill>
          <a:ln>
            <a:noFill/>
          </a:ln>
          <a:effectLst>
            <a:outerShdw blurRad="254000" sx="102000" sy="102000" algn="ctr" rotWithShape="0">
              <a:prstClr val="black">
                <a:alpha val="20000"/>
              </a:prstClr>
            </a:outerShdw>
          </a:effectLst>
        </c:spPr>
        <c:dLbl>
          <c:idx val="0"/>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8.9799485232765652E-2"/>
                  <c:h val="9.3488346875072598E-2"/>
                </c:manualLayout>
              </c15:layout>
            </c:ext>
          </c:extLst>
        </c:dLbl>
      </c:pivotFmt>
    </c:pivotFmts>
    <c:plotArea>
      <c:layout>
        <c:manualLayout>
          <c:layoutTarget val="inner"/>
          <c:xMode val="edge"/>
          <c:yMode val="edge"/>
          <c:x val="0.2570223405321202"/>
          <c:y val="0.18108894173050261"/>
          <c:w val="0.43429068176517516"/>
          <c:h val="0.7294046798392031"/>
        </c:manualLayout>
      </c:layout>
      <c:barChart>
        <c:barDir val="col"/>
        <c:grouping val="clustered"/>
        <c:varyColors val="0"/>
        <c:ser>
          <c:idx val="0"/>
          <c:order val="0"/>
          <c:tx>
            <c:strRef>
              <c:f>Pivot_Table!$L$33</c:f>
              <c:strCache>
                <c:ptCount val="1"/>
                <c:pt idx="0">
                  <c:v>Total</c:v>
                </c:pt>
              </c:strCache>
            </c:strRef>
          </c:tx>
          <c:spPr>
            <a:solidFill>
              <a:schemeClr val="accent1"/>
            </a:solidFill>
            <a:ln>
              <a:noFill/>
            </a:ln>
            <a:effectLst>
              <a:outerShdw blurRad="254000" sx="102000" sy="102000" algn="ctr" rotWithShape="0">
                <a:prstClr val="black">
                  <a:alpha val="20000"/>
                </a:prstClr>
              </a:outerShdw>
            </a:effectLst>
          </c:spPr>
          <c:invertIfNegative val="0"/>
          <c:dPt>
            <c:idx val="0"/>
            <c:invertIfNegative val="0"/>
            <c:bubble3D val="0"/>
            <c:spPr>
              <a:solidFill>
                <a:schemeClr val="accent1">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D3-467E-B702-6F0BBA455D1D}"/>
              </c:ext>
            </c:extLst>
          </c:dPt>
          <c:dPt>
            <c:idx val="1"/>
            <c:invertIfNegative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D3-467E-B702-6F0BBA455D1D}"/>
              </c:ext>
            </c:extLst>
          </c:dPt>
          <c:dPt>
            <c:idx val="2"/>
            <c:invertIfNegative val="0"/>
            <c:bubble3D val="0"/>
            <c:spPr>
              <a:solidFill>
                <a:schemeClr val="accent1">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D3-467E-B702-6F0BBA455D1D}"/>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8.9799485232765652E-2"/>
                      <c:h val="8.3651544842649889E-2"/>
                    </c:manualLayout>
                  </c15:layout>
                </c:ext>
                <c:ext xmlns:c16="http://schemas.microsoft.com/office/drawing/2014/chart" uri="{C3380CC4-5D6E-409C-BE32-E72D297353CC}">
                  <c16:uniqueId val="{00000001-6ED3-467E-B702-6F0BBA455D1D}"/>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8.9799485232765652E-2"/>
                      <c:h val="8.3651544842649889E-2"/>
                    </c:manualLayout>
                  </c15:layout>
                </c:ext>
                <c:ext xmlns:c16="http://schemas.microsoft.com/office/drawing/2014/chart" uri="{C3380CC4-5D6E-409C-BE32-E72D297353CC}">
                  <c16:uniqueId val="{00000003-6ED3-467E-B702-6F0BBA455D1D}"/>
                </c:ext>
              </c:extLst>
            </c:dLbl>
            <c:dLbl>
              <c:idx val="2"/>
              <c:dLblPos val="outEnd"/>
              <c:showLegendKey val="0"/>
              <c:showVal val="1"/>
              <c:showCatName val="0"/>
              <c:showSerName val="0"/>
              <c:showPercent val="0"/>
              <c:showBubbleSize val="0"/>
              <c:extLst>
                <c:ext xmlns:c15="http://schemas.microsoft.com/office/drawing/2012/chart" uri="{CE6537A1-D6FC-4f65-9D91-7224C49458BB}">
                  <c15:layout>
                    <c:manualLayout>
                      <c:w val="8.9799485232765652E-2"/>
                      <c:h val="9.3488346875072598E-2"/>
                    </c:manualLayout>
                  </c15:layout>
                </c:ext>
                <c:ext xmlns:c16="http://schemas.microsoft.com/office/drawing/2014/chart" uri="{C3380CC4-5D6E-409C-BE32-E72D297353CC}">
                  <c16:uniqueId val="{00000005-6ED3-467E-B702-6F0BBA455D1D}"/>
                </c:ext>
              </c:extLst>
            </c:dLbl>
            <c:spPr>
              <a:solidFill>
                <a:sysClr val="windowText" lastClr="000000">
                  <a:lumMod val="75000"/>
                  <a:lumOff val="25000"/>
                </a:sysClr>
              </a:solidFill>
              <a:ln>
                <a:noFill/>
              </a:ln>
              <a:effectLst>
                <a:outerShdw blurRad="50800" dist="38100" dir="2700000" algn="tl" rotWithShape="0">
                  <a:prstClr val="black">
                    <a:alpha val="40000"/>
                  </a:prstClr>
                </a:outerShdw>
              </a:effectLst>
            </c:spPr>
            <c:txPr>
              <a:bodyPr rot="0" spcFirstLastPara="1" vertOverflow="overflow" horzOverflow="overflow" vert="horz" wrap="square" lIns="38100" tIns="19050" rIns="38100" bIns="19050" anchor="ctr" anchorCtr="1">
                <a:noAutofit/>
              </a:bodyPr>
              <a:lstStyle/>
              <a:p>
                <a:pPr>
                  <a:defRPr sz="12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Pivot_Table!$K$34:$K$37</c:f>
              <c:strCache>
                <c:ptCount val="3"/>
                <c:pt idx="0">
                  <c:v>High</c:v>
                </c:pt>
                <c:pt idx="1">
                  <c:v>Low</c:v>
                </c:pt>
                <c:pt idx="2">
                  <c:v>Medium</c:v>
                </c:pt>
              </c:strCache>
            </c:strRef>
          </c:cat>
          <c:val>
            <c:numRef>
              <c:f>Pivot_Table!$L$34:$L$37</c:f>
              <c:numCache>
                <c:formatCode>0</c:formatCode>
                <c:ptCount val="3"/>
                <c:pt idx="0">
                  <c:v>530</c:v>
                </c:pt>
                <c:pt idx="1">
                  <c:v>166</c:v>
                </c:pt>
                <c:pt idx="2">
                  <c:v>304</c:v>
                </c:pt>
              </c:numCache>
            </c:numRef>
          </c:val>
          <c:extLst>
            <c:ext xmlns:c16="http://schemas.microsoft.com/office/drawing/2014/chart" uri="{C3380CC4-5D6E-409C-BE32-E72D297353CC}">
              <c16:uniqueId val="{00000009-6C58-4B01-9A44-54A9C607BC00}"/>
            </c:ext>
          </c:extLst>
        </c:ser>
        <c:dLbls>
          <c:showLegendKey val="0"/>
          <c:showVal val="0"/>
          <c:showCatName val="0"/>
          <c:showSerName val="0"/>
          <c:showPercent val="0"/>
          <c:showBubbleSize val="0"/>
        </c:dLbls>
        <c:gapWidth val="100"/>
        <c:axId val="205868927"/>
        <c:axId val="205868511"/>
      </c:barChart>
      <c:catAx>
        <c:axId val="205868927"/>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868511"/>
        <c:crosses val="autoZero"/>
        <c:auto val="1"/>
        <c:lblAlgn val="ctr"/>
        <c:lblOffset val="100"/>
        <c:noMultiLvlLbl val="0"/>
      </c:catAx>
      <c:valAx>
        <c:axId val="205868511"/>
        <c:scaling>
          <c:orientation val="minMax"/>
        </c:scaling>
        <c:delete val="0"/>
        <c:axPos val="l"/>
        <c:majorGridlines>
          <c:spPr>
            <a:ln w="9525" cap="flat" cmpd="sng" algn="ctr">
              <a:no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crossAx val="205868927"/>
        <c:crosses val="autoZero"/>
        <c:crossBetween val="between"/>
      </c:valAx>
      <c:spPr>
        <a:noFill/>
        <a:ln>
          <a:noFill/>
        </a:ln>
        <a:effectLst/>
      </c:spPr>
    </c:plotArea>
    <c:legend>
      <c:legendPos val="r"/>
      <c:layout>
        <c:manualLayout>
          <c:xMode val="edge"/>
          <c:yMode val="edge"/>
          <c:x val="0.74995573595795662"/>
          <c:y val="0.48587661127796616"/>
          <c:w val="0.2061502611164798"/>
          <c:h val="0.3708138658454786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[HR_Analytics_project.xlxs.xlsx]Pivot_Table!PivotTable15</c:name>
    <c:fmtId val="3"/>
  </c:pivotSource>
  <c:chart>
    <c:title>
      <c:tx>
        <c:rich>
          <a:bodyPr rot="0" spcFirstLastPara="1" vertOverflow="ellipsis" vert="horz" wrap="square" anchor="ctr" anchorCtr="1"/>
          <a:lstStyle/>
          <a:p>
            <a:pPr>
              <a:defRPr sz="2000" b="1" i="0" u="none" strike="noStrike" kern="1200" baseline="0">
                <a:solidFill>
                  <a:schemeClr val="tx2">
                    <a:lumMod val="75000"/>
                  </a:schemeClr>
                </a:solidFill>
                <a:latin typeface="+mn-lt"/>
                <a:ea typeface="+mn-ea"/>
                <a:cs typeface="+mn-cs"/>
              </a:defRPr>
            </a:pPr>
            <a:r>
              <a:rPr lang="en-IN" sz="2000">
                <a:solidFill>
                  <a:schemeClr val="tx2">
                    <a:lumMod val="75000"/>
                  </a:schemeClr>
                </a:solidFill>
              </a:rPr>
              <a:t>Overtime</a:t>
            </a:r>
            <a:r>
              <a:rPr lang="en-IN" sz="2000" baseline="0">
                <a:solidFill>
                  <a:schemeClr val="tx2">
                    <a:lumMod val="75000"/>
                  </a:schemeClr>
                </a:solidFill>
              </a:rPr>
              <a:t> vs Attrition</a:t>
            </a:r>
            <a:endParaRPr lang="en-IN" sz="2000">
              <a:solidFill>
                <a:schemeClr val="tx2">
                  <a:lumMod val="75000"/>
                </a:schemeClr>
              </a:solidFill>
            </a:endParaRPr>
          </a:p>
        </c:rich>
      </c:tx>
      <c:layout>
        <c:manualLayout>
          <c:xMode val="edge"/>
          <c:yMode val="edge"/>
          <c:x val="0.28282679612977984"/>
          <c:y val="7.923665098541986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Pivot_Table!$G$45:$G$46</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Pivot_Table!$F$47:$F$49</c:f>
              <c:strCache>
                <c:ptCount val="2"/>
                <c:pt idx="0">
                  <c:v>No</c:v>
                </c:pt>
                <c:pt idx="1">
                  <c:v>Yes</c:v>
                </c:pt>
              </c:strCache>
            </c:strRef>
          </c:cat>
          <c:val>
            <c:numRef>
              <c:f>Pivot_Table!$G$47:$G$49</c:f>
              <c:numCache>
                <c:formatCode>0</c:formatCode>
                <c:ptCount val="2"/>
                <c:pt idx="0">
                  <c:v>452</c:v>
                </c:pt>
                <c:pt idx="1">
                  <c:v>370</c:v>
                </c:pt>
              </c:numCache>
            </c:numRef>
          </c:val>
          <c:extLst>
            <c:ext xmlns:c16="http://schemas.microsoft.com/office/drawing/2014/chart" uri="{C3380CC4-5D6E-409C-BE32-E72D297353CC}">
              <c16:uniqueId val="{00000000-0E6C-47FB-A940-A185E1CEEC2D}"/>
            </c:ext>
          </c:extLst>
        </c:ser>
        <c:ser>
          <c:idx val="1"/>
          <c:order val="1"/>
          <c:tx>
            <c:strRef>
              <c:f>Pivot_Table!$H$45:$H$46</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Pivot_Table!$F$47:$F$49</c:f>
              <c:strCache>
                <c:ptCount val="2"/>
                <c:pt idx="0">
                  <c:v>No</c:v>
                </c:pt>
                <c:pt idx="1">
                  <c:v>Yes</c:v>
                </c:pt>
              </c:strCache>
            </c:strRef>
          </c:cat>
          <c:val>
            <c:numRef>
              <c:f>Pivot_Table!$H$47:$H$49</c:f>
              <c:numCache>
                <c:formatCode>0</c:formatCode>
                <c:ptCount val="2"/>
                <c:pt idx="0">
                  <c:v>24</c:v>
                </c:pt>
                <c:pt idx="1">
                  <c:v>154</c:v>
                </c:pt>
              </c:numCache>
            </c:numRef>
          </c:val>
          <c:extLst>
            <c:ext xmlns:c16="http://schemas.microsoft.com/office/drawing/2014/chart" uri="{C3380CC4-5D6E-409C-BE32-E72D297353CC}">
              <c16:uniqueId val="{00000001-D0F4-4C7C-AA37-1533177EA9C8}"/>
            </c:ext>
          </c:extLst>
        </c:ser>
        <c:dLbls>
          <c:dLblPos val="outEnd"/>
          <c:showLegendKey val="0"/>
          <c:showVal val="1"/>
          <c:showCatName val="0"/>
          <c:showSerName val="0"/>
          <c:showPercent val="0"/>
          <c:showBubbleSize val="0"/>
        </c:dLbls>
        <c:gapWidth val="100"/>
        <c:overlap val="-24"/>
        <c:axId val="321333663"/>
        <c:axId val="321325343"/>
      </c:barChart>
      <c:catAx>
        <c:axId val="3213336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21325343"/>
        <c:crosses val="autoZero"/>
        <c:auto val="1"/>
        <c:lblAlgn val="ctr"/>
        <c:lblOffset val="100"/>
        <c:noMultiLvlLbl val="0"/>
      </c:catAx>
      <c:valAx>
        <c:axId val="321325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321333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[HR_Analytics_project.xlxs.xlsx]Pivot_Table!PivotTable10</c:name>
    <c:fmtId val="19"/>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t>Attrition</a:t>
            </a:r>
            <a:r>
              <a:rPr lang="en-IN" sz="2000" b="1" baseline="0"/>
              <a:t> by Gender</a:t>
            </a:r>
          </a:p>
        </c:rich>
      </c:tx>
      <c:layout>
        <c:manualLayout>
          <c:xMode val="edge"/>
          <c:yMode val="edge"/>
          <c:x val="0.26563018235956404"/>
          <c:y val="4.517720595349730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6666666666666666E-2"/>
              <c:y val="-8.333333333333341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5.5555555555555558E-3"/>
              <c:y val="-8.796296296296296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
              <c:y val="6.481481481481481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2.7777777777777779E-3"/>
              <c:y val="4.166666666666658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5.5555555555555558E-3"/>
              <c:y val="-8.796296296296296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6666666666666666E-2"/>
              <c:y val="-8.333333333333341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
              <c:y val="6.481481481481481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7777777777777779E-3"/>
              <c:y val="4.166666666666658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5.5555555555555558E-3"/>
              <c:y val="-8.7962962962962965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1.6666666666666666E-2"/>
              <c:y val="-8.3333333333333412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
              <c:y val="6.481481481481481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2.7777777777777779E-3"/>
              <c:y val="4.1666666666666581E-2"/>
            </c:manualLayout>
          </c:layout>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40507144312588"/>
          <c:y val="0.23234506073460609"/>
          <c:w val="0.35645393863045155"/>
          <c:h val="0.69741056768323872"/>
        </c:manualLayout>
      </c:layout>
      <c:doughnutChart>
        <c:varyColors val="1"/>
        <c:ser>
          <c:idx val="0"/>
          <c:order val="0"/>
          <c:tx>
            <c:strRef>
              <c:f>Pivot_Table!$B$33:$B$34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79-42A1-8039-23B1116221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79-42A1-8039-23B1116221D9}"/>
              </c:ext>
            </c:extLst>
          </c:dPt>
          <c:dLbls>
            <c:dLbl>
              <c:idx val="0"/>
              <c:layout>
                <c:manualLayout>
                  <c:x val="5.5555555555555558E-3"/>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79-42A1-8039-23B1116221D9}"/>
                </c:ext>
              </c:extLst>
            </c:dLbl>
            <c:dLbl>
              <c:idx val="1"/>
              <c:layout>
                <c:manualLayout>
                  <c:x val="1.6666666666666666E-2"/>
                  <c:y val="-8.3333333333333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79-42A1-8039-23B1116221D9}"/>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Pivot_Table!$A$35:$A$37</c:f>
              <c:strCache>
                <c:ptCount val="2"/>
                <c:pt idx="0">
                  <c:v>Female</c:v>
                </c:pt>
                <c:pt idx="1">
                  <c:v>Male</c:v>
                </c:pt>
              </c:strCache>
            </c:strRef>
          </c:cat>
          <c:val>
            <c:numRef>
              <c:f>Pivot_Table!$B$35:$B$37</c:f>
              <c:numCache>
                <c:formatCode>0</c:formatCode>
                <c:ptCount val="2"/>
                <c:pt idx="0">
                  <c:v>412</c:v>
                </c:pt>
                <c:pt idx="1">
                  <c:v>410</c:v>
                </c:pt>
              </c:numCache>
            </c:numRef>
          </c:val>
          <c:extLst>
            <c:ext xmlns:c16="http://schemas.microsoft.com/office/drawing/2014/chart" uri="{C3380CC4-5D6E-409C-BE32-E72D297353CC}">
              <c16:uniqueId val="{00000004-CB79-42A1-8039-23B1116221D9}"/>
            </c:ext>
          </c:extLst>
        </c:ser>
        <c:ser>
          <c:idx val="1"/>
          <c:order val="1"/>
          <c:tx>
            <c:strRef>
              <c:f>Pivot_Table!$C$33:$C$34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CB79-42A1-8039-23B1116221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CB79-42A1-8039-23B1116221D9}"/>
              </c:ext>
            </c:extLst>
          </c:dPt>
          <c:dLbls>
            <c:dLbl>
              <c:idx val="0"/>
              <c:layout>
                <c:manualLayout>
                  <c:x val="0"/>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B79-42A1-8039-23B1116221D9}"/>
                </c:ext>
              </c:extLst>
            </c:dLbl>
            <c:dLbl>
              <c:idx val="1"/>
              <c:layout>
                <c:manualLayout>
                  <c:x val="2.7777777777777779E-3"/>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B79-42A1-8039-23B1116221D9}"/>
                </c:ext>
              </c:extLst>
            </c:dLbl>
            <c:spPr>
              <a:solidFill>
                <a:schemeClr val="bg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Pivot_Table!$A$35:$A$37</c:f>
              <c:strCache>
                <c:ptCount val="2"/>
                <c:pt idx="0">
                  <c:v>Female</c:v>
                </c:pt>
                <c:pt idx="1">
                  <c:v>Male</c:v>
                </c:pt>
              </c:strCache>
            </c:strRef>
          </c:cat>
          <c:val>
            <c:numRef>
              <c:f>Pivot_Table!$C$35:$C$37</c:f>
              <c:numCache>
                <c:formatCode>0</c:formatCode>
                <c:ptCount val="2"/>
                <c:pt idx="0">
                  <c:v>87</c:v>
                </c:pt>
                <c:pt idx="1">
                  <c:v>91</c:v>
                </c:pt>
              </c:numCache>
            </c:numRef>
          </c:val>
          <c:extLst>
            <c:ext xmlns:c16="http://schemas.microsoft.com/office/drawing/2014/chart" uri="{C3380CC4-5D6E-409C-BE32-E72D297353CC}">
              <c16:uniqueId val="{00000009-CB79-42A1-8039-23B1116221D9}"/>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layout>
        <c:manualLayout>
          <c:xMode val="edge"/>
          <c:yMode val="edge"/>
          <c:x val="0.7438194668574396"/>
          <c:y val="0.46566568722096163"/>
          <c:w val="0.20659720414722624"/>
          <c:h val="0.37085793769328529"/>
        </c:manualLayout>
      </c:layout>
      <c:overlay val="0"/>
      <c:spPr>
        <a:solidFill>
          <a:schemeClr val="bg2"/>
        </a:solid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47624</xdr:colOff>
      <xdr:row>0</xdr:row>
      <xdr:rowOff>77507</xdr:rowOff>
    </xdr:from>
    <xdr:to>
      <xdr:col>24</xdr:col>
      <xdr:colOff>324969</xdr:colOff>
      <xdr:row>4</xdr:row>
      <xdr:rowOff>163232</xdr:rowOff>
    </xdr:to>
    <xdr:sp macro="" textlink="">
      <xdr:nvSpPr>
        <xdr:cNvPr id="2" name="Rectangle: Rounded Corners 1">
          <a:extLst>
            <a:ext uri="{FF2B5EF4-FFF2-40B4-BE49-F238E27FC236}">
              <a16:creationId xmlns:a16="http://schemas.microsoft.com/office/drawing/2014/main" id="{C7E1B250-3D6C-4613-A59D-89A4899A2B34}"/>
            </a:ext>
          </a:extLst>
        </xdr:cNvPr>
        <xdr:cNvSpPr/>
      </xdr:nvSpPr>
      <xdr:spPr>
        <a:xfrm>
          <a:off x="47624" y="77507"/>
          <a:ext cx="14979463" cy="802901"/>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clientData/>
  </xdr:twoCellAnchor>
  <xdr:twoCellAnchor>
    <xdr:from>
      <xdr:col>0</xdr:col>
      <xdr:colOff>190500</xdr:colOff>
      <xdr:row>0</xdr:row>
      <xdr:rowOff>144183</xdr:rowOff>
    </xdr:from>
    <xdr:to>
      <xdr:col>24</xdr:col>
      <xdr:colOff>134469</xdr:colOff>
      <xdr:row>4</xdr:row>
      <xdr:rowOff>115607</xdr:rowOff>
    </xdr:to>
    <xdr:sp macro="" textlink="">
      <xdr:nvSpPr>
        <xdr:cNvPr id="3" name="TextBox 2">
          <a:extLst>
            <a:ext uri="{FF2B5EF4-FFF2-40B4-BE49-F238E27FC236}">
              <a16:creationId xmlns:a16="http://schemas.microsoft.com/office/drawing/2014/main" id="{290D612C-2F40-491F-8259-E65AAA18FF2B}"/>
            </a:ext>
          </a:extLst>
        </xdr:cNvPr>
        <xdr:cNvSpPr txBox="1"/>
      </xdr:nvSpPr>
      <xdr:spPr>
        <a:xfrm>
          <a:off x="190500" y="144183"/>
          <a:ext cx="14646087" cy="6886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bg1"/>
              </a:solidFill>
              <a:latin typeface="Segoe UI" panose="020B0502040204020203" pitchFamily="34" charset="0"/>
              <a:cs typeface="Segoe UI" panose="020B0502040204020203" pitchFamily="34" charset="0"/>
            </a:rPr>
            <a:t>HR ANALYTICS DASHBOARD</a:t>
          </a:r>
          <a:br>
            <a:rPr lang="en-IN" sz="2400" b="1">
              <a:latin typeface="Segoe UI" panose="020B0502040204020203" pitchFamily="34" charset="0"/>
              <a:cs typeface="Segoe UI" panose="020B0502040204020203" pitchFamily="34" charset="0"/>
            </a:rPr>
          </a:br>
          <a:r>
            <a:rPr lang="en-IN" sz="1000" b="1" i="1">
              <a:solidFill>
                <a:schemeClr val="bg1"/>
              </a:solidFill>
              <a:latin typeface="Segoe UI" panose="020B0502040204020203" pitchFamily="34" charset="0"/>
              <a:cs typeface="Segoe UI" panose="020B0502040204020203" pitchFamily="34" charset="0"/>
            </a:rPr>
            <a:t>Workforce Intelligence | Employee Performance | Attrition Analytics</a:t>
          </a:r>
        </a:p>
      </xdr:txBody>
    </xdr:sp>
    <xdr:clientData/>
  </xdr:twoCellAnchor>
  <xdr:twoCellAnchor>
    <xdr:from>
      <xdr:col>0</xdr:col>
      <xdr:colOff>59764</xdr:colOff>
      <xdr:row>5</xdr:row>
      <xdr:rowOff>51920</xdr:rowOff>
    </xdr:from>
    <xdr:to>
      <xdr:col>19</xdr:col>
      <xdr:colOff>600076</xdr:colOff>
      <xdr:row>11</xdr:row>
      <xdr:rowOff>153707</xdr:rowOff>
    </xdr:to>
    <xdr:grpSp>
      <xdr:nvGrpSpPr>
        <xdr:cNvPr id="16" name="Group 15">
          <a:extLst>
            <a:ext uri="{FF2B5EF4-FFF2-40B4-BE49-F238E27FC236}">
              <a16:creationId xmlns:a16="http://schemas.microsoft.com/office/drawing/2014/main" id="{502E4CD2-EADD-42DA-8A65-6E479AE83E5E}"/>
            </a:ext>
          </a:extLst>
        </xdr:cNvPr>
        <xdr:cNvGrpSpPr/>
      </xdr:nvGrpSpPr>
      <xdr:grpSpPr>
        <a:xfrm>
          <a:off x="59764" y="940920"/>
          <a:ext cx="12122712" cy="1168587"/>
          <a:chOff x="59764" y="918509"/>
          <a:chExt cx="12179488" cy="1177551"/>
        </a:xfrm>
      </xdr:grpSpPr>
      <xdr:sp macro="" textlink="">
        <xdr:nvSpPr>
          <xdr:cNvPr id="6" name="Rectangle: Rounded Corners 5">
            <a:extLst>
              <a:ext uri="{FF2B5EF4-FFF2-40B4-BE49-F238E27FC236}">
                <a16:creationId xmlns:a16="http://schemas.microsoft.com/office/drawing/2014/main" id="{1208BDAB-D462-42BD-AF1E-424F47D67CA0}"/>
              </a:ext>
            </a:extLst>
          </xdr:cNvPr>
          <xdr:cNvSpPr/>
        </xdr:nvSpPr>
        <xdr:spPr>
          <a:xfrm>
            <a:off x="4143114" y="944096"/>
            <a:ext cx="1971116" cy="115196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a:latin typeface="Segoe UI" panose="020B0502040204020203" pitchFamily="34" charset="0"/>
                <a:cs typeface="Segoe UI" panose="020B0502040204020203" pitchFamily="34" charset="0"/>
              </a:rPr>
              <a:t>📊 </a:t>
            </a:r>
            <a:r>
              <a:rPr lang="en-IN" sz="1400" b="1">
                <a:solidFill>
                  <a:schemeClr val="dk1"/>
                </a:solidFill>
                <a:latin typeface="Segoe UI" panose="020B0502040204020203" pitchFamily="34" charset="0"/>
                <a:ea typeface="+mn-ea"/>
                <a:cs typeface="Segoe UI" panose="020B0502040204020203" pitchFamily="34" charset="0"/>
              </a:rPr>
              <a:t>Attrition</a:t>
            </a:r>
            <a:r>
              <a:rPr lang="en-IN" sz="1400" b="1">
                <a:latin typeface="Segoe UI" panose="020B0502040204020203" pitchFamily="34" charset="0"/>
                <a:cs typeface="Segoe UI" panose="020B0502040204020203" pitchFamily="34" charset="0"/>
              </a:rPr>
              <a:t> Rate</a:t>
            </a:r>
          </a:p>
        </xdr:txBody>
      </xdr:sp>
      <xdr:sp macro="" textlink="">
        <xdr:nvSpPr>
          <xdr:cNvPr id="7" name="Rectangle: Rounded Corners 6">
            <a:extLst>
              <a:ext uri="{FF2B5EF4-FFF2-40B4-BE49-F238E27FC236}">
                <a16:creationId xmlns:a16="http://schemas.microsoft.com/office/drawing/2014/main" id="{FA44E03B-EBBB-4839-8C8B-3CCD038722BE}"/>
              </a:ext>
            </a:extLst>
          </xdr:cNvPr>
          <xdr:cNvSpPr/>
        </xdr:nvSpPr>
        <xdr:spPr>
          <a:xfrm>
            <a:off x="6184789" y="925046"/>
            <a:ext cx="1971116" cy="115196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a:latin typeface="Segoe UI" panose="020B0502040204020203" pitchFamily="34" charset="0"/>
                <a:cs typeface="Segoe UI" panose="020B0502040204020203" pitchFamily="34" charset="0"/>
              </a:rPr>
              <a:t>💰 </a:t>
            </a:r>
            <a:r>
              <a:rPr lang="en-IN" sz="1400" b="1">
                <a:latin typeface="Segoe UI" panose="020B0502040204020203" pitchFamily="34" charset="0"/>
                <a:cs typeface="Segoe UI" panose="020B0502040204020203" pitchFamily="34" charset="0"/>
              </a:rPr>
              <a:t>Average Salary</a:t>
            </a:r>
          </a:p>
        </xdr:txBody>
      </xdr:sp>
      <xdr:sp macro="" textlink="">
        <xdr:nvSpPr>
          <xdr:cNvPr id="8" name="Rectangle: Rounded Corners 7">
            <a:extLst>
              <a:ext uri="{FF2B5EF4-FFF2-40B4-BE49-F238E27FC236}">
                <a16:creationId xmlns:a16="http://schemas.microsoft.com/office/drawing/2014/main" id="{DE077A6D-DE87-45F2-B271-756307B83181}"/>
              </a:ext>
            </a:extLst>
          </xdr:cNvPr>
          <xdr:cNvSpPr/>
        </xdr:nvSpPr>
        <xdr:spPr>
          <a:xfrm>
            <a:off x="8226464" y="925046"/>
            <a:ext cx="1971116" cy="115196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a:latin typeface="Segoe UI" panose="020B0502040204020203" pitchFamily="34" charset="0"/>
                <a:cs typeface="Segoe UI" panose="020B0502040204020203" pitchFamily="34" charset="0"/>
              </a:rPr>
              <a:t>🎂 </a:t>
            </a:r>
            <a:r>
              <a:rPr lang="en-IN" sz="1400" b="1">
                <a:latin typeface="Segoe UI" panose="020B0502040204020203" pitchFamily="34" charset="0"/>
                <a:cs typeface="Segoe UI" panose="020B0502040204020203" pitchFamily="34" charset="0"/>
              </a:rPr>
              <a:t>Average Age</a:t>
            </a:r>
          </a:p>
        </xdr:txBody>
      </xdr:sp>
      <xdr:sp macro="" textlink="">
        <xdr:nvSpPr>
          <xdr:cNvPr id="9" name="Rectangle: Rounded Corners 8">
            <a:extLst>
              <a:ext uri="{FF2B5EF4-FFF2-40B4-BE49-F238E27FC236}">
                <a16:creationId xmlns:a16="http://schemas.microsoft.com/office/drawing/2014/main" id="{2B3CF1F1-17A4-4825-BDB4-614B378C6727}"/>
              </a:ext>
            </a:extLst>
          </xdr:cNvPr>
          <xdr:cNvSpPr/>
        </xdr:nvSpPr>
        <xdr:spPr>
          <a:xfrm>
            <a:off x="10268137" y="925046"/>
            <a:ext cx="1971115" cy="115196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a:latin typeface="Segoe UI" panose="020B0502040204020203" pitchFamily="34" charset="0"/>
                <a:cs typeface="Segoe UI" panose="020B0502040204020203" pitchFamily="34" charset="0"/>
              </a:rPr>
              <a:t>⭐ </a:t>
            </a:r>
            <a:r>
              <a:rPr lang="en-IN" sz="1400" b="1" baseline="0">
                <a:latin typeface="Segoe UI" panose="020B0502040204020203" pitchFamily="34" charset="0"/>
                <a:cs typeface="Segoe UI" panose="020B0502040204020203" pitchFamily="34" charset="0"/>
              </a:rPr>
              <a:t>J</a:t>
            </a:r>
            <a:r>
              <a:rPr lang="en-IN" sz="1400" b="1">
                <a:latin typeface="Segoe UI" panose="020B0502040204020203" pitchFamily="34" charset="0"/>
                <a:cs typeface="Segoe UI" panose="020B0502040204020203" pitchFamily="34" charset="0"/>
              </a:rPr>
              <a:t>ob Satisfaction</a:t>
            </a:r>
          </a:p>
        </xdr:txBody>
      </xdr:sp>
      <xdr:sp macro="" textlink="">
        <xdr:nvSpPr>
          <xdr:cNvPr id="12" name="Rectangle: Rounded Corners 11">
            <a:extLst>
              <a:ext uri="{FF2B5EF4-FFF2-40B4-BE49-F238E27FC236}">
                <a16:creationId xmlns:a16="http://schemas.microsoft.com/office/drawing/2014/main" id="{C246941B-262F-4CF0-8655-036D5A1D7015}"/>
              </a:ext>
            </a:extLst>
          </xdr:cNvPr>
          <xdr:cNvSpPr/>
        </xdr:nvSpPr>
        <xdr:spPr>
          <a:xfrm>
            <a:off x="59764" y="930462"/>
            <a:ext cx="1971116" cy="115196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a:latin typeface="Segoe UI" panose="020B0502040204020203" pitchFamily="34" charset="0"/>
                <a:cs typeface="Segoe UI" panose="020B0502040204020203" pitchFamily="34" charset="0"/>
              </a:rPr>
              <a:t>👔</a:t>
            </a:r>
            <a:r>
              <a:rPr lang="en-IN" sz="1800" baseline="0">
                <a:latin typeface="Segoe UI" panose="020B0502040204020203" pitchFamily="34" charset="0"/>
                <a:cs typeface="Segoe UI" panose="020B0502040204020203" pitchFamily="34" charset="0"/>
              </a:rPr>
              <a:t> </a:t>
            </a:r>
            <a:r>
              <a:rPr lang="en-IN" sz="1400" b="1">
                <a:solidFill>
                  <a:schemeClr val="dk1"/>
                </a:solidFill>
                <a:latin typeface="Segoe UI" panose="020B0502040204020203" pitchFamily="34" charset="0"/>
                <a:ea typeface="+mn-ea"/>
                <a:cs typeface="Segoe UI" panose="020B0502040204020203" pitchFamily="34" charset="0"/>
              </a:rPr>
              <a:t>Total</a:t>
            </a:r>
            <a:r>
              <a:rPr lang="en-IN" sz="1400" b="1" baseline="0">
                <a:solidFill>
                  <a:schemeClr val="dk1"/>
                </a:solidFill>
                <a:latin typeface="Segoe UI" panose="020B0502040204020203" pitchFamily="34" charset="0"/>
                <a:ea typeface="+mn-ea"/>
                <a:cs typeface="Segoe UI" panose="020B0502040204020203" pitchFamily="34" charset="0"/>
              </a:rPr>
              <a:t> Employees</a:t>
            </a:r>
            <a:endParaRPr lang="en-IN" sz="1400" b="1">
              <a:latin typeface="Segoe UI" panose="020B0502040204020203" pitchFamily="34" charset="0"/>
              <a:cs typeface="Segoe UI" panose="020B0502040204020203" pitchFamily="34" charset="0"/>
            </a:endParaRPr>
          </a:p>
        </xdr:txBody>
      </xdr:sp>
      <xdr:sp macro="" textlink="">
        <xdr:nvSpPr>
          <xdr:cNvPr id="49" name="Rectangle: Rounded Corners 48">
            <a:extLst>
              <a:ext uri="{FF2B5EF4-FFF2-40B4-BE49-F238E27FC236}">
                <a16:creationId xmlns:a16="http://schemas.microsoft.com/office/drawing/2014/main" id="{B8B3071C-41EC-45DA-89ED-9D25F3FF5907}"/>
              </a:ext>
            </a:extLst>
          </xdr:cNvPr>
          <xdr:cNvSpPr/>
        </xdr:nvSpPr>
        <xdr:spPr>
          <a:xfrm>
            <a:off x="2101439" y="918509"/>
            <a:ext cx="1971116" cy="1151964"/>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r>
              <a:rPr lang="en-IN" sz="1800" b="1">
                <a:solidFill>
                  <a:schemeClr val="dk1"/>
                </a:solidFill>
                <a:effectLst/>
                <a:latin typeface="Segoe UI" panose="020B0502040204020203" pitchFamily="34" charset="0"/>
                <a:ea typeface="+mn-ea"/>
                <a:cs typeface="Segoe UI" panose="020B0502040204020203" pitchFamily="34" charset="0"/>
              </a:rPr>
              <a:t>📉</a:t>
            </a:r>
            <a:r>
              <a:rPr lang="en-IN" sz="1100" b="1">
                <a:solidFill>
                  <a:schemeClr val="dk1"/>
                </a:solidFill>
                <a:effectLst/>
                <a:latin typeface="Segoe UI" panose="020B0502040204020203" pitchFamily="34" charset="0"/>
                <a:ea typeface="+mn-ea"/>
                <a:cs typeface="Segoe UI" panose="020B0502040204020203" pitchFamily="34" charset="0"/>
              </a:rPr>
              <a:t> </a:t>
            </a:r>
            <a:r>
              <a:rPr lang="en-IN" sz="1400" b="1">
                <a:solidFill>
                  <a:schemeClr val="dk1"/>
                </a:solidFill>
                <a:effectLst/>
                <a:latin typeface="Segoe UI" panose="020B0502040204020203" pitchFamily="34" charset="0"/>
                <a:ea typeface="+mn-ea"/>
                <a:cs typeface="Segoe UI" panose="020B0502040204020203" pitchFamily="34" charset="0"/>
              </a:rPr>
              <a:t>Attrition Count</a:t>
            </a:r>
            <a:endParaRPr lang="en-IN" sz="1400">
              <a:effectLst/>
              <a:latin typeface="Segoe UI" panose="020B0502040204020203" pitchFamily="34" charset="0"/>
              <a:cs typeface="Segoe UI" panose="020B0502040204020203" pitchFamily="34" charset="0"/>
            </a:endParaRPr>
          </a:p>
        </xdr:txBody>
      </xdr:sp>
    </xdr:grpSp>
    <xdr:clientData/>
  </xdr:twoCellAnchor>
  <xdr:twoCellAnchor>
    <xdr:from>
      <xdr:col>7</xdr:col>
      <xdr:colOff>167154</xdr:colOff>
      <xdr:row>8</xdr:row>
      <xdr:rowOff>92448</xdr:rowOff>
    </xdr:from>
    <xdr:to>
      <xdr:col>9</xdr:col>
      <xdr:colOff>386229</xdr:colOff>
      <xdr:row>10</xdr:row>
      <xdr:rowOff>130548</xdr:rowOff>
    </xdr:to>
    <xdr:sp macro="" textlink="working_data!AA8">
      <xdr:nvSpPr>
        <xdr:cNvPr id="13" name="TextBox 12">
          <a:extLst>
            <a:ext uri="{FF2B5EF4-FFF2-40B4-BE49-F238E27FC236}">
              <a16:creationId xmlns:a16="http://schemas.microsoft.com/office/drawing/2014/main" id="{FE32224D-073C-4573-8263-E76CBB1ECBB6}"/>
            </a:ext>
          </a:extLst>
        </xdr:cNvPr>
        <xdr:cNvSpPr txBox="1"/>
      </xdr:nvSpPr>
      <xdr:spPr>
        <a:xfrm>
          <a:off x="4455272" y="1526801"/>
          <a:ext cx="1444251"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947D64-EB2F-4752-8FC8-A18AC9AE30E8}" type="TxLink">
            <a:rPr lang="en-US" sz="2000" b="1" i="0" u="none" strike="noStrike">
              <a:solidFill>
                <a:srgbClr val="000000"/>
              </a:solidFill>
              <a:latin typeface="Segoe UI" panose="020B0502040204020203" pitchFamily="34" charset="0"/>
              <a:ea typeface="Calibri"/>
              <a:cs typeface="Segoe UI" panose="020B0502040204020203" pitchFamily="34" charset="0"/>
            </a:rPr>
            <a:pPr marL="0" indent="0" algn="ctr"/>
            <a:t>18%</a:t>
          </a:fld>
          <a:endParaRPr lang="en-IN" sz="20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10</xdr:col>
      <xdr:colOff>252880</xdr:colOff>
      <xdr:row>8</xdr:row>
      <xdr:rowOff>92448</xdr:rowOff>
    </xdr:from>
    <xdr:to>
      <xdr:col>13</xdr:col>
      <xdr:colOff>157630</xdr:colOff>
      <xdr:row>10</xdr:row>
      <xdr:rowOff>130548</xdr:rowOff>
    </xdr:to>
    <xdr:sp macro="" textlink="working_data!AA11">
      <xdr:nvSpPr>
        <xdr:cNvPr id="14" name="TextBox 13">
          <a:extLst>
            <a:ext uri="{FF2B5EF4-FFF2-40B4-BE49-F238E27FC236}">
              <a16:creationId xmlns:a16="http://schemas.microsoft.com/office/drawing/2014/main" id="{C2C6483D-0E68-4257-80AD-D65591B78EF2}"/>
            </a:ext>
          </a:extLst>
        </xdr:cNvPr>
        <xdr:cNvSpPr txBox="1"/>
      </xdr:nvSpPr>
      <xdr:spPr>
        <a:xfrm>
          <a:off x="6378762" y="1526801"/>
          <a:ext cx="1742515"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6D6531-C9D6-4894-9728-12D9914E4298}" type="TxLink">
            <a:rPr lang="en-US" sz="2000" b="1" i="0" u="none" strike="noStrike">
              <a:solidFill>
                <a:srgbClr val="000000"/>
              </a:solidFill>
              <a:latin typeface="Segoe UI" panose="020B0502040204020203" pitchFamily="34" charset="0"/>
              <a:ea typeface="Calibri"/>
              <a:cs typeface="Segoe UI" panose="020B0502040204020203" pitchFamily="34" charset="0"/>
            </a:rPr>
            <a:pPr marL="0" indent="0" algn="ctr"/>
            <a:t> ₹ 72,138 </a:t>
          </a:fld>
          <a:endParaRPr lang="en-US" sz="20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13</xdr:col>
      <xdr:colOff>371476</xdr:colOff>
      <xdr:row>8</xdr:row>
      <xdr:rowOff>92448</xdr:rowOff>
    </xdr:from>
    <xdr:to>
      <xdr:col>16</xdr:col>
      <xdr:colOff>276226</xdr:colOff>
      <xdr:row>10</xdr:row>
      <xdr:rowOff>130548</xdr:rowOff>
    </xdr:to>
    <xdr:sp macro="" textlink="">
      <xdr:nvSpPr>
        <xdr:cNvPr id="15" name="TextBox 14">
          <a:extLst>
            <a:ext uri="{FF2B5EF4-FFF2-40B4-BE49-F238E27FC236}">
              <a16:creationId xmlns:a16="http://schemas.microsoft.com/office/drawing/2014/main" id="{2897B2BE-7477-45B6-8958-83C112FBEE38}"/>
            </a:ext>
          </a:extLst>
        </xdr:cNvPr>
        <xdr:cNvSpPr txBox="1"/>
      </xdr:nvSpPr>
      <xdr:spPr>
        <a:xfrm>
          <a:off x="8335123" y="1526801"/>
          <a:ext cx="1742515"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000" b="1" i="0" u="none" strike="noStrike">
              <a:solidFill>
                <a:srgbClr val="000000"/>
              </a:solidFill>
              <a:latin typeface="Segoe UI" panose="020B0502040204020203" pitchFamily="34" charset="0"/>
              <a:ea typeface="Calibri"/>
              <a:cs typeface="Segoe UI" panose="020B0502040204020203" pitchFamily="34" charset="0"/>
            </a:rPr>
            <a:t>38</a:t>
          </a:r>
        </a:p>
      </xdr:txBody>
    </xdr:sp>
    <xdr:clientData/>
  </xdr:twoCellAnchor>
  <xdr:twoCellAnchor>
    <xdr:from>
      <xdr:col>16</xdr:col>
      <xdr:colOff>581026</xdr:colOff>
      <xdr:row>8</xdr:row>
      <xdr:rowOff>92448</xdr:rowOff>
    </xdr:from>
    <xdr:to>
      <xdr:col>19</xdr:col>
      <xdr:colOff>485776</xdr:colOff>
      <xdr:row>10</xdr:row>
      <xdr:rowOff>130548</xdr:rowOff>
    </xdr:to>
    <xdr:sp macro="" textlink="working_data!AA17">
      <xdr:nvSpPr>
        <xdr:cNvPr id="17" name="TextBox 16">
          <a:extLst>
            <a:ext uri="{FF2B5EF4-FFF2-40B4-BE49-F238E27FC236}">
              <a16:creationId xmlns:a16="http://schemas.microsoft.com/office/drawing/2014/main" id="{979E0BAD-4E10-41D1-AD1E-CFB0C16306C3}"/>
            </a:ext>
          </a:extLst>
        </xdr:cNvPr>
        <xdr:cNvSpPr txBox="1"/>
      </xdr:nvSpPr>
      <xdr:spPr>
        <a:xfrm>
          <a:off x="10382438" y="1526801"/>
          <a:ext cx="1742514"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C278501-8E7B-4CBD-9808-31A075B697A2}" type="TxLink">
            <a:rPr lang="en-US" sz="2000" b="1" i="0" u="none" strike="noStrike">
              <a:solidFill>
                <a:srgbClr val="000000"/>
              </a:solidFill>
              <a:latin typeface="Segoe UI" panose="020B0502040204020203" pitchFamily="34" charset="0"/>
              <a:ea typeface="Calibri"/>
              <a:cs typeface="Segoe UI" panose="020B0502040204020203" pitchFamily="34" charset="0"/>
            </a:rPr>
            <a:pPr marL="0" indent="0" algn="ctr"/>
            <a:t>3.03</a:t>
          </a:fld>
          <a:endParaRPr lang="en-US" sz="20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twoCellAnchor>
    <xdr:from>
      <xdr:col>0</xdr:col>
      <xdr:colOff>353545</xdr:colOff>
      <xdr:row>8</xdr:row>
      <xdr:rowOff>92448</xdr:rowOff>
    </xdr:from>
    <xdr:to>
      <xdr:col>2</xdr:col>
      <xdr:colOff>572620</xdr:colOff>
      <xdr:row>10</xdr:row>
      <xdr:rowOff>130548</xdr:rowOff>
    </xdr:to>
    <xdr:sp macro="" textlink="working_data!AA2">
      <xdr:nvSpPr>
        <xdr:cNvPr id="18" name="TextBox 17">
          <a:extLst>
            <a:ext uri="{FF2B5EF4-FFF2-40B4-BE49-F238E27FC236}">
              <a16:creationId xmlns:a16="http://schemas.microsoft.com/office/drawing/2014/main" id="{BAA92495-C978-4A31-BD4B-AE6D9ADB59A9}"/>
            </a:ext>
          </a:extLst>
        </xdr:cNvPr>
        <xdr:cNvSpPr txBox="1"/>
      </xdr:nvSpPr>
      <xdr:spPr>
        <a:xfrm>
          <a:off x="353545" y="1526801"/>
          <a:ext cx="1444251"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A71035-95B7-47DC-8005-F89123F016E5}" type="TxLink">
            <a:rPr lang="en-US" sz="2000" b="1" i="0" u="none" strike="noStrike">
              <a:solidFill>
                <a:srgbClr val="000000"/>
              </a:solidFill>
              <a:latin typeface="Segoe UI" panose="020B0502040204020203" pitchFamily="34" charset="0"/>
              <a:ea typeface="Calibri"/>
              <a:cs typeface="Segoe UI" panose="020B0502040204020203" pitchFamily="34" charset="0"/>
            </a:rPr>
            <a:pPr algn="ctr"/>
            <a:t>1000</a:t>
          </a:fld>
          <a:endParaRPr lang="en-IN" sz="2000">
            <a:latin typeface="Segoe UI" panose="020B0502040204020203" pitchFamily="34" charset="0"/>
            <a:cs typeface="Segoe UI" panose="020B0502040204020203" pitchFamily="34" charset="0"/>
          </a:endParaRPr>
        </a:p>
      </xdr:txBody>
    </xdr:sp>
    <xdr:clientData/>
  </xdr:twoCellAnchor>
  <xdr:twoCellAnchor>
    <xdr:from>
      <xdr:col>0</xdr:col>
      <xdr:colOff>82408</xdr:colOff>
      <xdr:row>12</xdr:row>
      <xdr:rowOff>84213</xdr:rowOff>
    </xdr:from>
    <xdr:to>
      <xdr:col>20</xdr:col>
      <xdr:colOff>44824</xdr:colOff>
      <xdr:row>61</xdr:row>
      <xdr:rowOff>78777</xdr:rowOff>
    </xdr:to>
    <xdr:grpSp>
      <xdr:nvGrpSpPr>
        <xdr:cNvPr id="20" name="Group 19">
          <a:extLst>
            <a:ext uri="{FF2B5EF4-FFF2-40B4-BE49-F238E27FC236}">
              <a16:creationId xmlns:a16="http://schemas.microsoft.com/office/drawing/2014/main" id="{B77588FC-D842-4C99-90AB-938EF8A5BAAA}"/>
            </a:ext>
          </a:extLst>
        </xdr:cNvPr>
        <xdr:cNvGrpSpPr/>
      </xdr:nvGrpSpPr>
      <xdr:grpSpPr>
        <a:xfrm>
          <a:off x="82408" y="2217813"/>
          <a:ext cx="12154416" cy="8706764"/>
          <a:chOff x="90407" y="2174611"/>
          <a:chExt cx="12154416" cy="8819792"/>
        </a:xfrm>
        <a:solidFill>
          <a:schemeClr val="bg2"/>
        </a:solidFill>
      </xdr:grpSpPr>
      <xdr:sp macro="" textlink="">
        <xdr:nvSpPr>
          <xdr:cNvPr id="4" name="Rectangle: Rounded Corners 3">
            <a:extLst>
              <a:ext uri="{FF2B5EF4-FFF2-40B4-BE49-F238E27FC236}">
                <a16:creationId xmlns:a16="http://schemas.microsoft.com/office/drawing/2014/main" id="{9845EF7C-5823-41E8-8669-5007D55294A7}"/>
              </a:ext>
            </a:extLst>
          </xdr:cNvPr>
          <xdr:cNvSpPr/>
        </xdr:nvSpPr>
        <xdr:spPr>
          <a:xfrm>
            <a:off x="90407" y="2187139"/>
            <a:ext cx="6031424" cy="2894661"/>
          </a:xfrm>
          <a:prstGeom prst="roundRect">
            <a:avLst/>
          </a:prstGeom>
          <a:grp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60000"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sp macro="" textlink="">
        <xdr:nvSpPr>
          <xdr:cNvPr id="23" name="Rectangle: Rounded Corners 22">
            <a:extLst>
              <a:ext uri="{FF2B5EF4-FFF2-40B4-BE49-F238E27FC236}">
                <a16:creationId xmlns:a16="http://schemas.microsoft.com/office/drawing/2014/main" id="{2FDDCFCD-9CB7-4E73-9215-877FE8196A21}"/>
              </a:ext>
            </a:extLst>
          </xdr:cNvPr>
          <xdr:cNvSpPr/>
        </xdr:nvSpPr>
        <xdr:spPr>
          <a:xfrm>
            <a:off x="6183824" y="2174611"/>
            <a:ext cx="6031423" cy="2894661"/>
          </a:xfrm>
          <a:prstGeom prst="roundRect">
            <a:avLst/>
          </a:prstGeom>
          <a:grp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60000"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sp macro="" textlink="">
        <xdr:nvSpPr>
          <xdr:cNvPr id="24" name="Rectangle: Rounded Corners 23">
            <a:extLst>
              <a:ext uri="{FF2B5EF4-FFF2-40B4-BE49-F238E27FC236}">
                <a16:creationId xmlns:a16="http://schemas.microsoft.com/office/drawing/2014/main" id="{50A2E512-7E07-4DB7-B405-417BA5D36D7B}"/>
              </a:ext>
            </a:extLst>
          </xdr:cNvPr>
          <xdr:cNvSpPr/>
        </xdr:nvSpPr>
        <xdr:spPr>
          <a:xfrm>
            <a:off x="113655" y="5143793"/>
            <a:ext cx="6031424" cy="2894660"/>
          </a:xfrm>
          <a:prstGeom prst="roundRect">
            <a:avLst/>
          </a:prstGeom>
          <a:grp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60000"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sp macro="" textlink="">
        <xdr:nvSpPr>
          <xdr:cNvPr id="25" name="Rectangle: Rounded Corners 24">
            <a:extLst>
              <a:ext uri="{FF2B5EF4-FFF2-40B4-BE49-F238E27FC236}">
                <a16:creationId xmlns:a16="http://schemas.microsoft.com/office/drawing/2014/main" id="{7716B83E-2CDE-4054-9321-11CEA5B94F6E}"/>
              </a:ext>
            </a:extLst>
          </xdr:cNvPr>
          <xdr:cNvSpPr/>
        </xdr:nvSpPr>
        <xdr:spPr>
          <a:xfrm>
            <a:off x="136903" y="8100446"/>
            <a:ext cx="6031424" cy="2893957"/>
          </a:xfrm>
          <a:prstGeom prst="roundRect">
            <a:avLst/>
          </a:prstGeom>
          <a:grp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60000"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sp macro="" textlink="">
        <xdr:nvSpPr>
          <xdr:cNvPr id="26" name="Rectangle: Rounded Corners 25">
            <a:extLst>
              <a:ext uri="{FF2B5EF4-FFF2-40B4-BE49-F238E27FC236}">
                <a16:creationId xmlns:a16="http://schemas.microsoft.com/office/drawing/2014/main" id="{B0447DBF-2021-44D9-BF65-76F8FCE6910D}"/>
              </a:ext>
            </a:extLst>
          </xdr:cNvPr>
          <xdr:cNvSpPr/>
        </xdr:nvSpPr>
        <xdr:spPr>
          <a:xfrm>
            <a:off x="6194156" y="5107005"/>
            <a:ext cx="6031423" cy="2894660"/>
          </a:xfrm>
          <a:prstGeom prst="roundRect">
            <a:avLst/>
          </a:prstGeom>
          <a:grp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60000"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sp macro="" textlink="">
        <xdr:nvSpPr>
          <xdr:cNvPr id="27" name="Rectangle: Rounded Corners 26">
            <a:extLst>
              <a:ext uri="{FF2B5EF4-FFF2-40B4-BE49-F238E27FC236}">
                <a16:creationId xmlns:a16="http://schemas.microsoft.com/office/drawing/2014/main" id="{7AFF43CA-F4E4-434D-B5B8-134D5A7F23BA}"/>
              </a:ext>
            </a:extLst>
          </xdr:cNvPr>
          <xdr:cNvSpPr/>
        </xdr:nvSpPr>
        <xdr:spPr>
          <a:xfrm>
            <a:off x="6213400" y="8065926"/>
            <a:ext cx="6031423" cy="2894661"/>
          </a:xfrm>
          <a:prstGeom prst="roundRect">
            <a:avLst/>
          </a:prstGeom>
          <a:grp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60000"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grpSp>
    <xdr:clientData/>
  </xdr:twoCellAnchor>
  <xdr:twoCellAnchor>
    <xdr:from>
      <xdr:col>1</xdr:col>
      <xdr:colOff>29136</xdr:colOff>
      <xdr:row>13</xdr:row>
      <xdr:rowOff>114298</xdr:rowOff>
    </xdr:from>
    <xdr:to>
      <xdr:col>8</xdr:col>
      <xdr:colOff>375024</xdr:colOff>
      <xdr:row>27</xdr:row>
      <xdr:rowOff>150331</xdr:rowOff>
    </xdr:to>
    <xdr:graphicFrame macro="">
      <xdr:nvGraphicFramePr>
        <xdr:cNvPr id="28" name="Chart 27">
          <a:extLst>
            <a:ext uri="{FF2B5EF4-FFF2-40B4-BE49-F238E27FC236}">
              <a16:creationId xmlns:a16="http://schemas.microsoft.com/office/drawing/2014/main" id="{54D63062-C946-462E-BAF4-D83B3F8CA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258435</xdr:colOff>
      <xdr:row>29</xdr:row>
      <xdr:rowOff>23006</xdr:rowOff>
    </xdr:from>
    <xdr:to>
      <xdr:col>8</xdr:col>
      <xdr:colOff>563235</xdr:colOff>
      <xdr:row>44</xdr:row>
      <xdr:rowOff>23006</xdr:rowOff>
    </xdr:to>
    <xdr:graphicFrame macro="">
      <xdr:nvGraphicFramePr>
        <xdr:cNvPr id="31" name="Chart 30">
          <a:extLst>
            <a:ext uri="{FF2B5EF4-FFF2-40B4-BE49-F238E27FC236}">
              <a16:creationId xmlns:a16="http://schemas.microsoft.com/office/drawing/2014/main" id="{C3A4F4CA-23B8-40D8-8F05-4853B1088F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20480</xdr:colOff>
      <xdr:row>29</xdr:row>
      <xdr:rowOff>65527</xdr:rowOff>
    </xdr:from>
    <xdr:to>
      <xdr:col>19</xdr:col>
      <xdr:colOff>283883</xdr:colOff>
      <xdr:row>44</xdr:row>
      <xdr:rowOff>148134</xdr:rowOff>
    </xdr:to>
    <xdr:graphicFrame macro="">
      <xdr:nvGraphicFramePr>
        <xdr:cNvPr id="32" name="Chart 31">
          <a:extLst>
            <a:ext uri="{FF2B5EF4-FFF2-40B4-BE49-F238E27FC236}">
              <a16:creationId xmlns:a16="http://schemas.microsoft.com/office/drawing/2014/main" id="{F63AC9E7-8224-4144-845D-9EFB96D58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215493</xdr:colOff>
      <xdr:row>46</xdr:row>
      <xdr:rowOff>14942</xdr:rowOff>
    </xdr:from>
    <xdr:to>
      <xdr:col>9</xdr:col>
      <xdr:colOff>149411</xdr:colOff>
      <xdr:row>60</xdr:row>
      <xdr:rowOff>107882</xdr:rowOff>
    </xdr:to>
    <xdr:graphicFrame macro="">
      <xdr:nvGraphicFramePr>
        <xdr:cNvPr id="33" name="Chart 32">
          <a:extLst>
            <a:ext uri="{FF2B5EF4-FFF2-40B4-BE49-F238E27FC236}">
              <a16:creationId xmlns:a16="http://schemas.microsoft.com/office/drawing/2014/main" id="{49D1F67A-B250-4B18-AC3A-E9B78806A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132640</xdr:colOff>
      <xdr:row>45</xdr:row>
      <xdr:rowOff>165234</xdr:rowOff>
    </xdr:from>
    <xdr:to>
      <xdr:col>18</xdr:col>
      <xdr:colOff>437440</xdr:colOff>
      <xdr:row>60</xdr:row>
      <xdr:rowOff>165234</xdr:rowOff>
    </xdr:to>
    <xdr:graphicFrame macro="">
      <xdr:nvGraphicFramePr>
        <xdr:cNvPr id="34" name="Chart 33">
          <a:extLst>
            <a:ext uri="{FF2B5EF4-FFF2-40B4-BE49-F238E27FC236}">
              <a16:creationId xmlns:a16="http://schemas.microsoft.com/office/drawing/2014/main" id="{48015846-CB54-4192-9622-1E0B66337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50427</xdr:colOff>
      <xdr:row>5</xdr:row>
      <xdr:rowOff>59765</xdr:rowOff>
    </xdr:from>
    <xdr:to>
      <xdr:col>24</xdr:col>
      <xdr:colOff>358589</xdr:colOff>
      <xdr:row>61</xdr:row>
      <xdr:rowOff>115795</xdr:rowOff>
    </xdr:to>
    <xdr:sp macro="" textlink="">
      <xdr:nvSpPr>
        <xdr:cNvPr id="11" name="Rectangle: Rounded Corners 10">
          <a:extLst>
            <a:ext uri="{FF2B5EF4-FFF2-40B4-BE49-F238E27FC236}">
              <a16:creationId xmlns:a16="http://schemas.microsoft.com/office/drawing/2014/main" id="{996ED624-356B-4F7B-A9E3-826A6AF9C7AA}"/>
            </a:ext>
          </a:extLst>
        </xdr:cNvPr>
        <xdr:cNvSpPr/>
      </xdr:nvSpPr>
      <xdr:spPr>
        <a:xfrm>
          <a:off x="12302192" y="956236"/>
          <a:ext cx="2758515" cy="10096500"/>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Segoe UI" panose="020B0502040204020203" pitchFamily="34" charset="0"/>
            <a:cs typeface="Segoe UI" panose="020B0502040204020203" pitchFamily="34" charset="0"/>
          </a:endParaRPr>
        </a:p>
      </xdr:txBody>
    </xdr:sp>
    <xdr:clientData/>
  </xdr:twoCellAnchor>
  <xdr:twoCellAnchor>
    <xdr:from>
      <xdr:col>20</xdr:col>
      <xdr:colOff>224117</xdr:colOff>
      <xdr:row>7</xdr:row>
      <xdr:rowOff>116765</xdr:rowOff>
    </xdr:from>
    <xdr:to>
      <xdr:col>24</xdr:col>
      <xdr:colOff>88564</xdr:colOff>
      <xdr:row>17</xdr:row>
      <xdr:rowOff>113032</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F0CDE382-A9C7-4997-8A91-888F3158784A}"/>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475882" y="1371824"/>
              <a:ext cx="2314800" cy="1789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239059</xdr:colOff>
      <xdr:row>20</xdr:row>
      <xdr:rowOff>32234</xdr:rowOff>
    </xdr:from>
    <xdr:to>
      <xdr:col>24</xdr:col>
      <xdr:colOff>103506</xdr:colOff>
      <xdr:row>23</xdr:row>
      <xdr:rowOff>152186</xdr:rowOff>
    </xdr:to>
    <mc:AlternateContent xmlns:mc="http://schemas.openxmlformats.org/markup-compatibility/2006" xmlns:a14="http://schemas.microsoft.com/office/drawing/2010/main">
      <mc:Choice Requires="a14">
        <xdr:graphicFrame macro="">
          <xdr:nvGraphicFramePr>
            <xdr:cNvPr id="35" name="Gender">
              <a:extLst>
                <a:ext uri="{FF2B5EF4-FFF2-40B4-BE49-F238E27FC236}">
                  <a16:creationId xmlns:a16="http://schemas.microsoft.com/office/drawing/2014/main" id="{34511A21-E69B-41E0-821F-D91C588DA8A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490824" y="3618116"/>
              <a:ext cx="2314800" cy="657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239056</xdr:colOff>
      <xdr:row>26</xdr:row>
      <xdr:rowOff>71388</xdr:rowOff>
    </xdr:from>
    <xdr:to>
      <xdr:col>24</xdr:col>
      <xdr:colOff>103503</xdr:colOff>
      <xdr:row>33</xdr:row>
      <xdr:rowOff>71388</xdr:rowOff>
    </xdr:to>
    <mc:AlternateContent xmlns:mc="http://schemas.openxmlformats.org/markup-compatibility/2006" xmlns:a14="http://schemas.microsoft.com/office/drawing/2010/main">
      <mc:Choice Requires="a14">
        <xdr:graphicFrame macro="">
          <xdr:nvGraphicFramePr>
            <xdr:cNvPr id="36" name="Education">
              <a:extLst>
                <a:ext uri="{FF2B5EF4-FFF2-40B4-BE49-F238E27FC236}">
                  <a16:creationId xmlns:a16="http://schemas.microsoft.com/office/drawing/2014/main" id="{757D7AE3-63CD-47DD-8CBC-63C8D20248B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2490821" y="4733035"/>
              <a:ext cx="2314800" cy="12550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224115</xdr:colOff>
      <xdr:row>35</xdr:row>
      <xdr:rowOff>170449</xdr:rowOff>
    </xdr:from>
    <xdr:to>
      <xdr:col>24</xdr:col>
      <xdr:colOff>88562</xdr:colOff>
      <xdr:row>39</xdr:row>
      <xdr:rowOff>155506</xdr:rowOff>
    </xdr:to>
    <mc:AlternateContent xmlns:mc="http://schemas.openxmlformats.org/markup-compatibility/2006" xmlns:a14="http://schemas.microsoft.com/office/drawing/2010/main">
      <mc:Choice Requires="a14">
        <xdr:graphicFrame macro="">
          <xdr:nvGraphicFramePr>
            <xdr:cNvPr id="37" name="Overtime">
              <a:extLst>
                <a:ext uri="{FF2B5EF4-FFF2-40B4-BE49-F238E27FC236}">
                  <a16:creationId xmlns:a16="http://schemas.microsoft.com/office/drawing/2014/main" id="{229696A1-C71F-4B02-913F-C6AC5161EB3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12475880" y="6445743"/>
              <a:ext cx="2314800" cy="7022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6</xdr:col>
      <xdr:colOff>0</xdr:colOff>
      <xdr:row>14</xdr:row>
      <xdr:rowOff>29882</xdr:rowOff>
    </xdr:from>
    <xdr:ext cx="184731" cy="279948"/>
    <xdr:sp macro="" textlink="">
      <xdr:nvSpPr>
        <xdr:cNvPr id="21" name="TextBox 20">
          <a:extLst>
            <a:ext uri="{FF2B5EF4-FFF2-40B4-BE49-F238E27FC236}">
              <a16:creationId xmlns:a16="http://schemas.microsoft.com/office/drawing/2014/main" id="{B9760059-EB1F-4625-AA82-F8AE37C4005B}"/>
            </a:ext>
          </a:extLst>
        </xdr:cNvPr>
        <xdr:cNvSpPr txBox="1"/>
      </xdr:nvSpPr>
      <xdr:spPr>
        <a:xfrm>
          <a:off x="3675529" y="2540000"/>
          <a:ext cx="184731"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latin typeface="Segoe UI" panose="020B0502040204020203" pitchFamily="34" charset="0"/>
            <a:cs typeface="Segoe UI" panose="020B0502040204020203" pitchFamily="34" charset="0"/>
          </a:endParaRPr>
        </a:p>
      </xdr:txBody>
    </xdr:sp>
    <xdr:clientData/>
  </xdr:oneCellAnchor>
  <xdr:twoCellAnchor editAs="oneCell">
    <xdr:from>
      <xdr:col>20</xdr:col>
      <xdr:colOff>268940</xdr:colOff>
      <xdr:row>42</xdr:row>
      <xdr:rowOff>74706</xdr:rowOff>
    </xdr:from>
    <xdr:to>
      <xdr:col>24</xdr:col>
      <xdr:colOff>133387</xdr:colOff>
      <xdr:row>46</xdr:row>
      <xdr:rowOff>44824</xdr:rowOff>
    </xdr:to>
    <mc:AlternateContent xmlns:mc="http://schemas.openxmlformats.org/markup-compatibility/2006" xmlns:a14="http://schemas.microsoft.com/office/drawing/2010/main">
      <mc:Choice Requires="a14">
        <xdr:graphicFrame macro="">
          <xdr:nvGraphicFramePr>
            <xdr:cNvPr id="42" name="Attrition 1">
              <a:extLst>
                <a:ext uri="{FF2B5EF4-FFF2-40B4-BE49-F238E27FC236}">
                  <a16:creationId xmlns:a16="http://schemas.microsoft.com/office/drawing/2014/main" id="{E63A6310-0688-4BF3-A790-2698A352E4C3}"/>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Attrition 1"/>
            </a:graphicData>
          </a:graphic>
        </xdr:graphicFrame>
      </mc:Choice>
      <mc:Fallback xmlns="">
        <xdr:sp macro="" textlink="">
          <xdr:nvSpPr>
            <xdr:cNvPr id="0" name=""/>
            <xdr:cNvSpPr>
              <a:spLocks noTextEdit="1"/>
            </xdr:cNvSpPr>
          </xdr:nvSpPr>
          <xdr:spPr>
            <a:xfrm>
              <a:off x="12520705" y="7605059"/>
              <a:ext cx="2314800" cy="6872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388471</xdr:colOff>
      <xdr:row>12</xdr:row>
      <xdr:rowOff>149413</xdr:rowOff>
    </xdr:from>
    <xdr:to>
      <xdr:col>19</xdr:col>
      <xdr:colOff>254001</xdr:colOff>
      <xdr:row>28</xdr:row>
      <xdr:rowOff>29881</xdr:rowOff>
    </xdr:to>
    <xdr:graphicFrame macro="">
      <xdr:nvGraphicFramePr>
        <xdr:cNvPr id="40" name="Chart 39">
          <a:extLst>
            <a:ext uri="{FF2B5EF4-FFF2-40B4-BE49-F238E27FC236}">
              <a16:creationId xmlns:a16="http://schemas.microsoft.com/office/drawing/2014/main" id="{7EDD8536-075C-42AA-A0DB-33CA82CDD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388470</xdr:colOff>
      <xdr:row>5</xdr:row>
      <xdr:rowOff>89647</xdr:rowOff>
    </xdr:from>
    <xdr:to>
      <xdr:col>23</xdr:col>
      <xdr:colOff>507999</xdr:colOff>
      <xdr:row>7</xdr:row>
      <xdr:rowOff>44823</xdr:rowOff>
    </xdr:to>
    <xdr:sp macro="" textlink="">
      <xdr:nvSpPr>
        <xdr:cNvPr id="19" name="TextBox 18">
          <a:extLst>
            <a:ext uri="{FF2B5EF4-FFF2-40B4-BE49-F238E27FC236}">
              <a16:creationId xmlns:a16="http://schemas.microsoft.com/office/drawing/2014/main" id="{6AB67C44-173D-4BD1-924A-4224EC97D5A1}"/>
            </a:ext>
          </a:extLst>
        </xdr:cNvPr>
        <xdr:cNvSpPr txBox="1"/>
      </xdr:nvSpPr>
      <xdr:spPr>
        <a:xfrm>
          <a:off x="12640235" y="986118"/>
          <a:ext cx="1957293"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panose="020B0502040204020203" pitchFamily="34" charset="0"/>
              <a:cs typeface="Segoe UI" panose="020B0502040204020203" pitchFamily="34" charset="0"/>
            </a:rPr>
            <a:t>📂</a:t>
          </a:r>
          <a:r>
            <a:rPr lang="en-IN" sz="1400" b="1">
              <a:latin typeface="Segoe UI" panose="020B0502040204020203" pitchFamily="34" charset="0"/>
              <a:cs typeface="Segoe UI" panose="020B0502040204020203" pitchFamily="34" charset="0"/>
            </a:rPr>
            <a:t> Department</a:t>
          </a:r>
        </a:p>
      </xdr:txBody>
    </xdr:sp>
    <xdr:clientData/>
  </xdr:twoCellAnchor>
  <xdr:twoCellAnchor>
    <xdr:from>
      <xdr:col>20</xdr:col>
      <xdr:colOff>298823</xdr:colOff>
      <xdr:row>18</xdr:row>
      <xdr:rowOff>5680</xdr:rowOff>
    </xdr:from>
    <xdr:to>
      <xdr:col>23</xdr:col>
      <xdr:colOff>419459</xdr:colOff>
      <xdr:row>19</xdr:row>
      <xdr:rowOff>139586</xdr:rowOff>
    </xdr:to>
    <xdr:sp macro="" textlink="">
      <xdr:nvSpPr>
        <xdr:cNvPr id="22" name="TextBox 21">
          <a:extLst>
            <a:ext uri="{FF2B5EF4-FFF2-40B4-BE49-F238E27FC236}">
              <a16:creationId xmlns:a16="http://schemas.microsoft.com/office/drawing/2014/main" id="{45E038AD-AF6B-4044-9324-BA1F441644E6}"/>
            </a:ext>
          </a:extLst>
        </xdr:cNvPr>
        <xdr:cNvSpPr txBox="1"/>
      </xdr:nvSpPr>
      <xdr:spPr>
        <a:xfrm>
          <a:off x="12550588" y="3232974"/>
          <a:ext cx="1958400" cy="31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panose="020B0502040204020203" pitchFamily="34" charset="0"/>
              <a:cs typeface="Segoe UI" panose="020B0502040204020203" pitchFamily="34" charset="0"/>
            </a:rPr>
            <a:t>👥</a:t>
          </a:r>
          <a:r>
            <a:rPr lang="en-IN">
              <a:latin typeface="Segoe UI" panose="020B0502040204020203" pitchFamily="34" charset="0"/>
              <a:cs typeface="Segoe UI" panose="020B0502040204020203" pitchFamily="34" charset="0"/>
            </a:rPr>
            <a:t> </a:t>
          </a:r>
          <a:r>
            <a:rPr lang="en-IN" sz="1400" b="1">
              <a:solidFill>
                <a:schemeClr val="dk1"/>
              </a:solidFill>
              <a:latin typeface="Segoe UI" panose="020B0502040204020203" pitchFamily="34" charset="0"/>
              <a:ea typeface="+mn-ea"/>
              <a:cs typeface="Segoe UI" panose="020B0502040204020203" pitchFamily="34" charset="0"/>
            </a:rPr>
            <a:t>Gender</a:t>
          </a:r>
        </a:p>
      </xdr:txBody>
    </xdr:sp>
    <xdr:clientData/>
  </xdr:twoCellAnchor>
  <xdr:twoCellAnchor>
    <xdr:from>
      <xdr:col>20</xdr:col>
      <xdr:colOff>283882</xdr:colOff>
      <xdr:row>24</xdr:row>
      <xdr:rowOff>44834</xdr:rowOff>
    </xdr:from>
    <xdr:to>
      <xdr:col>23</xdr:col>
      <xdr:colOff>404518</xdr:colOff>
      <xdr:row>25</xdr:row>
      <xdr:rowOff>178740</xdr:rowOff>
    </xdr:to>
    <xdr:sp macro="" textlink="">
      <xdr:nvSpPr>
        <xdr:cNvPr id="30" name="TextBox 29">
          <a:extLst>
            <a:ext uri="{FF2B5EF4-FFF2-40B4-BE49-F238E27FC236}">
              <a16:creationId xmlns:a16="http://schemas.microsoft.com/office/drawing/2014/main" id="{A28557BB-B4C2-4F35-8022-4BB37AE7AE0A}"/>
            </a:ext>
          </a:extLst>
        </xdr:cNvPr>
        <xdr:cNvSpPr txBox="1"/>
      </xdr:nvSpPr>
      <xdr:spPr>
        <a:xfrm>
          <a:off x="12535647" y="4347893"/>
          <a:ext cx="1958400" cy="31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panose="020B0502040204020203" pitchFamily="34" charset="0"/>
              <a:cs typeface="Segoe UI" panose="020B0502040204020203" pitchFamily="34" charset="0"/>
            </a:rPr>
            <a:t>🎓</a:t>
          </a:r>
          <a:r>
            <a:rPr lang="en-IN" sz="1400">
              <a:latin typeface="Segoe UI" panose="020B0502040204020203" pitchFamily="34" charset="0"/>
              <a:cs typeface="Segoe UI" panose="020B0502040204020203" pitchFamily="34" charset="0"/>
            </a:rPr>
            <a:t> </a:t>
          </a:r>
          <a:r>
            <a:rPr lang="en-IN" sz="1400" b="1">
              <a:solidFill>
                <a:schemeClr val="dk1"/>
              </a:solidFill>
              <a:latin typeface="Segoe UI" panose="020B0502040204020203" pitchFamily="34" charset="0"/>
              <a:ea typeface="+mn-ea"/>
              <a:cs typeface="Segoe UI" panose="020B0502040204020203" pitchFamily="34" charset="0"/>
            </a:rPr>
            <a:t>Education</a:t>
          </a:r>
        </a:p>
      </xdr:txBody>
    </xdr:sp>
    <xdr:clientData/>
  </xdr:twoCellAnchor>
  <xdr:twoCellAnchor>
    <xdr:from>
      <xdr:col>20</xdr:col>
      <xdr:colOff>298823</xdr:colOff>
      <xdr:row>33</xdr:row>
      <xdr:rowOff>143330</xdr:rowOff>
    </xdr:from>
    <xdr:to>
      <xdr:col>23</xdr:col>
      <xdr:colOff>419459</xdr:colOff>
      <xdr:row>35</xdr:row>
      <xdr:rowOff>98507</xdr:rowOff>
    </xdr:to>
    <xdr:sp macro="" textlink="">
      <xdr:nvSpPr>
        <xdr:cNvPr id="38" name="TextBox 37">
          <a:extLst>
            <a:ext uri="{FF2B5EF4-FFF2-40B4-BE49-F238E27FC236}">
              <a16:creationId xmlns:a16="http://schemas.microsoft.com/office/drawing/2014/main" id="{4E06177F-61E4-4C44-8A21-F5ED0689DD98}"/>
            </a:ext>
          </a:extLst>
        </xdr:cNvPr>
        <xdr:cNvSpPr txBox="1"/>
      </xdr:nvSpPr>
      <xdr:spPr>
        <a:xfrm>
          <a:off x="12550588" y="6060036"/>
          <a:ext cx="1958400"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panose="020B0502040204020203" pitchFamily="34" charset="0"/>
              <a:cs typeface="Segoe UI" panose="020B0502040204020203" pitchFamily="34" charset="0"/>
            </a:rPr>
            <a:t>⏰</a:t>
          </a:r>
          <a:r>
            <a:rPr lang="en-IN" sz="1400" b="1">
              <a:latin typeface="Segoe UI" panose="020B0502040204020203" pitchFamily="34" charset="0"/>
              <a:cs typeface="Segoe UI" panose="020B0502040204020203" pitchFamily="34" charset="0"/>
            </a:rPr>
            <a:t> Overtime</a:t>
          </a:r>
        </a:p>
      </xdr:txBody>
    </xdr:sp>
    <xdr:clientData/>
  </xdr:twoCellAnchor>
  <xdr:twoCellAnchor>
    <xdr:from>
      <xdr:col>20</xdr:col>
      <xdr:colOff>268941</xdr:colOff>
      <xdr:row>40</xdr:row>
      <xdr:rowOff>48154</xdr:rowOff>
    </xdr:from>
    <xdr:to>
      <xdr:col>23</xdr:col>
      <xdr:colOff>389577</xdr:colOff>
      <xdr:row>42</xdr:row>
      <xdr:rowOff>2766</xdr:rowOff>
    </xdr:to>
    <xdr:sp macro="" textlink="">
      <xdr:nvSpPr>
        <xdr:cNvPr id="39" name="TextBox 38">
          <a:extLst>
            <a:ext uri="{FF2B5EF4-FFF2-40B4-BE49-F238E27FC236}">
              <a16:creationId xmlns:a16="http://schemas.microsoft.com/office/drawing/2014/main" id="{3DE84A44-4BC2-411B-9EAE-D4F3EFDC441F}"/>
            </a:ext>
          </a:extLst>
        </xdr:cNvPr>
        <xdr:cNvSpPr txBox="1"/>
      </xdr:nvSpPr>
      <xdr:spPr>
        <a:xfrm>
          <a:off x="12520706" y="7219919"/>
          <a:ext cx="1958400" cy="313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panose="020B0502040204020203" pitchFamily="34" charset="0"/>
              <a:cs typeface="Segoe UI" panose="020B0502040204020203" pitchFamily="34" charset="0"/>
            </a:rPr>
            <a:t>🚪</a:t>
          </a:r>
          <a:r>
            <a:rPr lang="en-IN" sz="1400" b="1">
              <a:latin typeface="Segoe UI" panose="020B0502040204020203" pitchFamily="34" charset="0"/>
              <a:cs typeface="Segoe UI" panose="020B0502040204020203" pitchFamily="34" charset="0"/>
            </a:rPr>
            <a:t> Attrition</a:t>
          </a:r>
        </a:p>
      </xdr:txBody>
    </xdr:sp>
    <xdr:clientData/>
  </xdr:twoCellAnchor>
  <xdr:twoCellAnchor>
    <xdr:from>
      <xdr:col>20</xdr:col>
      <xdr:colOff>89648</xdr:colOff>
      <xdr:row>47</xdr:row>
      <xdr:rowOff>-1</xdr:rowOff>
    </xdr:from>
    <xdr:to>
      <xdr:col>24</xdr:col>
      <xdr:colOff>313765</xdr:colOff>
      <xdr:row>61</xdr:row>
      <xdr:rowOff>59765</xdr:rowOff>
    </xdr:to>
    <xdr:sp macro="" textlink="">
      <xdr:nvSpPr>
        <xdr:cNvPr id="45" name="Rectangle: Rounded Corners 44">
          <a:extLst>
            <a:ext uri="{FF2B5EF4-FFF2-40B4-BE49-F238E27FC236}">
              <a16:creationId xmlns:a16="http://schemas.microsoft.com/office/drawing/2014/main" id="{0AE402A4-2670-45FC-84B4-F312C59E242A}"/>
            </a:ext>
          </a:extLst>
        </xdr:cNvPr>
        <xdr:cNvSpPr/>
      </xdr:nvSpPr>
      <xdr:spPr>
        <a:xfrm>
          <a:off x="12341413" y="8426823"/>
          <a:ext cx="2674470" cy="2569883"/>
        </a:xfrm>
        <a:prstGeom prst="roundRect">
          <a:avLst/>
        </a:prstGeom>
        <a:solidFill>
          <a:schemeClr val="tx2">
            <a:lumMod val="75000"/>
          </a:schemeClr>
        </a:solidFill>
        <a:ln>
          <a:solidFill>
            <a:schemeClr val="dk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20</xdr:col>
      <xdr:colOff>209176</xdr:colOff>
      <xdr:row>48</xdr:row>
      <xdr:rowOff>74705</xdr:rowOff>
    </xdr:from>
    <xdr:to>
      <xdr:col>24</xdr:col>
      <xdr:colOff>209176</xdr:colOff>
      <xdr:row>59</xdr:row>
      <xdr:rowOff>164353</xdr:rowOff>
    </xdr:to>
    <xdr:sp macro="" textlink="">
      <xdr:nvSpPr>
        <xdr:cNvPr id="46" name="TextBox 45">
          <a:extLst>
            <a:ext uri="{FF2B5EF4-FFF2-40B4-BE49-F238E27FC236}">
              <a16:creationId xmlns:a16="http://schemas.microsoft.com/office/drawing/2014/main" id="{1A628225-0C7C-40A7-857A-44E411F25C79}"/>
            </a:ext>
          </a:extLst>
        </xdr:cNvPr>
        <xdr:cNvSpPr txBox="1"/>
      </xdr:nvSpPr>
      <xdr:spPr>
        <a:xfrm>
          <a:off x="12460941" y="8680823"/>
          <a:ext cx="2450353" cy="2061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chemeClr val="bg1"/>
              </a:solidFill>
              <a:latin typeface="Segoe UI" panose="020B0502040204020203" pitchFamily="34" charset="0"/>
              <a:cs typeface="Segoe UI" panose="020B0502040204020203" pitchFamily="34" charset="0"/>
            </a:rPr>
            <a:t>KEY INSIGHTS</a:t>
          </a:r>
        </a:p>
        <a:p>
          <a:endParaRPr lang="en-IN" sz="1100">
            <a:solidFill>
              <a:schemeClr val="bg1"/>
            </a:solidFill>
            <a:latin typeface="Segoe UI" panose="020B0502040204020203" pitchFamily="34" charset="0"/>
            <a:cs typeface="Segoe UI" panose="020B0502040204020203" pitchFamily="34" charset="0"/>
          </a:endParaRPr>
        </a:p>
        <a:p>
          <a:r>
            <a:rPr lang="en-IN" sz="1100" b="1">
              <a:solidFill>
                <a:schemeClr val="bg1"/>
              </a:solidFill>
              <a:latin typeface="Segoe UI" panose="020B0502040204020203" pitchFamily="34" charset="0"/>
              <a:cs typeface="Segoe UI" panose="020B0502040204020203" pitchFamily="34" charset="0"/>
            </a:rPr>
            <a:t>• Overall Attrition Rate: 18%</a:t>
          </a:r>
        </a:p>
        <a:p>
          <a:r>
            <a:rPr lang="en-IN" sz="1100" b="1">
              <a:solidFill>
                <a:schemeClr val="bg1"/>
              </a:solidFill>
              <a:latin typeface="Segoe UI" panose="020B0502040204020203" pitchFamily="34" charset="0"/>
              <a:cs typeface="Segoe UI" panose="020B0502040204020203" pitchFamily="34" charset="0"/>
            </a:rPr>
            <a:t>• Sales has the largest workforce.</a:t>
          </a:r>
        </a:p>
        <a:p>
          <a:r>
            <a:rPr lang="en-IN" sz="1100" b="1">
              <a:solidFill>
                <a:schemeClr val="bg1"/>
              </a:solidFill>
              <a:latin typeface="Segoe UI" panose="020B0502040204020203" pitchFamily="34" charset="0"/>
              <a:cs typeface="Segoe UI" panose="020B0502040204020203" pitchFamily="34" charset="0"/>
            </a:rPr>
            <a:t>• Operations has the highest average salary.</a:t>
          </a:r>
        </a:p>
        <a:p>
          <a:r>
            <a:rPr lang="en-IN" sz="1100" b="1">
              <a:solidFill>
                <a:schemeClr val="bg1"/>
              </a:solidFill>
              <a:latin typeface="Segoe UI" panose="020B0502040204020203" pitchFamily="34" charset="0"/>
              <a:cs typeface="Segoe UI" panose="020B0502040204020203" pitchFamily="34" charset="0"/>
            </a:rPr>
            <a:t>• Employees working overtime show higher attrition.</a:t>
          </a:r>
        </a:p>
        <a:p>
          <a:r>
            <a:rPr lang="en-IN" sz="1100" b="1">
              <a:solidFill>
                <a:schemeClr val="bg1"/>
              </a:solidFill>
              <a:latin typeface="Segoe UI" panose="020B0502040204020203" pitchFamily="34" charset="0"/>
              <a:cs typeface="Segoe UI" panose="020B0502040204020203" pitchFamily="34" charset="0"/>
            </a:rPr>
            <a:t>• Average Job Satisfaction Score: 3.03 (Moderate)</a:t>
          </a:r>
        </a:p>
      </xdr:txBody>
    </xdr:sp>
    <xdr:clientData/>
  </xdr:twoCellAnchor>
  <xdr:twoCellAnchor>
    <xdr:from>
      <xdr:col>3</xdr:col>
      <xdr:colOff>558613</xdr:colOff>
      <xdr:row>8</xdr:row>
      <xdr:rowOff>92448</xdr:rowOff>
    </xdr:from>
    <xdr:to>
      <xdr:col>6</xdr:col>
      <xdr:colOff>165100</xdr:colOff>
      <xdr:row>10</xdr:row>
      <xdr:rowOff>130548</xdr:rowOff>
    </xdr:to>
    <xdr:sp macro="" textlink="working_data!AA5">
      <xdr:nvSpPr>
        <xdr:cNvPr id="50" name="TextBox 49">
          <a:extLst>
            <a:ext uri="{FF2B5EF4-FFF2-40B4-BE49-F238E27FC236}">
              <a16:creationId xmlns:a16="http://schemas.microsoft.com/office/drawing/2014/main" id="{7405B47F-77ED-4D76-8E71-FAD467CB7FA4}"/>
            </a:ext>
          </a:extLst>
        </xdr:cNvPr>
        <xdr:cNvSpPr txBox="1"/>
      </xdr:nvSpPr>
      <xdr:spPr>
        <a:xfrm>
          <a:off x="2396378" y="1526801"/>
          <a:ext cx="1444251" cy="3966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FF23F7-0664-4393-A5E5-F410EDB37A10}" type="TxLink">
            <a:rPr lang="en-US" sz="2000" b="1" i="0" u="none" strike="noStrike">
              <a:solidFill>
                <a:srgbClr val="000000"/>
              </a:solidFill>
              <a:latin typeface="Segoe UI" panose="020B0502040204020203" pitchFamily="34" charset="0"/>
              <a:ea typeface="Calibri"/>
              <a:cs typeface="Segoe UI" panose="020B0502040204020203" pitchFamily="34" charset="0"/>
            </a:rPr>
            <a:pPr marL="0" indent="0" algn="ctr"/>
            <a:t>178</a:t>
          </a:fld>
          <a:endParaRPr lang="en-IN" sz="2000" b="1" i="0" u="none" strike="noStrike">
            <a:solidFill>
              <a:srgbClr val="000000"/>
            </a:solidFill>
            <a:latin typeface="Segoe UI" panose="020B0502040204020203" pitchFamily="34" charset="0"/>
            <a:ea typeface="Calibri"/>
            <a:cs typeface="Segoe UI" panose="020B0502040204020203"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28.781166435183" createdVersion="7" refreshedVersion="7" minRefreshableVersion="3" recordCount="1000" xr:uid="{B2163DE4-6DCC-49A6-96EA-1FE85B0F52DB}">
  <cacheSource type="worksheet">
    <worksheetSource name="Table1"/>
  </cacheSource>
  <cacheFields count="20">
    <cacheField name="Employee_ID" numFmtId="0">
      <sharedItems/>
    </cacheField>
    <cacheField name="Employee_Name" numFmtId="0">
      <sharedItems/>
    </cacheField>
    <cacheField name="Gender" numFmtId="0">
      <sharedItems count="2">
        <s v="Female"/>
        <s v="Male"/>
      </sharedItems>
    </cacheField>
    <cacheField name="Age" numFmtId="0">
      <sharedItems containsSemiMixedTypes="0" containsString="0" containsNumber="1" containsInteger="1" minValue="22" maxValue="55" count="34">
        <n v="45"/>
        <n v="54"/>
        <n v="33"/>
        <n v="39"/>
        <n v="34"/>
        <n v="42"/>
        <n v="30"/>
        <n v="41"/>
        <n v="53"/>
        <n v="44"/>
        <n v="55"/>
        <n v="46"/>
        <n v="27"/>
        <n v="49"/>
        <n v="24"/>
        <n v="51"/>
        <n v="37"/>
        <n v="22"/>
        <n v="28"/>
        <n v="38"/>
        <n v="48"/>
        <n v="26"/>
        <n v="36"/>
        <n v="25"/>
        <n v="31"/>
        <n v="43"/>
        <n v="32"/>
        <n v="50"/>
        <n v="47"/>
        <n v="35"/>
        <n v="29"/>
        <n v="23"/>
        <n v="52"/>
        <n v="40"/>
      </sharedItems>
    </cacheField>
    <cacheField name="Department" numFmtId="0">
      <sharedItems count="6">
        <s v="HR"/>
        <s v="Marketing"/>
        <s v="Finance"/>
        <s v="Sales"/>
        <s v="Operations"/>
        <s v="IT"/>
      </sharedItems>
    </cacheField>
    <cacheField name="Job_Role" numFmtId="0">
      <sharedItems/>
    </cacheField>
    <cacheField name="Education" numFmtId="0">
      <sharedItems count="4">
        <s v="MBA"/>
        <s v="B.Com"/>
        <s v="M.Com"/>
        <s v="B.Tech"/>
      </sharedItems>
    </cacheField>
    <cacheField name="Salary" numFmtId="0">
      <sharedItems containsSemiMixedTypes="0" containsString="0" containsNumber="1" containsInteger="1" minValue="25000" maxValue="120000"/>
    </cacheField>
    <cacheField name="Years_at_Company" numFmtId="0">
      <sharedItems containsSemiMixedTypes="0" containsString="0" containsNumber="1" containsInteger="1" minValue="0" maxValue="20"/>
    </cacheField>
    <cacheField name="Performance_Rating" numFmtId="0">
      <sharedItems containsSemiMixedTypes="0" containsString="0" containsNumber="1" containsInteger="1" minValue="2" maxValue="5" count="4">
        <n v="3"/>
        <n v="5"/>
        <n v="4"/>
        <n v="2"/>
      </sharedItems>
    </cacheField>
    <cacheField name="Job_Satisfaction" numFmtId="0">
      <sharedItems containsSemiMixedTypes="0" containsString="0" containsNumber="1" containsInteger="1" minValue="1" maxValue="5"/>
    </cacheField>
    <cacheField name="Overtime" numFmtId="0">
      <sharedItems count="2">
        <s v="Yes"/>
        <s v="No"/>
      </sharedItems>
    </cacheField>
    <cacheField name="Attrition" numFmtId="0">
      <sharedItems count="2">
        <s v="Yes"/>
        <s v="No"/>
      </sharedItems>
    </cacheField>
    <cacheField name="Marital_Status" numFmtId="0">
      <sharedItems/>
    </cacheField>
    <cacheField name="City" numFmtId="0">
      <sharedItems/>
    </cacheField>
    <cacheField name="Age_Group" numFmtId="0">
      <sharedItems count="4">
        <s v="40-49"/>
        <s v="50+"/>
        <s v="30-39"/>
        <s v="20-29"/>
      </sharedItems>
    </cacheField>
    <cacheField name="Salary_Band" numFmtId="0">
      <sharedItems count="3">
        <s v="Low"/>
        <s v="Medium"/>
        <s v="High"/>
      </sharedItems>
    </cacheField>
    <cacheField name="Experience_Level" numFmtId="0">
      <sharedItems/>
    </cacheField>
    <cacheField name="Performance_Category" numFmtId="0">
      <sharedItems/>
    </cacheField>
    <cacheField name="Satisfaction_category" numFmtId="0">
      <sharedItems/>
    </cacheField>
  </cacheFields>
  <extLst>
    <ext xmlns:x14="http://schemas.microsoft.com/office/spreadsheetml/2009/9/main" uri="{725AE2AE-9491-48be-B2B4-4EB974FC3084}">
      <x14:pivotCacheDefinition pivotCacheId="1648708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EMP001"/>
    <s v="Nisha Raj"/>
    <x v="0"/>
    <x v="0"/>
    <x v="0"/>
    <s v="Recruiter"/>
    <x v="0"/>
    <n v="39000"/>
    <n v="3"/>
    <x v="0"/>
    <n v="1"/>
    <x v="0"/>
    <x v="0"/>
    <s v="Married"/>
    <s v="Coimbatore"/>
    <x v="0"/>
    <x v="0"/>
    <s v="Mid-Level"/>
    <s v="Needs Improvement"/>
    <s v="Dissatisfied"/>
  </r>
  <r>
    <s v="EMP002"/>
    <s v="Sanjay Iyer"/>
    <x v="0"/>
    <x v="1"/>
    <x v="1"/>
    <s v="Executive"/>
    <x v="1"/>
    <n v="54000"/>
    <n v="5"/>
    <x v="1"/>
    <n v="2"/>
    <x v="1"/>
    <x v="1"/>
    <s v="Married"/>
    <s v="Pune"/>
    <x v="1"/>
    <x v="1"/>
    <s v="Mid-Level"/>
    <s v="High Performer"/>
    <s v="Dissatisfied"/>
  </r>
  <r>
    <s v="EMP003"/>
    <s v="Nisha Verma"/>
    <x v="0"/>
    <x v="2"/>
    <x v="0"/>
    <s v="Recruiter"/>
    <x v="2"/>
    <n v="44000"/>
    <n v="0"/>
    <x v="1"/>
    <n v="4"/>
    <x v="0"/>
    <x v="1"/>
    <s v="Single"/>
    <s v="Coimbatore"/>
    <x v="2"/>
    <x v="1"/>
    <s v="Junior"/>
    <s v="High Performer"/>
    <s v="Satisfied"/>
  </r>
  <r>
    <s v="EMP004"/>
    <s v="Ajay Kumar"/>
    <x v="1"/>
    <x v="1"/>
    <x v="0"/>
    <s v="Recruiter"/>
    <x v="2"/>
    <n v="46000"/>
    <n v="18"/>
    <x v="0"/>
    <n v="1"/>
    <x v="1"/>
    <x v="1"/>
    <s v="Single"/>
    <s v="Chennai"/>
    <x v="1"/>
    <x v="1"/>
    <s v="Senior"/>
    <s v="Needs Improvement"/>
    <s v="Dissatisfied"/>
  </r>
  <r>
    <s v="EMP005"/>
    <s v="Nisha Iyer"/>
    <x v="1"/>
    <x v="3"/>
    <x v="2"/>
    <s v="Analyst"/>
    <x v="0"/>
    <n v="72000"/>
    <n v="18"/>
    <x v="2"/>
    <n v="4"/>
    <x v="0"/>
    <x v="0"/>
    <s v="Married"/>
    <s v="Delhi"/>
    <x v="2"/>
    <x v="2"/>
    <s v="Senior"/>
    <s v="High Performer"/>
    <s v="Satisfied"/>
  </r>
  <r>
    <s v="EMP006"/>
    <s v="Sanjay Sharma"/>
    <x v="1"/>
    <x v="4"/>
    <x v="2"/>
    <s v="Analyst"/>
    <x v="3"/>
    <n v="101000"/>
    <n v="2"/>
    <x v="2"/>
    <n v="1"/>
    <x v="1"/>
    <x v="1"/>
    <s v="Single"/>
    <s v="Pune"/>
    <x v="2"/>
    <x v="2"/>
    <s v="Junior"/>
    <s v="High Performer"/>
    <s v="Dissatisfied"/>
  </r>
  <r>
    <s v="EMP007"/>
    <s v="Arjun Patel"/>
    <x v="0"/>
    <x v="5"/>
    <x v="3"/>
    <s v="Manager"/>
    <x v="2"/>
    <n v="113000"/>
    <n v="7"/>
    <x v="3"/>
    <n v="4"/>
    <x v="0"/>
    <x v="1"/>
    <s v="Married"/>
    <s v="Bangalore"/>
    <x v="0"/>
    <x v="2"/>
    <s v="Senior"/>
    <s v="Needs Improvement"/>
    <s v="Satisfied"/>
  </r>
  <r>
    <s v="EMP008"/>
    <s v="Arjun Raj"/>
    <x v="0"/>
    <x v="6"/>
    <x v="0"/>
    <s v="Recruiter"/>
    <x v="0"/>
    <n v="89000"/>
    <n v="9"/>
    <x v="2"/>
    <n v="1"/>
    <x v="0"/>
    <x v="0"/>
    <s v="Married"/>
    <s v="Hyderabad"/>
    <x v="2"/>
    <x v="2"/>
    <s v="Senior"/>
    <s v="High Performer"/>
    <s v="Dissatisfied"/>
  </r>
  <r>
    <s v="EMP009"/>
    <s v="Divya Nair"/>
    <x v="1"/>
    <x v="7"/>
    <x v="4"/>
    <s v="Manager"/>
    <x v="2"/>
    <n v="59000"/>
    <n v="5"/>
    <x v="0"/>
    <n v="2"/>
    <x v="1"/>
    <x v="1"/>
    <s v="Married"/>
    <s v="Pune"/>
    <x v="0"/>
    <x v="1"/>
    <s v="Mid-Level"/>
    <s v="Needs Improvement"/>
    <s v="Dissatisfied"/>
  </r>
  <r>
    <s v="EMP010"/>
    <s v="Rahul Sharma"/>
    <x v="1"/>
    <x v="7"/>
    <x v="4"/>
    <s v="Executive"/>
    <x v="0"/>
    <n v="59000"/>
    <n v="3"/>
    <x v="0"/>
    <n v="4"/>
    <x v="1"/>
    <x v="1"/>
    <s v="Single"/>
    <s v="Bangalore"/>
    <x v="0"/>
    <x v="1"/>
    <s v="Mid-Level"/>
    <s v="Needs Improvement"/>
    <s v="Satisfied"/>
  </r>
  <r>
    <s v="EMP011"/>
    <s v="Anjali Raj"/>
    <x v="0"/>
    <x v="8"/>
    <x v="3"/>
    <s v="Executive"/>
    <x v="3"/>
    <n v="30000"/>
    <n v="14"/>
    <x v="3"/>
    <n v="4"/>
    <x v="0"/>
    <x v="1"/>
    <s v="Single"/>
    <s v="Hyderabad"/>
    <x v="1"/>
    <x v="0"/>
    <s v="Senior"/>
    <s v="Needs Improvement"/>
    <s v="Satisfied"/>
  </r>
  <r>
    <s v="EMP012"/>
    <s v="Ajay Patel"/>
    <x v="0"/>
    <x v="9"/>
    <x v="1"/>
    <s v="Executive"/>
    <x v="2"/>
    <n v="87000"/>
    <n v="12"/>
    <x v="1"/>
    <n v="3"/>
    <x v="1"/>
    <x v="1"/>
    <s v="Single"/>
    <s v="Bangalore"/>
    <x v="0"/>
    <x v="2"/>
    <s v="Senior"/>
    <s v="High Performer"/>
    <s v="Neutral"/>
  </r>
  <r>
    <s v="EMP013"/>
    <s v="Sanjay Nair"/>
    <x v="0"/>
    <x v="9"/>
    <x v="5"/>
    <s v="Data Analyst"/>
    <x v="0"/>
    <n v="39000"/>
    <n v="15"/>
    <x v="2"/>
    <n v="4"/>
    <x v="1"/>
    <x v="0"/>
    <s v="Single"/>
    <s v="Bangalore"/>
    <x v="0"/>
    <x v="0"/>
    <s v="Senior"/>
    <s v="High Performer"/>
    <s v="Satisfied"/>
  </r>
  <r>
    <s v="EMP014"/>
    <s v="Karthik Sharma"/>
    <x v="1"/>
    <x v="10"/>
    <x v="3"/>
    <s v="Executive"/>
    <x v="1"/>
    <n v="41000"/>
    <n v="14"/>
    <x v="1"/>
    <n v="3"/>
    <x v="1"/>
    <x v="1"/>
    <s v="Married"/>
    <s v="Mumbai"/>
    <x v="1"/>
    <x v="1"/>
    <s v="Senior"/>
    <s v="High Performer"/>
    <s v="Neutral"/>
  </r>
  <r>
    <s v="EMP015"/>
    <s v="Amit Verma"/>
    <x v="1"/>
    <x v="11"/>
    <x v="2"/>
    <s v="Accountant"/>
    <x v="0"/>
    <n v="41000"/>
    <n v="19"/>
    <x v="1"/>
    <n v="5"/>
    <x v="1"/>
    <x v="1"/>
    <s v="Married"/>
    <s v="Hyderabad"/>
    <x v="0"/>
    <x v="1"/>
    <s v="Senior"/>
    <s v="High Performer"/>
    <s v="Satisfied"/>
  </r>
  <r>
    <s v="EMP016"/>
    <s v="Arjun Raj"/>
    <x v="1"/>
    <x v="12"/>
    <x v="2"/>
    <s v="Analyst"/>
    <x v="1"/>
    <n v="70000"/>
    <n v="2"/>
    <x v="3"/>
    <n v="1"/>
    <x v="1"/>
    <x v="1"/>
    <s v="Single"/>
    <s v="Kochi"/>
    <x v="3"/>
    <x v="2"/>
    <s v="Junior"/>
    <s v="Needs Improvement"/>
    <s v="Dissatisfied"/>
  </r>
  <r>
    <s v="EMP017"/>
    <s v="Vivek Nair"/>
    <x v="1"/>
    <x v="2"/>
    <x v="4"/>
    <s v="Executive"/>
    <x v="2"/>
    <n v="38000"/>
    <n v="9"/>
    <x v="0"/>
    <n v="5"/>
    <x v="1"/>
    <x v="1"/>
    <s v="Single"/>
    <s v="Mumbai"/>
    <x v="2"/>
    <x v="0"/>
    <s v="Senior"/>
    <s v="Needs Improvement"/>
    <s v="Satisfied"/>
  </r>
  <r>
    <s v="EMP018"/>
    <s v="Sanjay Menon"/>
    <x v="1"/>
    <x v="8"/>
    <x v="2"/>
    <s v="Accountant"/>
    <x v="2"/>
    <n v="60000"/>
    <n v="20"/>
    <x v="0"/>
    <n v="4"/>
    <x v="0"/>
    <x v="1"/>
    <s v="Married"/>
    <s v="Pune"/>
    <x v="1"/>
    <x v="1"/>
    <s v="Senior"/>
    <s v="Needs Improvement"/>
    <s v="Satisfied"/>
  </r>
  <r>
    <s v="EMP019"/>
    <s v="Neha Sharma"/>
    <x v="1"/>
    <x v="3"/>
    <x v="5"/>
    <s v="Software Engineer"/>
    <x v="0"/>
    <n v="30000"/>
    <n v="0"/>
    <x v="1"/>
    <n v="4"/>
    <x v="0"/>
    <x v="1"/>
    <s v="Married"/>
    <s v="Coimbatore"/>
    <x v="2"/>
    <x v="0"/>
    <s v="Junior"/>
    <s v="High Performer"/>
    <s v="Satisfied"/>
  </r>
  <r>
    <s v="EMP020"/>
    <s v="Pooja Patel"/>
    <x v="1"/>
    <x v="13"/>
    <x v="3"/>
    <s v="Manager"/>
    <x v="1"/>
    <n v="42000"/>
    <n v="5"/>
    <x v="3"/>
    <n v="2"/>
    <x v="0"/>
    <x v="1"/>
    <s v="Single"/>
    <s v="Coimbatore"/>
    <x v="0"/>
    <x v="1"/>
    <s v="Mid-Level"/>
    <s v="Needs Improvement"/>
    <s v="Dissatisfied"/>
  </r>
  <r>
    <s v="EMP021"/>
    <s v="Neha Kumar"/>
    <x v="1"/>
    <x v="14"/>
    <x v="5"/>
    <s v="Data Analyst"/>
    <x v="3"/>
    <n v="100000"/>
    <n v="3"/>
    <x v="2"/>
    <n v="4"/>
    <x v="1"/>
    <x v="1"/>
    <s v="Married"/>
    <s v="Bangalore"/>
    <x v="3"/>
    <x v="2"/>
    <s v="Mid-Level"/>
    <s v="High Performer"/>
    <s v="Satisfied"/>
  </r>
  <r>
    <s v="EMP022"/>
    <s v="Anjali Reddy"/>
    <x v="1"/>
    <x v="15"/>
    <x v="5"/>
    <s v="Software Engineer"/>
    <x v="0"/>
    <n v="87000"/>
    <n v="17"/>
    <x v="2"/>
    <n v="5"/>
    <x v="0"/>
    <x v="1"/>
    <s v="Single"/>
    <s v="Mumbai"/>
    <x v="1"/>
    <x v="2"/>
    <s v="Senior"/>
    <s v="High Performer"/>
    <s v="Satisfied"/>
  </r>
  <r>
    <s v="EMP023"/>
    <s v="Sneha Kumar"/>
    <x v="1"/>
    <x v="16"/>
    <x v="4"/>
    <s v="Executive"/>
    <x v="0"/>
    <n v="81000"/>
    <n v="12"/>
    <x v="1"/>
    <n v="4"/>
    <x v="0"/>
    <x v="1"/>
    <s v="Single"/>
    <s v="Kochi"/>
    <x v="2"/>
    <x v="2"/>
    <s v="Senior"/>
    <s v="High Performer"/>
    <s v="Satisfied"/>
  </r>
  <r>
    <s v="EMP024"/>
    <s v="Sneha Raj"/>
    <x v="1"/>
    <x v="4"/>
    <x v="4"/>
    <s v="Executive"/>
    <x v="2"/>
    <n v="38000"/>
    <n v="3"/>
    <x v="2"/>
    <n v="1"/>
    <x v="1"/>
    <x v="1"/>
    <s v="Married"/>
    <s v="Kochi"/>
    <x v="2"/>
    <x v="0"/>
    <s v="Mid-Level"/>
    <s v="High Performer"/>
    <s v="Dissatisfied"/>
  </r>
  <r>
    <s v="EMP025"/>
    <s v="Vivek Menon"/>
    <x v="0"/>
    <x v="17"/>
    <x v="3"/>
    <s v="Manager"/>
    <x v="3"/>
    <n v="108000"/>
    <n v="1"/>
    <x v="3"/>
    <n v="2"/>
    <x v="1"/>
    <x v="1"/>
    <s v="Married"/>
    <s v="Hyderabad"/>
    <x v="3"/>
    <x v="2"/>
    <s v="Junior"/>
    <s v="Needs Improvement"/>
    <s v="Dissatisfied"/>
  </r>
  <r>
    <s v="EMP026"/>
    <s v="Pooja Reddy"/>
    <x v="0"/>
    <x v="18"/>
    <x v="0"/>
    <s v="Recruiter"/>
    <x v="3"/>
    <n v="45000"/>
    <n v="4"/>
    <x v="1"/>
    <n v="3"/>
    <x v="0"/>
    <x v="1"/>
    <s v="Married"/>
    <s v="Coimbatore"/>
    <x v="3"/>
    <x v="1"/>
    <s v="Mid-Level"/>
    <s v="High Performer"/>
    <s v="Neutral"/>
  </r>
  <r>
    <s v="EMP027"/>
    <s v="Pooja Singh"/>
    <x v="0"/>
    <x v="19"/>
    <x v="2"/>
    <s v="Analyst"/>
    <x v="2"/>
    <n v="99000"/>
    <n v="17"/>
    <x v="2"/>
    <n v="3"/>
    <x v="1"/>
    <x v="1"/>
    <s v="Married"/>
    <s v="Bangalore"/>
    <x v="2"/>
    <x v="2"/>
    <s v="Senior"/>
    <s v="High Performer"/>
    <s v="Neutral"/>
  </r>
  <r>
    <s v="EMP028"/>
    <s v="Arjun Singh"/>
    <x v="1"/>
    <x v="18"/>
    <x v="2"/>
    <s v="Accountant"/>
    <x v="2"/>
    <n v="58000"/>
    <n v="3"/>
    <x v="2"/>
    <n v="3"/>
    <x v="1"/>
    <x v="1"/>
    <s v="Single"/>
    <s v="Hyderabad"/>
    <x v="3"/>
    <x v="1"/>
    <s v="Mid-Level"/>
    <s v="High Performer"/>
    <s v="Neutral"/>
  </r>
  <r>
    <s v="EMP029"/>
    <s v="Sanjay Kumar"/>
    <x v="1"/>
    <x v="17"/>
    <x v="0"/>
    <s v="Recruiter"/>
    <x v="1"/>
    <n v="31000"/>
    <n v="1"/>
    <x v="3"/>
    <n v="2"/>
    <x v="0"/>
    <x v="0"/>
    <s v="Married"/>
    <s v="Delhi"/>
    <x v="3"/>
    <x v="0"/>
    <s v="Junior"/>
    <s v="Needs Improvement"/>
    <s v="Dissatisfied"/>
  </r>
  <r>
    <s v="EMP030"/>
    <s v="Ajay Nair"/>
    <x v="0"/>
    <x v="2"/>
    <x v="5"/>
    <s v="Data Analyst"/>
    <x v="1"/>
    <n v="34000"/>
    <n v="10"/>
    <x v="2"/>
    <n v="4"/>
    <x v="1"/>
    <x v="0"/>
    <s v="Married"/>
    <s v="Pune"/>
    <x v="2"/>
    <x v="0"/>
    <s v="Senior"/>
    <s v="High Performer"/>
    <s v="Satisfied"/>
  </r>
  <r>
    <s v="EMP031"/>
    <s v="Pooja Reddy"/>
    <x v="0"/>
    <x v="20"/>
    <x v="3"/>
    <s v="Manager"/>
    <x v="1"/>
    <n v="45000"/>
    <n v="12"/>
    <x v="2"/>
    <n v="2"/>
    <x v="1"/>
    <x v="1"/>
    <s v="Single"/>
    <s v="Delhi"/>
    <x v="0"/>
    <x v="1"/>
    <s v="Senior"/>
    <s v="High Performer"/>
    <s v="Dissatisfied"/>
  </r>
  <r>
    <s v="EMP032"/>
    <s v="Ajay Iyer"/>
    <x v="1"/>
    <x v="21"/>
    <x v="2"/>
    <s v="Analyst"/>
    <x v="3"/>
    <n v="30000"/>
    <n v="5"/>
    <x v="3"/>
    <n v="4"/>
    <x v="0"/>
    <x v="1"/>
    <s v="Single"/>
    <s v="Hyderabad"/>
    <x v="3"/>
    <x v="0"/>
    <s v="Mid-Level"/>
    <s v="Needs Improvement"/>
    <s v="Satisfied"/>
  </r>
  <r>
    <s v="EMP033"/>
    <s v="Pooja Raj"/>
    <x v="0"/>
    <x v="22"/>
    <x v="2"/>
    <s v="Accountant"/>
    <x v="2"/>
    <n v="81000"/>
    <n v="15"/>
    <x v="2"/>
    <n v="1"/>
    <x v="1"/>
    <x v="1"/>
    <s v="Married"/>
    <s v="Chennai"/>
    <x v="2"/>
    <x v="2"/>
    <s v="Senior"/>
    <s v="High Performer"/>
    <s v="Dissatisfied"/>
  </r>
  <r>
    <s v="EMP034"/>
    <s v="Priya Verma"/>
    <x v="1"/>
    <x v="4"/>
    <x v="2"/>
    <s v="Accountant"/>
    <x v="1"/>
    <n v="48000"/>
    <n v="13"/>
    <x v="1"/>
    <n v="1"/>
    <x v="1"/>
    <x v="1"/>
    <s v="Single"/>
    <s v="Chennai"/>
    <x v="2"/>
    <x v="1"/>
    <s v="Senior"/>
    <s v="High Performer"/>
    <s v="Dissatisfied"/>
  </r>
  <r>
    <s v="EMP035"/>
    <s v="Karthik Sharma"/>
    <x v="1"/>
    <x v="7"/>
    <x v="1"/>
    <s v="Executive"/>
    <x v="2"/>
    <n v="65000"/>
    <n v="0"/>
    <x v="1"/>
    <n v="2"/>
    <x v="0"/>
    <x v="1"/>
    <s v="Married"/>
    <s v="Hyderabad"/>
    <x v="0"/>
    <x v="1"/>
    <s v="Junior"/>
    <s v="High Performer"/>
    <s v="Dissatisfied"/>
  </r>
  <r>
    <s v="EMP036"/>
    <s v="Vivek Iyer"/>
    <x v="0"/>
    <x v="23"/>
    <x v="5"/>
    <s v="Software Engineer"/>
    <x v="1"/>
    <n v="71000"/>
    <n v="4"/>
    <x v="3"/>
    <n v="3"/>
    <x v="0"/>
    <x v="1"/>
    <s v="Single"/>
    <s v="Coimbatore"/>
    <x v="3"/>
    <x v="2"/>
    <s v="Mid-Level"/>
    <s v="Needs Improvement"/>
    <s v="Neutral"/>
  </r>
  <r>
    <s v="EMP037"/>
    <s v="Priya Singh"/>
    <x v="1"/>
    <x v="24"/>
    <x v="4"/>
    <s v="Executive"/>
    <x v="1"/>
    <n v="36000"/>
    <n v="10"/>
    <x v="3"/>
    <n v="1"/>
    <x v="0"/>
    <x v="0"/>
    <s v="Single"/>
    <s v="Bangalore"/>
    <x v="2"/>
    <x v="0"/>
    <s v="Senior"/>
    <s v="Needs Improvement"/>
    <s v="Dissatisfied"/>
  </r>
  <r>
    <s v="EMP038"/>
    <s v="Rahul Iyer"/>
    <x v="1"/>
    <x v="1"/>
    <x v="4"/>
    <s v="Manager"/>
    <x v="2"/>
    <n v="80000"/>
    <n v="18"/>
    <x v="2"/>
    <n v="2"/>
    <x v="1"/>
    <x v="1"/>
    <s v="Married"/>
    <s v="Mumbai"/>
    <x v="1"/>
    <x v="2"/>
    <s v="Senior"/>
    <s v="High Performer"/>
    <s v="Dissatisfied"/>
  </r>
  <r>
    <s v="EMP039"/>
    <s v="Priya Reddy"/>
    <x v="1"/>
    <x v="25"/>
    <x v="5"/>
    <s v="Data Analyst"/>
    <x v="3"/>
    <n v="50000"/>
    <n v="9"/>
    <x v="3"/>
    <n v="4"/>
    <x v="0"/>
    <x v="1"/>
    <s v="Married"/>
    <s v="Mumbai"/>
    <x v="0"/>
    <x v="1"/>
    <s v="Senior"/>
    <s v="Needs Improvement"/>
    <s v="Satisfied"/>
  </r>
  <r>
    <s v="EMP040"/>
    <s v="Amit Iyer"/>
    <x v="0"/>
    <x v="25"/>
    <x v="2"/>
    <s v="Analyst"/>
    <x v="0"/>
    <n v="113000"/>
    <n v="3"/>
    <x v="3"/>
    <n v="1"/>
    <x v="1"/>
    <x v="1"/>
    <s v="Married"/>
    <s v="Hyderabad"/>
    <x v="0"/>
    <x v="2"/>
    <s v="Mid-Level"/>
    <s v="Needs Improvement"/>
    <s v="Dissatisfied"/>
  </r>
  <r>
    <s v="EMP041"/>
    <s v="Sanjay Menon"/>
    <x v="0"/>
    <x v="8"/>
    <x v="4"/>
    <s v="Manager"/>
    <x v="3"/>
    <n v="25000"/>
    <n v="19"/>
    <x v="0"/>
    <n v="1"/>
    <x v="0"/>
    <x v="0"/>
    <s v="Married"/>
    <s v="Kochi"/>
    <x v="1"/>
    <x v="0"/>
    <s v="Senior"/>
    <s v="Needs Improvement"/>
    <s v="Dissatisfied"/>
  </r>
  <r>
    <s v="EMP042"/>
    <s v="Priya Kumar"/>
    <x v="0"/>
    <x v="6"/>
    <x v="0"/>
    <s v="HR Executive"/>
    <x v="3"/>
    <n v="43000"/>
    <n v="9"/>
    <x v="2"/>
    <n v="1"/>
    <x v="0"/>
    <x v="1"/>
    <s v="Single"/>
    <s v="Bangalore"/>
    <x v="2"/>
    <x v="1"/>
    <s v="Senior"/>
    <s v="High Performer"/>
    <s v="Dissatisfied"/>
  </r>
  <r>
    <s v="EMP043"/>
    <s v="Anjali Patel"/>
    <x v="0"/>
    <x v="1"/>
    <x v="2"/>
    <s v="Accountant"/>
    <x v="1"/>
    <n v="116000"/>
    <n v="2"/>
    <x v="1"/>
    <n v="5"/>
    <x v="1"/>
    <x v="1"/>
    <s v="Single"/>
    <s v="Chennai"/>
    <x v="1"/>
    <x v="2"/>
    <s v="Junior"/>
    <s v="High Performer"/>
    <s v="Satisfied"/>
  </r>
  <r>
    <s v="EMP044"/>
    <s v="Anjali Menon"/>
    <x v="0"/>
    <x v="0"/>
    <x v="5"/>
    <s v="Data Analyst"/>
    <x v="0"/>
    <n v="40000"/>
    <n v="0"/>
    <x v="3"/>
    <n v="4"/>
    <x v="0"/>
    <x v="0"/>
    <s v="Married"/>
    <s v="Bangalore"/>
    <x v="0"/>
    <x v="1"/>
    <s v="Junior"/>
    <s v="Needs Improvement"/>
    <s v="Satisfied"/>
  </r>
  <r>
    <s v="EMP045"/>
    <s v="Karthik Nair"/>
    <x v="0"/>
    <x v="13"/>
    <x v="3"/>
    <s v="Manager"/>
    <x v="1"/>
    <n v="116000"/>
    <n v="5"/>
    <x v="0"/>
    <n v="4"/>
    <x v="1"/>
    <x v="1"/>
    <s v="Single"/>
    <s v="Chennai"/>
    <x v="0"/>
    <x v="2"/>
    <s v="Mid-Level"/>
    <s v="Needs Improvement"/>
    <s v="Satisfied"/>
  </r>
  <r>
    <s v="EMP046"/>
    <s v="Rohit Reddy"/>
    <x v="1"/>
    <x v="23"/>
    <x v="0"/>
    <s v="HR Executive"/>
    <x v="1"/>
    <n v="97000"/>
    <n v="4"/>
    <x v="3"/>
    <n v="4"/>
    <x v="0"/>
    <x v="1"/>
    <s v="Married"/>
    <s v="Delhi"/>
    <x v="3"/>
    <x v="2"/>
    <s v="Mid-Level"/>
    <s v="Needs Improvement"/>
    <s v="Satisfied"/>
  </r>
  <r>
    <s v="EMP047"/>
    <s v="Rahul Kumar"/>
    <x v="1"/>
    <x v="26"/>
    <x v="4"/>
    <s v="Manager"/>
    <x v="3"/>
    <n v="99000"/>
    <n v="11"/>
    <x v="1"/>
    <n v="2"/>
    <x v="1"/>
    <x v="1"/>
    <s v="Single"/>
    <s v="Pune"/>
    <x v="2"/>
    <x v="2"/>
    <s v="Senior"/>
    <s v="High Performer"/>
    <s v="Dissatisfied"/>
  </r>
  <r>
    <s v="EMP048"/>
    <s v="Rohit Kumar"/>
    <x v="0"/>
    <x v="0"/>
    <x v="1"/>
    <s v="Executive"/>
    <x v="0"/>
    <n v="86000"/>
    <n v="1"/>
    <x v="2"/>
    <n v="5"/>
    <x v="0"/>
    <x v="1"/>
    <s v="Married"/>
    <s v="Kochi"/>
    <x v="0"/>
    <x v="2"/>
    <s v="Junior"/>
    <s v="High Performer"/>
    <s v="Satisfied"/>
  </r>
  <r>
    <s v="EMP049"/>
    <s v="Rohit Nair"/>
    <x v="0"/>
    <x v="27"/>
    <x v="4"/>
    <s v="Manager"/>
    <x v="3"/>
    <n v="77000"/>
    <n v="13"/>
    <x v="3"/>
    <n v="4"/>
    <x v="1"/>
    <x v="1"/>
    <s v="Single"/>
    <s v="Mumbai"/>
    <x v="1"/>
    <x v="2"/>
    <s v="Senior"/>
    <s v="Needs Improvement"/>
    <s v="Satisfied"/>
  </r>
  <r>
    <s v="EMP050"/>
    <s v="Nisha Sharma"/>
    <x v="0"/>
    <x v="26"/>
    <x v="3"/>
    <s v="Executive"/>
    <x v="0"/>
    <n v="98000"/>
    <n v="5"/>
    <x v="0"/>
    <n v="2"/>
    <x v="0"/>
    <x v="0"/>
    <s v="Single"/>
    <s v="Hyderabad"/>
    <x v="2"/>
    <x v="2"/>
    <s v="Mid-Level"/>
    <s v="Needs Improvement"/>
    <s v="Dissatisfied"/>
  </r>
  <r>
    <s v="EMP051"/>
    <s v="Rohit Reddy"/>
    <x v="1"/>
    <x v="0"/>
    <x v="5"/>
    <s v="Software Engineer"/>
    <x v="3"/>
    <n v="96000"/>
    <n v="0"/>
    <x v="0"/>
    <n v="4"/>
    <x v="1"/>
    <x v="0"/>
    <s v="Married"/>
    <s v="Hyderabad"/>
    <x v="0"/>
    <x v="2"/>
    <s v="Junior"/>
    <s v="Needs Improvement"/>
    <s v="Satisfied"/>
  </r>
  <r>
    <s v="EMP052"/>
    <s v="Neha Verma"/>
    <x v="1"/>
    <x v="9"/>
    <x v="0"/>
    <s v="HR Executive"/>
    <x v="2"/>
    <n v="104000"/>
    <n v="7"/>
    <x v="0"/>
    <n v="4"/>
    <x v="1"/>
    <x v="1"/>
    <s v="Single"/>
    <s v="Delhi"/>
    <x v="0"/>
    <x v="2"/>
    <s v="Senior"/>
    <s v="Needs Improvement"/>
    <s v="Satisfied"/>
  </r>
  <r>
    <s v="EMP053"/>
    <s v="Arjun Kumar"/>
    <x v="0"/>
    <x v="28"/>
    <x v="5"/>
    <s v="Software Engineer"/>
    <x v="3"/>
    <n v="90000"/>
    <n v="1"/>
    <x v="0"/>
    <n v="1"/>
    <x v="1"/>
    <x v="1"/>
    <s v="Single"/>
    <s v="Coimbatore"/>
    <x v="0"/>
    <x v="2"/>
    <s v="Junior"/>
    <s v="Needs Improvement"/>
    <s v="Dissatisfied"/>
  </r>
  <r>
    <s v="EMP054"/>
    <s v="Neha Raj"/>
    <x v="1"/>
    <x v="19"/>
    <x v="3"/>
    <s v="Executive"/>
    <x v="2"/>
    <n v="117000"/>
    <n v="2"/>
    <x v="2"/>
    <n v="2"/>
    <x v="1"/>
    <x v="1"/>
    <s v="Single"/>
    <s v="Bangalore"/>
    <x v="2"/>
    <x v="2"/>
    <s v="Junior"/>
    <s v="High Performer"/>
    <s v="Dissatisfied"/>
  </r>
  <r>
    <s v="EMP055"/>
    <s v="Rohit Iyer"/>
    <x v="1"/>
    <x v="21"/>
    <x v="3"/>
    <s v="Executive"/>
    <x v="3"/>
    <n v="39000"/>
    <n v="5"/>
    <x v="1"/>
    <n v="5"/>
    <x v="1"/>
    <x v="1"/>
    <s v="Married"/>
    <s v="Kochi"/>
    <x v="3"/>
    <x v="0"/>
    <s v="Mid-Level"/>
    <s v="High Performer"/>
    <s v="Satisfied"/>
  </r>
  <r>
    <s v="EMP056"/>
    <s v="Amit Verma"/>
    <x v="0"/>
    <x v="6"/>
    <x v="5"/>
    <s v="Software Engineer"/>
    <x v="3"/>
    <n v="34000"/>
    <n v="9"/>
    <x v="2"/>
    <n v="3"/>
    <x v="0"/>
    <x v="1"/>
    <s v="Married"/>
    <s v="Mumbai"/>
    <x v="2"/>
    <x v="0"/>
    <s v="Senior"/>
    <s v="High Performer"/>
    <s v="Neutral"/>
  </r>
  <r>
    <s v="EMP057"/>
    <s v="Nisha Kumar"/>
    <x v="0"/>
    <x v="0"/>
    <x v="1"/>
    <s v="Executive"/>
    <x v="3"/>
    <n v="93000"/>
    <n v="17"/>
    <x v="0"/>
    <n v="2"/>
    <x v="1"/>
    <x v="1"/>
    <s v="Married"/>
    <s v="Delhi"/>
    <x v="0"/>
    <x v="2"/>
    <s v="Senior"/>
    <s v="Needs Improvement"/>
    <s v="Dissatisfied"/>
  </r>
  <r>
    <s v="EMP058"/>
    <s v="Rohit Raj"/>
    <x v="0"/>
    <x v="26"/>
    <x v="2"/>
    <s v="Accountant"/>
    <x v="2"/>
    <n v="35000"/>
    <n v="4"/>
    <x v="3"/>
    <n v="5"/>
    <x v="0"/>
    <x v="1"/>
    <s v="Single"/>
    <s v="Delhi"/>
    <x v="2"/>
    <x v="0"/>
    <s v="Mid-Level"/>
    <s v="Needs Improvement"/>
    <s v="Satisfied"/>
  </r>
  <r>
    <s v="EMP059"/>
    <s v="Karthik Singh"/>
    <x v="1"/>
    <x v="5"/>
    <x v="4"/>
    <s v="Manager"/>
    <x v="2"/>
    <n v="61000"/>
    <n v="6"/>
    <x v="2"/>
    <n v="3"/>
    <x v="0"/>
    <x v="1"/>
    <s v="Married"/>
    <s v="Kochi"/>
    <x v="0"/>
    <x v="1"/>
    <s v="Mid-Level"/>
    <s v="High Performer"/>
    <s v="Neutral"/>
  </r>
  <r>
    <s v="EMP060"/>
    <s v="Vivek Singh"/>
    <x v="1"/>
    <x v="15"/>
    <x v="4"/>
    <s v="Manager"/>
    <x v="2"/>
    <n v="103000"/>
    <n v="16"/>
    <x v="0"/>
    <n v="4"/>
    <x v="0"/>
    <x v="1"/>
    <s v="Married"/>
    <s v="Delhi"/>
    <x v="1"/>
    <x v="2"/>
    <s v="Senior"/>
    <s v="Needs Improvement"/>
    <s v="Satisfied"/>
  </r>
  <r>
    <s v="EMP061"/>
    <s v="Priya Iyer"/>
    <x v="0"/>
    <x v="29"/>
    <x v="2"/>
    <s v="Accountant"/>
    <x v="1"/>
    <n v="38000"/>
    <n v="12"/>
    <x v="0"/>
    <n v="2"/>
    <x v="1"/>
    <x v="1"/>
    <s v="Single"/>
    <s v="Coimbatore"/>
    <x v="2"/>
    <x v="0"/>
    <s v="Senior"/>
    <s v="Needs Improvement"/>
    <s v="Dissatisfied"/>
  </r>
  <r>
    <s v="EMP062"/>
    <s v="Meera Verma"/>
    <x v="1"/>
    <x v="21"/>
    <x v="2"/>
    <s v="Accountant"/>
    <x v="2"/>
    <n v="28000"/>
    <n v="5"/>
    <x v="3"/>
    <n v="3"/>
    <x v="0"/>
    <x v="1"/>
    <s v="Married"/>
    <s v="Delhi"/>
    <x v="3"/>
    <x v="0"/>
    <s v="Mid-Level"/>
    <s v="Needs Improvement"/>
    <s v="Neutral"/>
  </r>
  <r>
    <s v="EMP063"/>
    <s v="Anjali Iyer"/>
    <x v="0"/>
    <x v="30"/>
    <x v="1"/>
    <s v="Executive"/>
    <x v="0"/>
    <n v="35000"/>
    <n v="8"/>
    <x v="3"/>
    <n v="4"/>
    <x v="0"/>
    <x v="1"/>
    <s v="Single"/>
    <s v="Hyderabad"/>
    <x v="3"/>
    <x v="0"/>
    <s v="Senior"/>
    <s v="Needs Improvement"/>
    <s v="Satisfied"/>
  </r>
  <r>
    <s v="EMP064"/>
    <s v="Sanjay Singh"/>
    <x v="1"/>
    <x v="21"/>
    <x v="5"/>
    <s v="Data Analyst"/>
    <x v="1"/>
    <n v="98000"/>
    <n v="1"/>
    <x v="0"/>
    <n v="2"/>
    <x v="0"/>
    <x v="1"/>
    <s v="Single"/>
    <s v="Kochi"/>
    <x v="3"/>
    <x v="2"/>
    <s v="Junior"/>
    <s v="Needs Improvement"/>
    <s v="Dissatisfied"/>
  </r>
  <r>
    <s v="EMP065"/>
    <s v="Neha Kumar"/>
    <x v="1"/>
    <x v="29"/>
    <x v="5"/>
    <s v="Software Engineer"/>
    <x v="2"/>
    <n v="118000"/>
    <n v="14"/>
    <x v="2"/>
    <n v="4"/>
    <x v="0"/>
    <x v="1"/>
    <s v="Married"/>
    <s v="Mumbai"/>
    <x v="2"/>
    <x v="2"/>
    <s v="Senior"/>
    <s v="High Performer"/>
    <s v="Satisfied"/>
  </r>
  <r>
    <s v="EMP066"/>
    <s v="Neha Kumar"/>
    <x v="0"/>
    <x v="30"/>
    <x v="2"/>
    <s v="Analyst"/>
    <x v="0"/>
    <n v="55000"/>
    <n v="0"/>
    <x v="2"/>
    <n v="2"/>
    <x v="1"/>
    <x v="1"/>
    <s v="Single"/>
    <s v="Chennai"/>
    <x v="3"/>
    <x v="1"/>
    <s v="Junior"/>
    <s v="High Performer"/>
    <s v="Dissatisfied"/>
  </r>
  <r>
    <s v="EMP067"/>
    <s v="Ajay Raj"/>
    <x v="1"/>
    <x v="19"/>
    <x v="2"/>
    <s v="Accountant"/>
    <x v="0"/>
    <n v="111000"/>
    <n v="3"/>
    <x v="0"/>
    <n v="2"/>
    <x v="1"/>
    <x v="1"/>
    <s v="Single"/>
    <s v="Delhi"/>
    <x v="2"/>
    <x v="2"/>
    <s v="Mid-Level"/>
    <s v="Needs Improvement"/>
    <s v="Dissatisfied"/>
  </r>
  <r>
    <s v="EMP068"/>
    <s v="Ajay Nair"/>
    <x v="0"/>
    <x v="5"/>
    <x v="4"/>
    <s v="Manager"/>
    <x v="0"/>
    <n v="117000"/>
    <n v="7"/>
    <x v="0"/>
    <n v="5"/>
    <x v="1"/>
    <x v="1"/>
    <s v="Single"/>
    <s v="Delhi"/>
    <x v="0"/>
    <x v="2"/>
    <s v="Senior"/>
    <s v="Needs Improvement"/>
    <s v="Satisfied"/>
  </r>
  <r>
    <s v="EMP069"/>
    <s v="Nisha Sharma"/>
    <x v="0"/>
    <x v="19"/>
    <x v="4"/>
    <s v="Manager"/>
    <x v="3"/>
    <n v="100000"/>
    <n v="17"/>
    <x v="0"/>
    <n v="3"/>
    <x v="0"/>
    <x v="1"/>
    <s v="Single"/>
    <s v="Bangalore"/>
    <x v="2"/>
    <x v="2"/>
    <s v="Senior"/>
    <s v="Needs Improvement"/>
    <s v="Neutral"/>
  </r>
  <r>
    <s v="EMP070"/>
    <s v="Sanjay Verma"/>
    <x v="1"/>
    <x v="16"/>
    <x v="3"/>
    <s v="Manager"/>
    <x v="0"/>
    <n v="87000"/>
    <n v="11"/>
    <x v="2"/>
    <n v="3"/>
    <x v="1"/>
    <x v="0"/>
    <s v="Married"/>
    <s v="Delhi"/>
    <x v="2"/>
    <x v="2"/>
    <s v="Senior"/>
    <s v="High Performer"/>
    <s v="Neutral"/>
  </r>
  <r>
    <s v="EMP071"/>
    <s v="Ajay Kumar"/>
    <x v="0"/>
    <x v="20"/>
    <x v="3"/>
    <s v="Executive"/>
    <x v="1"/>
    <n v="58000"/>
    <n v="2"/>
    <x v="1"/>
    <n v="4"/>
    <x v="1"/>
    <x v="1"/>
    <s v="Single"/>
    <s v="Bangalore"/>
    <x v="0"/>
    <x v="1"/>
    <s v="Junior"/>
    <s v="High Performer"/>
    <s v="Satisfied"/>
  </r>
  <r>
    <s v="EMP072"/>
    <s v="Priya Patel"/>
    <x v="1"/>
    <x v="12"/>
    <x v="3"/>
    <s v="Executive"/>
    <x v="2"/>
    <n v="106000"/>
    <n v="6"/>
    <x v="1"/>
    <n v="3"/>
    <x v="0"/>
    <x v="0"/>
    <s v="Married"/>
    <s v="Chennai"/>
    <x v="3"/>
    <x v="2"/>
    <s v="Mid-Level"/>
    <s v="High Performer"/>
    <s v="Neutral"/>
  </r>
  <r>
    <s v="EMP073"/>
    <s v="Nisha Sharma"/>
    <x v="1"/>
    <x v="31"/>
    <x v="5"/>
    <s v="Data Analyst"/>
    <x v="1"/>
    <n v="82000"/>
    <n v="2"/>
    <x v="2"/>
    <n v="3"/>
    <x v="1"/>
    <x v="1"/>
    <s v="Married"/>
    <s v="Coimbatore"/>
    <x v="3"/>
    <x v="2"/>
    <s v="Junior"/>
    <s v="High Performer"/>
    <s v="Neutral"/>
  </r>
  <r>
    <s v="EMP074"/>
    <s v="Nisha Iyer"/>
    <x v="0"/>
    <x v="32"/>
    <x v="0"/>
    <s v="Recruiter"/>
    <x v="1"/>
    <n v="113000"/>
    <n v="11"/>
    <x v="1"/>
    <n v="5"/>
    <x v="0"/>
    <x v="1"/>
    <s v="Married"/>
    <s v="Delhi"/>
    <x v="1"/>
    <x v="2"/>
    <s v="Senior"/>
    <s v="High Performer"/>
    <s v="Satisfied"/>
  </r>
  <r>
    <s v="EMP075"/>
    <s v="Priya Singh"/>
    <x v="0"/>
    <x v="23"/>
    <x v="0"/>
    <s v="HR Executive"/>
    <x v="0"/>
    <n v="48000"/>
    <n v="3"/>
    <x v="2"/>
    <n v="4"/>
    <x v="1"/>
    <x v="1"/>
    <s v="Married"/>
    <s v="Mumbai"/>
    <x v="3"/>
    <x v="1"/>
    <s v="Mid-Level"/>
    <s v="High Performer"/>
    <s v="Satisfied"/>
  </r>
  <r>
    <s v="EMP076"/>
    <s v="Rohit Reddy"/>
    <x v="1"/>
    <x v="25"/>
    <x v="4"/>
    <s v="Executive"/>
    <x v="0"/>
    <n v="68000"/>
    <n v="2"/>
    <x v="0"/>
    <n v="5"/>
    <x v="1"/>
    <x v="1"/>
    <s v="Single"/>
    <s v="Coimbatore"/>
    <x v="0"/>
    <x v="1"/>
    <s v="Junior"/>
    <s v="Needs Improvement"/>
    <s v="Satisfied"/>
  </r>
  <r>
    <s v="EMP077"/>
    <s v="Nisha Sharma"/>
    <x v="1"/>
    <x v="6"/>
    <x v="4"/>
    <s v="Executive"/>
    <x v="3"/>
    <n v="67000"/>
    <n v="0"/>
    <x v="2"/>
    <n v="2"/>
    <x v="0"/>
    <x v="1"/>
    <s v="Single"/>
    <s v="Pune"/>
    <x v="2"/>
    <x v="1"/>
    <s v="Junior"/>
    <s v="High Performer"/>
    <s v="Dissatisfied"/>
  </r>
  <r>
    <s v="EMP078"/>
    <s v="Nisha Reddy"/>
    <x v="1"/>
    <x v="27"/>
    <x v="0"/>
    <s v="HR Executive"/>
    <x v="2"/>
    <n v="102000"/>
    <n v="20"/>
    <x v="0"/>
    <n v="5"/>
    <x v="1"/>
    <x v="1"/>
    <s v="Married"/>
    <s v="Mumbai"/>
    <x v="1"/>
    <x v="2"/>
    <s v="Senior"/>
    <s v="Needs Improvement"/>
    <s v="Satisfied"/>
  </r>
  <r>
    <s v="EMP079"/>
    <s v="Sneha Reddy"/>
    <x v="1"/>
    <x v="33"/>
    <x v="1"/>
    <s v="Executive"/>
    <x v="2"/>
    <n v="52000"/>
    <n v="8"/>
    <x v="2"/>
    <n v="1"/>
    <x v="1"/>
    <x v="1"/>
    <s v="Married"/>
    <s v="Chennai"/>
    <x v="0"/>
    <x v="1"/>
    <s v="Senior"/>
    <s v="High Performer"/>
    <s v="Dissatisfied"/>
  </r>
  <r>
    <s v="EMP080"/>
    <s v="Pooja Singh"/>
    <x v="0"/>
    <x v="13"/>
    <x v="3"/>
    <s v="Manager"/>
    <x v="1"/>
    <n v="66000"/>
    <n v="12"/>
    <x v="2"/>
    <n v="4"/>
    <x v="1"/>
    <x v="1"/>
    <s v="Single"/>
    <s v="Coimbatore"/>
    <x v="0"/>
    <x v="1"/>
    <s v="Senior"/>
    <s v="High Performer"/>
    <s v="Satisfied"/>
  </r>
  <r>
    <s v="EMP081"/>
    <s v="Priya Menon"/>
    <x v="0"/>
    <x v="20"/>
    <x v="3"/>
    <s v="Executive"/>
    <x v="3"/>
    <n v="87000"/>
    <n v="20"/>
    <x v="0"/>
    <n v="2"/>
    <x v="1"/>
    <x v="1"/>
    <s v="Single"/>
    <s v="Pune"/>
    <x v="0"/>
    <x v="2"/>
    <s v="Senior"/>
    <s v="Needs Improvement"/>
    <s v="Dissatisfied"/>
  </r>
  <r>
    <s v="EMP082"/>
    <s v="Vivek Iyer"/>
    <x v="0"/>
    <x v="1"/>
    <x v="5"/>
    <s v="Software Engineer"/>
    <x v="0"/>
    <n v="74000"/>
    <n v="12"/>
    <x v="0"/>
    <n v="1"/>
    <x v="0"/>
    <x v="0"/>
    <s v="Single"/>
    <s v="Coimbatore"/>
    <x v="1"/>
    <x v="2"/>
    <s v="Senior"/>
    <s v="Needs Improvement"/>
    <s v="Dissatisfied"/>
  </r>
  <r>
    <s v="EMP083"/>
    <s v="Arjun Reddy"/>
    <x v="1"/>
    <x v="18"/>
    <x v="3"/>
    <s v="Manager"/>
    <x v="1"/>
    <n v="108000"/>
    <n v="7"/>
    <x v="1"/>
    <n v="4"/>
    <x v="0"/>
    <x v="1"/>
    <s v="Single"/>
    <s v="Pune"/>
    <x v="3"/>
    <x v="2"/>
    <s v="Senior"/>
    <s v="High Performer"/>
    <s v="Satisfied"/>
  </r>
  <r>
    <s v="EMP084"/>
    <s v="Karthik Singh"/>
    <x v="0"/>
    <x v="17"/>
    <x v="2"/>
    <s v="Analyst"/>
    <x v="1"/>
    <n v="69000"/>
    <n v="1"/>
    <x v="3"/>
    <n v="2"/>
    <x v="1"/>
    <x v="1"/>
    <s v="Single"/>
    <s v="Mumbai"/>
    <x v="3"/>
    <x v="1"/>
    <s v="Junior"/>
    <s v="Needs Improvement"/>
    <s v="Dissatisfied"/>
  </r>
  <r>
    <s v="EMP085"/>
    <s v="Sanjay Reddy"/>
    <x v="0"/>
    <x v="32"/>
    <x v="3"/>
    <s v="Manager"/>
    <x v="0"/>
    <n v="104000"/>
    <n v="0"/>
    <x v="0"/>
    <n v="5"/>
    <x v="1"/>
    <x v="1"/>
    <s v="Single"/>
    <s v="Mumbai"/>
    <x v="1"/>
    <x v="2"/>
    <s v="Junior"/>
    <s v="Needs Improvement"/>
    <s v="Satisfied"/>
  </r>
  <r>
    <s v="EMP086"/>
    <s v="Rahul Menon"/>
    <x v="0"/>
    <x v="16"/>
    <x v="2"/>
    <s v="Accountant"/>
    <x v="0"/>
    <n v="32000"/>
    <n v="16"/>
    <x v="2"/>
    <n v="3"/>
    <x v="1"/>
    <x v="1"/>
    <s v="Married"/>
    <s v="Bangalore"/>
    <x v="2"/>
    <x v="0"/>
    <s v="Senior"/>
    <s v="High Performer"/>
    <s v="Neutral"/>
  </r>
  <r>
    <s v="EMP087"/>
    <s v="Amit Nair"/>
    <x v="1"/>
    <x v="24"/>
    <x v="3"/>
    <s v="Manager"/>
    <x v="0"/>
    <n v="78000"/>
    <n v="10"/>
    <x v="0"/>
    <n v="4"/>
    <x v="1"/>
    <x v="1"/>
    <s v="Married"/>
    <s v="Bangalore"/>
    <x v="2"/>
    <x v="2"/>
    <s v="Senior"/>
    <s v="Needs Improvement"/>
    <s v="Satisfied"/>
  </r>
  <r>
    <s v="EMP088"/>
    <s v="Karthik Iyer"/>
    <x v="1"/>
    <x v="24"/>
    <x v="0"/>
    <s v="HR Executive"/>
    <x v="2"/>
    <n v="113000"/>
    <n v="9"/>
    <x v="2"/>
    <n v="4"/>
    <x v="0"/>
    <x v="1"/>
    <s v="Single"/>
    <s v="Mumbai"/>
    <x v="2"/>
    <x v="2"/>
    <s v="Senior"/>
    <s v="High Performer"/>
    <s v="Satisfied"/>
  </r>
  <r>
    <s v="EMP089"/>
    <s v="Rohit Verma"/>
    <x v="1"/>
    <x v="1"/>
    <x v="4"/>
    <s v="Executive"/>
    <x v="0"/>
    <n v="74000"/>
    <n v="1"/>
    <x v="0"/>
    <n v="2"/>
    <x v="1"/>
    <x v="1"/>
    <s v="Single"/>
    <s v="Delhi"/>
    <x v="1"/>
    <x v="2"/>
    <s v="Junior"/>
    <s v="Needs Improvement"/>
    <s v="Dissatisfied"/>
  </r>
  <r>
    <s v="EMP090"/>
    <s v="Amit Reddy"/>
    <x v="0"/>
    <x v="30"/>
    <x v="3"/>
    <s v="Manager"/>
    <x v="2"/>
    <n v="59000"/>
    <n v="3"/>
    <x v="1"/>
    <n v="2"/>
    <x v="1"/>
    <x v="1"/>
    <s v="Single"/>
    <s v="Coimbatore"/>
    <x v="3"/>
    <x v="1"/>
    <s v="Mid-Level"/>
    <s v="High Performer"/>
    <s v="Dissatisfied"/>
  </r>
  <r>
    <s v="EMP091"/>
    <s v="Priya Singh"/>
    <x v="1"/>
    <x v="10"/>
    <x v="5"/>
    <s v="Software Engineer"/>
    <x v="2"/>
    <n v="113000"/>
    <n v="1"/>
    <x v="0"/>
    <n v="1"/>
    <x v="1"/>
    <x v="0"/>
    <s v="Married"/>
    <s v="Chennai"/>
    <x v="1"/>
    <x v="2"/>
    <s v="Junior"/>
    <s v="Needs Improvement"/>
    <s v="Dissatisfied"/>
  </r>
  <r>
    <s v="EMP092"/>
    <s v="Sneha Verma"/>
    <x v="1"/>
    <x v="15"/>
    <x v="0"/>
    <s v="Recruiter"/>
    <x v="1"/>
    <n v="73000"/>
    <n v="14"/>
    <x v="0"/>
    <n v="1"/>
    <x v="0"/>
    <x v="1"/>
    <s v="Single"/>
    <s v="Pune"/>
    <x v="1"/>
    <x v="2"/>
    <s v="Senior"/>
    <s v="Needs Improvement"/>
    <s v="Dissatisfied"/>
  </r>
  <r>
    <s v="EMP093"/>
    <s v="Sneha Verma"/>
    <x v="1"/>
    <x v="19"/>
    <x v="0"/>
    <s v="HR Executive"/>
    <x v="2"/>
    <n v="65000"/>
    <n v="14"/>
    <x v="2"/>
    <n v="5"/>
    <x v="0"/>
    <x v="1"/>
    <s v="Married"/>
    <s v="Chennai"/>
    <x v="2"/>
    <x v="1"/>
    <s v="Senior"/>
    <s v="High Performer"/>
    <s v="Satisfied"/>
  </r>
  <r>
    <s v="EMP094"/>
    <s v="Divya Nair"/>
    <x v="1"/>
    <x v="2"/>
    <x v="0"/>
    <s v="Recruiter"/>
    <x v="2"/>
    <n v="108000"/>
    <n v="12"/>
    <x v="1"/>
    <n v="5"/>
    <x v="0"/>
    <x v="1"/>
    <s v="Married"/>
    <s v="Hyderabad"/>
    <x v="2"/>
    <x v="2"/>
    <s v="Senior"/>
    <s v="High Performer"/>
    <s v="Satisfied"/>
  </r>
  <r>
    <s v="EMP095"/>
    <s v="Anjali Menon"/>
    <x v="1"/>
    <x v="20"/>
    <x v="0"/>
    <s v="Recruiter"/>
    <x v="2"/>
    <n v="73000"/>
    <n v="14"/>
    <x v="0"/>
    <n v="4"/>
    <x v="0"/>
    <x v="1"/>
    <s v="Married"/>
    <s v="Mumbai"/>
    <x v="0"/>
    <x v="2"/>
    <s v="Senior"/>
    <s v="Needs Improvement"/>
    <s v="Satisfied"/>
  </r>
  <r>
    <s v="EMP096"/>
    <s v="Meera Iyer"/>
    <x v="0"/>
    <x v="28"/>
    <x v="0"/>
    <s v="HR Executive"/>
    <x v="3"/>
    <n v="51000"/>
    <n v="3"/>
    <x v="1"/>
    <n v="2"/>
    <x v="0"/>
    <x v="0"/>
    <s v="Married"/>
    <s v="Hyderabad"/>
    <x v="0"/>
    <x v="1"/>
    <s v="Mid-Level"/>
    <s v="High Performer"/>
    <s v="Dissatisfied"/>
  </r>
  <r>
    <s v="EMP097"/>
    <s v="Sneha Patel"/>
    <x v="1"/>
    <x v="21"/>
    <x v="2"/>
    <s v="Accountant"/>
    <x v="1"/>
    <n v="112000"/>
    <n v="5"/>
    <x v="1"/>
    <n v="2"/>
    <x v="1"/>
    <x v="1"/>
    <s v="Married"/>
    <s v="Delhi"/>
    <x v="3"/>
    <x v="2"/>
    <s v="Mid-Level"/>
    <s v="High Performer"/>
    <s v="Dissatisfied"/>
  </r>
  <r>
    <s v="EMP098"/>
    <s v="Ajay Singh"/>
    <x v="1"/>
    <x v="8"/>
    <x v="2"/>
    <s v="Analyst"/>
    <x v="3"/>
    <n v="92000"/>
    <n v="19"/>
    <x v="3"/>
    <n v="5"/>
    <x v="0"/>
    <x v="1"/>
    <s v="Married"/>
    <s v="Mumbai"/>
    <x v="1"/>
    <x v="2"/>
    <s v="Senior"/>
    <s v="Needs Improvement"/>
    <s v="Satisfied"/>
  </r>
  <r>
    <s v="EMP099"/>
    <s v="Rahul Reddy"/>
    <x v="1"/>
    <x v="15"/>
    <x v="0"/>
    <s v="HR Executive"/>
    <x v="0"/>
    <n v="105000"/>
    <n v="1"/>
    <x v="1"/>
    <n v="3"/>
    <x v="1"/>
    <x v="1"/>
    <s v="Single"/>
    <s v="Pune"/>
    <x v="1"/>
    <x v="2"/>
    <s v="Junior"/>
    <s v="High Performer"/>
    <s v="Neutral"/>
  </r>
  <r>
    <s v="EMP100"/>
    <s v="Priya Sharma"/>
    <x v="1"/>
    <x v="25"/>
    <x v="5"/>
    <s v="Software Engineer"/>
    <x v="1"/>
    <n v="46000"/>
    <n v="16"/>
    <x v="0"/>
    <n v="5"/>
    <x v="0"/>
    <x v="1"/>
    <s v="Married"/>
    <s v="Chennai"/>
    <x v="0"/>
    <x v="1"/>
    <s v="Senior"/>
    <s v="Needs Improvement"/>
    <s v="Satisfied"/>
  </r>
  <r>
    <s v="EMP101"/>
    <s v="Karthik Raj"/>
    <x v="1"/>
    <x v="27"/>
    <x v="4"/>
    <s v="Executive"/>
    <x v="2"/>
    <n v="76000"/>
    <n v="12"/>
    <x v="3"/>
    <n v="3"/>
    <x v="0"/>
    <x v="1"/>
    <s v="Single"/>
    <s v="Hyderabad"/>
    <x v="1"/>
    <x v="2"/>
    <s v="Senior"/>
    <s v="Needs Improvement"/>
    <s v="Neutral"/>
  </r>
  <r>
    <s v="EMP102"/>
    <s v="Neha Menon"/>
    <x v="1"/>
    <x v="4"/>
    <x v="1"/>
    <s v="Manager"/>
    <x v="0"/>
    <n v="62000"/>
    <n v="9"/>
    <x v="2"/>
    <n v="2"/>
    <x v="1"/>
    <x v="1"/>
    <s v="Married"/>
    <s v="Delhi"/>
    <x v="2"/>
    <x v="1"/>
    <s v="Senior"/>
    <s v="High Performer"/>
    <s v="Dissatisfied"/>
  </r>
  <r>
    <s v="EMP103"/>
    <s v="Sanjay Raj"/>
    <x v="1"/>
    <x v="33"/>
    <x v="4"/>
    <s v="Executive"/>
    <x v="0"/>
    <n v="46000"/>
    <n v="5"/>
    <x v="3"/>
    <n v="5"/>
    <x v="0"/>
    <x v="1"/>
    <s v="Single"/>
    <s v="Coimbatore"/>
    <x v="0"/>
    <x v="1"/>
    <s v="Mid-Level"/>
    <s v="Needs Improvement"/>
    <s v="Satisfied"/>
  </r>
  <r>
    <s v="EMP104"/>
    <s v="Anjali Patel"/>
    <x v="1"/>
    <x v="27"/>
    <x v="4"/>
    <s v="Executive"/>
    <x v="1"/>
    <n v="100000"/>
    <n v="11"/>
    <x v="1"/>
    <n v="5"/>
    <x v="0"/>
    <x v="1"/>
    <s v="Single"/>
    <s v="Chennai"/>
    <x v="1"/>
    <x v="2"/>
    <s v="Senior"/>
    <s v="High Performer"/>
    <s v="Satisfied"/>
  </r>
  <r>
    <s v="EMP105"/>
    <s v="Divya Nair"/>
    <x v="0"/>
    <x v="13"/>
    <x v="2"/>
    <s v="Analyst"/>
    <x v="1"/>
    <n v="57000"/>
    <n v="7"/>
    <x v="1"/>
    <n v="1"/>
    <x v="0"/>
    <x v="0"/>
    <s v="Single"/>
    <s v="Delhi"/>
    <x v="0"/>
    <x v="1"/>
    <s v="Senior"/>
    <s v="High Performer"/>
    <s v="Dissatisfied"/>
  </r>
  <r>
    <s v="EMP106"/>
    <s v="Rahul Nair"/>
    <x v="0"/>
    <x v="19"/>
    <x v="2"/>
    <s v="Accountant"/>
    <x v="2"/>
    <n v="92000"/>
    <n v="15"/>
    <x v="0"/>
    <n v="1"/>
    <x v="0"/>
    <x v="0"/>
    <s v="Single"/>
    <s v="Delhi"/>
    <x v="2"/>
    <x v="2"/>
    <s v="Senior"/>
    <s v="Needs Improvement"/>
    <s v="Dissatisfied"/>
  </r>
  <r>
    <s v="EMP107"/>
    <s v="Sneha Patel"/>
    <x v="1"/>
    <x v="22"/>
    <x v="2"/>
    <s v="Accountant"/>
    <x v="3"/>
    <n v="101000"/>
    <n v="13"/>
    <x v="0"/>
    <n v="5"/>
    <x v="0"/>
    <x v="1"/>
    <s v="Single"/>
    <s v="Delhi"/>
    <x v="2"/>
    <x v="2"/>
    <s v="Senior"/>
    <s v="Needs Improvement"/>
    <s v="Satisfied"/>
  </r>
  <r>
    <s v="EMP108"/>
    <s v="Sanjay Iyer"/>
    <x v="1"/>
    <x v="29"/>
    <x v="1"/>
    <s v="Manager"/>
    <x v="2"/>
    <n v="29000"/>
    <n v="13"/>
    <x v="2"/>
    <n v="5"/>
    <x v="1"/>
    <x v="1"/>
    <s v="Married"/>
    <s v="Delhi"/>
    <x v="2"/>
    <x v="0"/>
    <s v="Senior"/>
    <s v="High Performer"/>
    <s v="Satisfied"/>
  </r>
  <r>
    <s v="EMP109"/>
    <s v="Pooja Raj"/>
    <x v="1"/>
    <x v="30"/>
    <x v="3"/>
    <s v="Executive"/>
    <x v="3"/>
    <n v="46000"/>
    <n v="8"/>
    <x v="2"/>
    <n v="4"/>
    <x v="1"/>
    <x v="1"/>
    <s v="Married"/>
    <s v="Chennai"/>
    <x v="3"/>
    <x v="1"/>
    <s v="Senior"/>
    <s v="High Performer"/>
    <s v="Satisfied"/>
  </r>
  <r>
    <s v="EMP110"/>
    <s v="Divya Patel"/>
    <x v="0"/>
    <x v="30"/>
    <x v="1"/>
    <s v="Executive"/>
    <x v="0"/>
    <n v="104000"/>
    <n v="8"/>
    <x v="1"/>
    <n v="3"/>
    <x v="0"/>
    <x v="1"/>
    <s v="Single"/>
    <s v="Pune"/>
    <x v="3"/>
    <x v="2"/>
    <s v="Senior"/>
    <s v="High Performer"/>
    <s v="Neutral"/>
  </r>
  <r>
    <s v="EMP111"/>
    <s v="Ajay Menon"/>
    <x v="0"/>
    <x v="25"/>
    <x v="1"/>
    <s v="Manager"/>
    <x v="1"/>
    <n v="93000"/>
    <n v="16"/>
    <x v="2"/>
    <n v="4"/>
    <x v="1"/>
    <x v="1"/>
    <s v="Single"/>
    <s v="Pune"/>
    <x v="0"/>
    <x v="2"/>
    <s v="Senior"/>
    <s v="High Performer"/>
    <s v="Satisfied"/>
  </r>
  <r>
    <s v="EMP112"/>
    <s v="Karthik Reddy"/>
    <x v="0"/>
    <x v="31"/>
    <x v="5"/>
    <s v="Software Engineer"/>
    <x v="1"/>
    <n v="110000"/>
    <n v="2"/>
    <x v="2"/>
    <n v="5"/>
    <x v="0"/>
    <x v="1"/>
    <s v="Single"/>
    <s v="Delhi"/>
    <x v="3"/>
    <x v="2"/>
    <s v="Junior"/>
    <s v="High Performer"/>
    <s v="Satisfied"/>
  </r>
  <r>
    <s v="EMP113"/>
    <s v="Nisha Menon"/>
    <x v="0"/>
    <x v="24"/>
    <x v="4"/>
    <s v="Executive"/>
    <x v="3"/>
    <n v="94000"/>
    <n v="4"/>
    <x v="1"/>
    <n v="1"/>
    <x v="1"/>
    <x v="1"/>
    <s v="Single"/>
    <s v="Mumbai"/>
    <x v="2"/>
    <x v="2"/>
    <s v="Mid-Level"/>
    <s v="High Performer"/>
    <s v="Dissatisfied"/>
  </r>
  <r>
    <s v="EMP114"/>
    <s v="Arjun Sharma"/>
    <x v="0"/>
    <x v="4"/>
    <x v="4"/>
    <s v="Executive"/>
    <x v="0"/>
    <n v="109000"/>
    <n v="13"/>
    <x v="2"/>
    <n v="1"/>
    <x v="1"/>
    <x v="1"/>
    <s v="Married"/>
    <s v="Coimbatore"/>
    <x v="2"/>
    <x v="2"/>
    <s v="Senior"/>
    <s v="High Performer"/>
    <s v="Dissatisfied"/>
  </r>
  <r>
    <s v="EMP115"/>
    <s v="Priya Iyer"/>
    <x v="1"/>
    <x v="30"/>
    <x v="0"/>
    <s v="HR Executive"/>
    <x v="2"/>
    <n v="31000"/>
    <n v="8"/>
    <x v="3"/>
    <n v="3"/>
    <x v="0"/>
    <x v="1"/>
    <s v="Married"/>
    <s v="Mumbai"/>
    <x v="3"/>
    <x v="0"/>
    <s v="Senior"/>
    <s v="Needs Improvement"/>
    <s v="Neutral"/>
  </r>
  <r>
    <s v="EMP116"/>
    <s v="Amit Raj"/>
    <x v="0"/>
    <x v="3"/>
    <x v="4"/>
    <s v="Executive"/>
    <x v="0"/>
    <n v="52000"/>
    <n v="13"/>
    <x v="2"/>
    <n v="4"/>
    <x v="1"/>
    <x v="1"/>
    <s v="Single"/>
    <s v="Kochi"/>
    <x v="2"/>
    <x v="1"/>
    <s v="Senior"/>
    <s v="High Performer"/>
    <s v="Satisfied"/>
  </r>
  <r>
    <s v="EMP117"/>
    <s v="Anjali Singh"/>
    <x v="0"/>
    <x v="6"/>
    <x v="0"/>
    <s v="Recruiter"/>
    <x v="0"/>
    <n v="34000"/>
    <n v="9"/>
    <x v="2"/>
    <n v="1"/>
    <x v="1"/>
    <x v="1"/>
    <s v="Single"/>
    <s v="Mumbai"/>
    <x v="2"/>
    <x v="0"/>
    <s v="Senior"/>
    <s v="High Performer"/>
    <s v="Dissatisfied"/>
  </r>
  <r>
    <s v="EMP118"/>
    <s v="Sanjay Patel"/>
    <x v="0"/>
    <x v="14"/>
    <x v="0"/>
    <s v="HR Executive"/>
    <x v="2"/>
    <n v="62000"/>
    <n v="3"/>
    <x v="3"/>
    <n v="3"/>
    <x v="1"/>
    <x v="1"/>
    <s v="Single"/>
    <s v="Coimbatore"/>
    <x v="3"/>
    <x v="1"/>
    <s v="Mid-Level"/>
    <s v="Needs Improvement"/>
    <s v="Neutral"/>
  </r>
  <r>
    <s v="EMP119"/>
    <s v="Sanjay Kumar"/>
    <x v="0"/>
    <x v="8"/>
    <x v="4"/>
    <s v="Executive"/>
    <x v="1"/>
    <n v="53000"/>
    <n v="6"/>
    <x v="3"/>
    <n v="2"/>
    <x v="1"/>
    <x v="1"/>
    <s v="Married"/>
    <s v="Mumbai"/>
    <x v="1"/>
    <x v="1"/>
    <s v="Mid-Level"/>
    <s v="Needs Improvement"/>
    <s v="Dissatisfied"/>
  </r>
  <r>
    <s v="EMP120"/>
    <s v="Rohit Sharma"/>
    <x v="1"/>
    <x v="3"/>
    <x v="3"/>
    <s v="Manager"/>
    <x v="2"/>
    <n v="104000"/>
    <n v="3"/>
    <x v="0"/>
    <n v="4"/>
    <x v="0"/>
    <x v="1"/>
    <s v="Married"/>
    <s v="Delhi"/>
    <x v="2"/>
    <x v="2"/>
    <s v="Mid-Level"/>
    <s v="Needs Improvement"/>
    <s v="Satisfied"/>
  </r>
  <r>
    <s v="EMP121"/>
    <s v="Divya Nair"/>
    <x v="0"/>
    <x v="28"/>
    <x v="4"/>
    <s v="Executive"/>
    <x v="0"/>
    <n v="94000"/>
    <n v="0"/>
    <x v="3"/>
    <n v="1"/>
    <x v="0"/>
    <x v="0"/>
    <s v="Single"/>
    <s v="Chennai"/>
    <x v="0"/>
    <x v="2"/>
    <s v="Junior"/>
    <s v="Needs Improvement"/>
    <s v="Dissatisfied"/>
  </r>
  <r>
    <s v="EMP122"/>
    <s v="Vivek Sharma"/>
    <x v="0"/>
    <x v="30"/>
    <x v="3"/>
    <s v="Manager"/>
    <x v="0"/>
    <n v="41000"/>
    <n v="8"/>
    <x v="3"/>
    <n v="2"/>
    <x v="0"/>
    <x v="1"/>
    <s v="Single"/>
    <s v="Delhi"/>
    <x v="3"/>
    <x v="1"/>
    <s v="Senior"/>
    <s v="Needs Improvement"/>
    <s v="Dissatisfied"/>
  </r>
  <r>
    <s v="EMP123"/>
    <s v="Pooja Menon"/>
    <x v="0"/>
    <x v="4"/>
    <x v="3"/>
    <s v="Manager"/>
    <x v="1"/>
    <n v="67000"/>
    <n v="9"/>
    <x v="1"/>
    <n v="3"/>
    <x v="0"/>
    <x v="1"/>
    <s v="Married"/>
    <s v="Hyderabad"/>
    <x v="2"/>
    <x v="1"/>
    <s v="Senior"/>
    <s v="High Performer"/>
    <s v="Neutral"/>
  </r>
  <r>
    <s v="EMP124"/>
    <s v="Anjali Verma"/>
    <x v="0"/>
    <x v="20"/>
    <x v="5"/>
    <s v="Data Analyst"/>
    <x v="0"/>
    <n v="76000"/>
    <n v="16"/>
    <x v="3"/>
    <n v="4"/>
    <x v="1"/>
    <x v="1"/>
    <s v="Single"/>
    <s v="Coimbatore"/>
    <x v="0"/>
    <x v="2"/>
    <s v="Senior"/>
    <s v="Needs Improvement"/>
    <s v="Satisfied"/>
  </r>
  <r>
    <s v="EMP125"/>
    <s v="Priya Nair"/>
    <x v="1"/>
    <x v="33"/>
    <x v="4"/>
    <s v="Executive"/>
    <x v="3"/>
    <n v="75000"/>
    <n v="18"/>
    <x v="2"/>
    <n v="2"/>
    <x v="0"/>
    <x v="1"/>
    <s v="Married"/>
    <s v="Hyderabad"/>
    <x v="0"/>
    <x v="2"/>
    <s v="Senior"/>
    <s v="High Performer"/>
    <s v="Dissatisfied"/>
  </r>
  <r>
    <s v="EMP126"/>
    <s v="Amit Menon"/>
    <x v="0"/>
    <x v="8"/>
    <x v="1"/>
    <s v="Executive"/>
    <x v="3"/>
    <n v="34000"/>
    <n v="10"/>
    <x v="0"/>
    <n v="5"/>
    <x v="0"/>
    <x v="1"/>
    <s v="Married"/>
    <s v="Kochi"/>
    <x v="1"/>
    <x v="0"/>
    <s v="Senior"/>
    <s v="Needs Improvement"/>
    <s v="Satisfied"/>
  </r>
  <r>
    <s v="EMP127"/>
    <s v="Amit Patel"/>
    <x v="0"/>
    <x v="18"/>
    <x v="1"/>
    <s v="Executive"/>
    <x v="1"/>
    <n v="29000"/>
    <n v="7"/>
    <x v="0"/>
    <n v="4"/>
    <x v="1"/>
    <x v="1"/>
    <s v="Married"/>
    <s v="Coimbatore"/>
    <x v="3"/>
    <x v="0"/>
    <s v="Senior"/>
    <s v="Needs Improvement"/>
    <s v="Satisfied"/>
  </r>
  <r>
    <s v="EMP128"/>
    <s v="Rahul Iyer"/>
    <x v="0"/>
    <x v="24"/>
    <x v="0"/>
    <s v="Recruiter"/>
    <x v="1"/>
    <n v="49000"/>
    <n v="4"/>
    <x v="3"/>
    <n v="4"/>
    <x v="1"/>
    <x v="1"/>
    <s v="Single"/>
    <s v="Kochi"/>
    <x v="2"/>
    <x v="1"/>
    <s v="Mid-Level"/>
    <s v="Needs Improvement"/>
    <s v="Satisfied"/>
  </r>
  <r>
    <s v="EMP129"/>
    <s v="Rahul Kumar"/>
    <x v="0"/>
    <x v="0"/>
    <x v="0"/>
    <s v="HR Executive"/>
    <x v="1"/>
    <n v="97000"/>
    <n v="17"/>
    <x v="2"/>
    <n v="4"/>
    <x v="0"/>
    <x v="1"/>
    <s v="Single"/>
    <s v="Chennai"/>
    <x v="0"/>
    <x v="2"/>
    <s v="Senior"/>
    <s v="High Performer"/>
    <s v="Satisfied"/>
  </r>
  <r>
    <s v="EMP130"/>
    <s v="Divya Iyer"/>
    <x v="1"/>
    <x v="15"/>
    <x v="0"/>
    <s v="Recruiter"/>
    <x v="1"/>
    <n v="35000"/>
    <n v="5"/>
    <x v="3"/>
    <n v="2"/>
    <x v="0"/>
    <x v="0"/>
    <s v="Married"/>
    <s v="Kochi"/>
    <x v="1"/>
    <x v="0"/>
    <s v="Mid-Level"/>
    <s v="Needs Improvement"/>
    <s v="Dissatisfied"/>
  </r>
  <r>
    <s v="EMP131"/>
    <s v="Sanjay Sharma"/>
    <x v="1"/>
    <x v="11"/>
    <x v="1"/>
    <s v="Manager"/>
    <x v="0"/>
    <n v="100000"/>
    <n v="20"/>
    <x v="2"/>
    <n v="2"/>
    <x v="0"/>
    <x v="0"/>
    <s v="Married"/>
    <s v="Chennai"/>
    <x v="0"/>
    <x v="2"/>
    <s v="Senior"/>
    <s v="High Performer"/>
    <s v="Dissatisfied"/>
  </r>
  <r>
    <s v="EMP132"/>
    <s v="Amit Nair"/>
    <x v="1"/>
    <x v="12"/>
    <x v="3"/>
    <s v="Executive"/>
    <x v="0"/>
    <n v="73000"/>
    <n v="2"/>
    <x v="1"/>
    <n v="5"/>
    <x v="1"/>
    <x v="1"/>
    <s v="Single"/>
    <s v="Bangalore"/>
    <x v="3"/>
    <x v="2"/>
    <s v="Junior"/>
    <s v="High Performer"/>
    <s v="Satisfied"/>
  </r>
  <r>
    <s v="EMP133"/>
    <s v="Karthik Raj"/>
    <x v="0"/>
    <x v="26"/>
    <x v="4"/>
    <s v="Executive"/>
    <x v="2"/>
    <n v="102000"/>
    <n v="11"/>
    <x v="0"/>
    <n v="2"/>
    <x v="1"/>
    <x v="1"/>
    <s v="Single"/>
    <s v="Mumbai"/>
    <x v="2"/>
    <x v="2"/>
    <s v="Senior"/>
    <s v="Needs Improvement"/>
    <s v="Dissatisfied"/>
  </r>
  <r>
    <s v="EMP134"/>
    <s v="Karthik Kumar"/>
    <x v="1"/>
    <x v="17"/>
    <x v="3"/>
    <s v="Manager"/>
    <x v="2"/>
    <n v="89000"/>
    <n v="1"/>
    <x v="3"/>
    <n v="5"/>
    <x v="0"/>
    <x v="1"/>
    <s v="Married"/>
    <s v="Mumbai"/>
    <x v="3"/>
    <x v="2"/>
    <s v="Junior"/>
    <s v="Needs Improvement"/>
    <s v="Satisfied"/>
  </r>
  <r>
    <s v="EMP135"/>
    <s v="Ajay Iyer"/>
    <x v="1"/>
    <x v="32"/>
    <x v="5"/>
    <s v="Software Engineer"/>
    <x v="1"/>
    <n v="108000"/>
    <n v="8"/>
    <x v="3"/>
    <n v="4"/>
    <x v="1"/>
    <x v="1"/>
    <s v="Married"/>
    <s v="Pune"/>
    <x v="1"/>
    <x v="2"/>
    <s v="Senior"/>
    <s v="Needs Improvement"/>
    <s v="Satisfied"/>
  </r>
  <r>
    <s v="EMP136"/>
    <s v="Sneha Patel"/>
    <x v="1"/>
    <x v="22"/>
    <x v="5"/>
    <s v="Data Analyst"/>
    <x v="2"/>
    <n v="108000"/>
    <n v="15"/>
    <x v="2"/>
    <n v="4"/>
    <x v="1"/>
    <x v="1"/>
    <s v="Single"/>
    <s v="Coimbatore"/>
    <x v="2"/>
    <x v="2"/>
    <s v="Senior"/>
    <s v="High Performer"/>
    <s v="Satisfied"/>
  </r>
  <r>
    <s v="EMP137"/>
    <s v="Divya Reddy"/>
    <x v="0"/>
    <x v="20"/>
    <x v="3"/>
    <s v="Executive"/>
    <x v="3"/>
    <n v="60000"/>
    <n v="18"/>
    <x v="1"/>
    <n v="1"/>
    <x v="1"/>
    <x v="1"/>
    <s v="Single"/>
    <s v="Delhi"/>
    <x v="0"/>
    <x v="1"/>
    <s v="Senior"/>
    <s v="High Performer"/>
    <s v="Dissatisfied"/>
  </r>
  <r>
    <s v="EMP138"/>
    <s v="Pooja Verma"/>
    <x v="1"/>
    <x v="10"/>
    <x v="4"/>
    <s v="Manager"/>
    <x v="2"/>
    <n v="39000"/>
    <n v="14"/>
    <x v="1"/>
    <n v="5"/>
    <x v="0"/>
    <x v="1"/>
    <s v="Single"/>
    <s v="Delhi"/>
    <x v="1"/>
    <x v="0"/>
    <s v="Senior"/>
    <s v="High Performer"/>
    <s v="Satisfied"/>
  </r>
  <r>
    <s v="EMP139"/>
    <s v="Pooja Menon"/>
    <x v="1"/>
    <x v="1"/>
    <x v="1"/>
    <s v="Executive"/>
    <x v="0"/>
    <n v="33000"/>
    <n v="11"/>
    <x v="1"/>
    <n v="1"/>
    <x v="0"/>
    <x v="1"/>
    <s v="Single"/>
    <s v="Pune"/>
    <x v="1"/>
    <x v="0"/>
    <s v="Senior"/>
    <s v="High Performer"/>
    <s v="Dissatisfied"/>
  </r>
  <r>
    <s v="EMP140"/>
    <s v="Arjun Reddy"/>
    <x v="0"/>
    <x v="14"/>
    <x v="5"/>
    <s v="Software Engineer"/>
    <x v="2"/>
    <n v="96000"/>
    <n v="3"/>
    <x v="3"/>
    <n v="4"/>
    <x v="1"/>
    <x v="1"/>
    <s v="Single"/>
    <s v="Coimbatore"/>
    <x v="3"/>
    <x v="2"/>
    <s v="Mid-Level"/>
    <s v="Needs Improvement"/>
    <s v="Satisfied"/>
  </r>
  <r>
    <s v="EMP141"/>
    <s v="Sneha Patel"/>
    <x v="0"/>
    <x v="6"/>
    <x v="1"/>
    <s v="Manager"/>
    <x v="0"/>
    <n v="93000"/>
    <n v="9"/>
    <x v="3"/>
    <n v="1"/>
    <x v="0"/>
    <x v="1"/>
    <s v="Single"/>
    <s v="Mumbai"/>
    <x v="2"/>
    <x v="2"/>
    <s v="Senior"/>
    <s v="Needs Improvement"/>
    <s v="Dissatisfied"/>
  </r>
  <r>
    <s v="EMP142"/>
    <s v="Priya Menon"/>
    <x v="0"/>
    <x v="32"/>
    <x v="1"/>
    <s v="Executive"/>
    <x v="2"/>
    <n v="106000"/>
    <n v="9"/>
    <x v="3"/>
    <n v="5"/>
    <x v="1"/>
    <x v="1"/>
    <s v="Married"/>
    <s v="Bangalore"/>
    <x v="1"/>
    <x v="2"/>
    <s v="Senior"/>
    <s v="Needs Improvement"/>
    <s v="Satisfied"/>
  </r>
  <r>
    <s v="EMP143"/>
    <s v="Sneha Verma"/>
    <x v="0"/>
    <x v="4"/>
    <x v="4"/>
    <s v="Executive"/>
    <x v="0"/>
    <n v="40000"/>
    <n v="2"/>
    <x v="2"/>
    <n v="1"/>
    <x v="1"/>
    <x v="1"/>
    <s v="Married"/>
    <s v="Pune"/>
    <x v="2"/>
    <x v="1"/>
    <s v="Junior"/>
    <s v="High Performer"/>
    <s v="Dissatisfied"/>
  </r>
  <r>
    <s v="EMP144"/>
    <s v="Sanjay Menon"/>
    <x v="0"/>
    <x v="9"/>
    <x v="3"/>
    <s v="Manager"/>
    <x v="0"/>
    <n v="76000"/>
    <n v="7"/>
    <x v="0"/>
    <n v="5"/>
    <x v="1"/>
    <x v="1"/>
    <s v="Married"/>
    <s v="Pune"/>
    <x v="0"/>
    <x v="2"/>
    <s v="Senior"/>
    <s v="Needs Improvement"/>
    <s v="Satisfied"/>
  </r>
  <r>
    <s v="EMP145"/>
    <s v="Vivek Verma"/>
    <x v="0"/>
    <x v="0"/>
    <x v="1"/>
    <s v="Executive"/>
    <x v="1"/>
    <n v="40000"/>
    <n v="6"/>
    <x v="2"/>
    <n v="2"/>
    <x v="1"/>
    <x v="1"/>
    <s v="Single"/>
    <s v="Kochi"/>
    <x v="0"/>
    <x v="1"/>
    <s v="Mid-Level"/>
    <s v="High Performer"/>
    <s v="Dissatisfied"/>
  </r>
  <r>
    <s v="EMP146"/>
    <s v="Anjali Verma"/>
    <x v="1"/>
    <x v="25"/>
    <x v="4"/>
    <s v="Executive"/>
    <x v="3"/>
    <n v="35000"/>
    <n v="4"/>
    <x v="0"/>
    <n v="2"/>
    <x v="0"/>
    <x v="0"/>
    <s v="Single"/>
    <s v="Delhi"/>
    <x v="0"/>
    <x v="0"/>
    <s v="Mid-Level"/>
    <s v="Needs Improvement"/>
    <s v="Dissatisfied"/>
  </r>
  <r>
    <s v="EMP147"/>
    <s v="Nisha Singh"/>
    <x v="1"/>
    <x v="30"/>
    <x v="1"/>
    <s v="Executive"/>
    <x v="0"/>
    <n v="38000"/>
    <n v="8"/>
    <x v="0"/>
    <n v="4"/>
    <x v="0"/>
    <x v="1"/>
    <s v="Single"/>
    <s v="Delhi"/>
    <x v="3"/>
    <x v="0"/>
    <s v="Senior"/>
    <s v="Needs Improvement"/>
    <s v="Satisfied"/>
  </r>
  <r>
    <s v="EMP148"/>
    <s v="Vivek Raj"/>
    <x v="0"/>
    <x v="21"/>
    <x v="2"/>
    <s v="Accountant"/>
    <x v="0"/>
    <n v="28000"/>
    <n v="5"/>
    <x v="3"/>
    <n v="1"/>
    <x v="0"/>
    <x v="1"/>
    <s v="Married"/>
    <s v="Chennai"/>
    <x v="3"/>
    <x v="0"/>
    <s v="Mid-Level"/>
    <s v="Needs Improvement"/>
    <s v="Dissatisfied"/>
  </r>
  <r>
    <s v="EMP149"/>
    <s v="Anjali Verma"/>
    <x v="1"/>
    <x v="22"/>
    <x v="0"/>
    <s v="Recruiter"/>
    <x v="3"/>
    <n v="86000"/>
    <n v="13"/>
    <x v="2"/>
    <n v="1"/>
    <x v="1"/>
    <x v="1"/>
    <s v="Married"/>
    <s v="Coimbatore"/>
    <x v="2"/>
    <x v="2"/>
    <s v="Senior"/>
    <s v="High Performer"/>
    <s v="Dissatisfied"/>
  </r>
  <r>
    <s v="EMP150"/>
    <s v="Rohit Menon"/>
    <x v="1"/>
    <x v="8"/>
    <x v="1"/>
    <s v="Executive"/>
    <x v="1"/>
    <n v="62000"/>
    <n v="1"/>
    <x v="2"/>
    <n v="2"/>
    <x v="1"/>
    <x v="1"/>
    <s v="Single"/>
    <s v="Chennai"/>
    <x v="1"/>
    <x v="1"/>
    <s v="Junior"/>
    <s v="High Performer"/>
    <s v="Dissatisfied"/>
  </r>
  <r>
    <s v="EMP151"/>
    <s v="Anjali Kumar"/>
    <x v="0"/>
    <x v="10"/>
    <x v="3"/>
    <s v="Executive"/>
    <x v="1"/>
    <n v="78000"/>
    <n v="13"/>
    <x v="0"/>
    <n v="3"/>
    <x v="1"/>
    <x v="1"/>
    <s v="Married"/>
    <s v="Hyderabad"/>
    <x v="1"/>
    <x v="2"/>
    <s v="Senior"/>
    <s v="Needs Improvement"/>
    <s v="Neutral"/>
  </r>
  <r>
    <s v="EMP152"/>
    <s v="Ajay Menon"/>
    <x v="0"/>
    <x v="25"/>
    <x v="1"/>
    <s v="Manager"/>
    <x v="3"/>
    <n v="44000"/>
    <n v="19"/>
    <x v="3"/>
    <n v="5"/>
    <x v="1"/>
    <x v="1"/>
    <s v="Single"/>
    <s v="Chennai"/>
    <x v="0"/>
    <x v="1"/>
    <s v="Senior"/>
    <s v="Needs Improvement"/>
    <s v="Satisfied"/>
  </r>
  <r>
    <s v="EMP153"/>
    <s v="Sneha Verma"/>
    <x v="1"/>
    <x v="24"/>
    <x v="1"/>
    <s v="Executive"/>
    <x v="0"/>
    <n v="30000"/>
    <n v="10"/>
    <x v="3"/>
    <n v="5"/>
    <x v="1"/>
    <x v="1"/>
    <s v="Single"/>
    <s v="Kochi"/>
    <x v="2"/>
    <x v="0"/>
    <s v="Senior"/>
    <s v="Needs Improvement"/>
    <s v="Satisfied"/>
  </r>
  <r>
    <s v="EMP154"/>
    <s v="Priya Raj"/>
    <x v="1"/>
    <x v="29"/>
    <x v="0"/>
    <s v="HR Executive"/>
    <x v="0"/>
    <n v="114000"/>
    <n v="4"/>
    <x v="0"/>
    <n v="1"/>
    <x v="0"/>
    <x v="0"/>
    <s v="Married"/>
    <s v="Hyderabad"/>
    <x v="2"/>
    <x v="2"/>
    <s v="Mid-Level"/>
    <s v="Needs Improvement"/>
    <s v="Dissatisfied"/>
  </r>
  <r>
    <s v="EMP155"/>
    <s v="Karthik Patel"/>
    <x v="1"/>
    <x v="23"/>
    <x v="0"/>
    <s v="Recruiter"/>
    <x v="2"/>
    <n v="96000"/>
    <n v="4"/>
    <x v="2"/>
    <n v="2"/>
    <x v="0"/>
    <x v="1"/>
    <s v="Married"/>
    <s v="Chennai"/>
    <x v="3"/>
    <x v="2"/>
    <s v="Mid-Level"/>
    <s v="High Performer"/>
    <s v="Dissatisfied"/>
  </r>
  <r>
    <s v="EMP156"/>
    <s v="Karthik Patel"/>
    <x v="1"/>
    <x v="14"/>
    <x v="1"/>
    <s v="Executive"/>
    <x v="2"/>
    <n v="88000"/>
    <n v="3"/>
    <x v="1"/>
    <n v="4"/>
    <x v="1"/>
    <x v="1"/>
    <s v="Single"/>
    <s v="Hyderabad"/>
    <x v="3"/>
    <x v="2"/>
    <s v="Mid-Level"/>
    <s v="High Performer"/>
    <s v="Satisfied"/>
  </r>
  <r>
    <s v="EMP157"/>
    <s v="Anjali Verma"/>
    <x v="0"/>
    <x v="9"/>
    <x v="4"/>
    <s v="Executive"/>
    <x v="3"/>
    <n v="104000"/>
    <n v="14"/>
    <x v="1"/>
    <n v="2"/>
    <x v="0"/>
    <x v="0"/>
    <s v="Married"/>
    <s v="Coimbatore"/>
    <x v="0"/>
    <x v="2"/>
    <s v="Senior"/>
    <s v="High Performer"/>
    <s v="Dissatisfied"/>
  </r>
  <r>
    <s v="EMP158"/>
    <s v="Ajay Raj"/>
    <x v="0"/>
    <x v="0"/>
    <x v="4"/>
    <s v="Executive"/>
    <x v="1"/>
    <n v="82000"/>
    <n v="9"/>
    <x v="0"/>
    <n v="4"/>
    <x v="1"/>
    <x v="1"/>
    <s v="Married"/>
    <s v="Delhi"/>
    <x v="0"/>
    <x v="2"/>
    <s v="Senior"/>
    <s v="Needs Improvement"/>
    <s v="Satisfied"/>
  </r>
  <r>
    <s v="EMP159"/>
    <s v="Sneha Raj"/>
    <x v="0"/>
    <x v="23"/>
    <x v="3"/>
    <s v="Manager"/>
    <x v="3"/>
    <n v="120000"/>
    <n v="4"/>
    <x v="1"/>
    <n v="5"/>
    <x v="0"/>
    <x v="1"/>
    <s v="Married"/>
    <s v="Chennai"/>
    <x v="3"/>
    <x v="2"/>
    <s v="Mid-Level"/>
    <s v="High Performer"/>
    <s v="Satisfied"/>
  </r>
  <r>
    <s v="EMP160"/>
    <s v="Ajay Verma"/>
    <x v="1"/>
    <x v="29"/>
    <x v="3"/>
    <s v="Manager"/>
    <x v="3"/>
    <n v="56000"/>
    <n v="14"/>
    <x v="1"/>
    <n v="3"/>
    <x v="1"/>
    <x v="1"/>
    <s v="Single"/>
    <s v="Coimbatore"/>
    <x v="2"/>
    <x v="1"/>
    <s v="Senior"/>
    <s v="High Performer"/>
    <s v="Neutral"/>
  </r>
  <r>
    <s v="EMP161"/>
    <s v="Sanjay Raj"/>
    <x v="1"/>
    <x v="9"/>
    <x v="1"/>
    <s v="Executive"/>
    <x v="3"/>
    <n v="115000"/>
    <n v="19"/>
    <x v="1"/>
    <n v="2"/>
    <x v="0"/>
    <x v="0"/>
    <s v="Married"/>
    <s v="Kochi"/>
    <x v="0"/>
    <x v="2"/>
    <s v="Senior"/>
    <s v="High Performer"/>
    <s v="Dissatisfied"/>
  </r>
  <r>
    <s v="EMP162"/>
    <s v="Karthik Reddy"/>
    <x v="1"/>
    <x v="20"/>
    <x v="0"/>
    <s v="HR Executive"/>
    <x v="0"/>
    <n v="27000"/>
    <n v="0"/>
    <x v="2"/>
    <n v="2"/>
    <x v="1"/>
    <x v="1"/>
    <s v="Married"/>
    <s v="Kochi"/>
    <x v="0"/>
    <x v="0"/>
    <s v="Junior"/>
    <s v="High Performer"/>
    <s v="Dissatisfied"/>
  </r>
  <r>
    <s v="EMP163"/>
    <s v="Vivek Nair"/>
    <x v="0"/>
    <x v="13"/>
    <x v="0"/>
    <s v="Recruiter"/>
    <x v="1"/>
    <n v="37000"/>
    <n v="15"/>
    <x v="2"/>
    <n v="3"/>
    <x v="0"/>
    <x v="1"/>
    <s v="Married"/>
    <s v="Mumbai"/>
    <x v="0"/>
    <x v="0"/>
    <s v="Senior"/>
    <s v="High Performer"/>
    <s v="Neutral"/>
  </r>
  <r>
    <s v="EMP164"/>
    <s v="Sanjay Kumar"/>
    <x v="1"/>
    <x v="13"/>
    <x v="5"/>
    <s v="Data Analyst"/>
    <x v="3"/>
    <n v="53000"/>
    <n v="12"/>
    <x v="1"/>
    <n v="3"/>
    <x v="0"/>
    <x v="1"/>
    <s v="Single"/>
    <s v="Hyderabad"/>
    <x v="0"/>
    <x v="1"/>
    <s v="Senior"/>
    <s v="High Performer"/>
    <s v="Neutral"/>
  </r>
  <r>
    <s v="EMP165"/>
    <s v="Meera Reddy"/>
    <x v="1"/>
    <x v="25"/>
    <x v="2"/>
    <s v="Accountant"/>
    <x v="2"/>
    <n v="28000"/>
    <n v="4"/>
    <x v="2"/>
    <n v="2"/>
    <x v="1"/>
    <x v="1"/>
    <s v="Single"/>
    <s v="Hyderabad"/>
    <x v="0"/>
    <x v="0"/>
    <s v="Mid-Level"/>
    <s v="High Performer"/>
    <s v="Dissatisfied"/>
  </r>
  <r>
    <s v="EMP166"/>
    <s v="Amit Verma"/>
    <x v="1"/>
    <x v="4"/>
    <x v="0"/>
    <s v="HR Executive"/>
    <x v="1"/>
    <n v="47000"/>
    <n v="13"/>
    <x v="1"/>
    <n v="4"/>
    <x v="1"/>
    <x v="1"/>
    <s v="Married"/>
    <s v="Delhi"/>
    <x v="2"/>
    <x v="1"/>
    <s v="Senior"/>
    <s v="High Performer"/>
    <s v="Satisfied"/>
  </r>
  <r>
    <s v="EMP167"/>
    <s v="Nisha Kumar"/>
    <x v="1"/>
    <x v="33"/>
    <x v="4"/>
    <s v="Executive"/>
    <x v="0"/>
    <n v="79000"/>
    <n v="0"/>
    <x v="2"/>
    <n v="3"/>
    <x v="0"/>
    <x v="1"/>
    <s v="Married"/>
    <s v="Mumbai"/>
    <x v="0"/>
    <x v="2"/>
    <s v="Junior"/>
    <s v="High Performer"/>
    <s v="Neutral"/>
  </r>
  <r>
    <s v="EMP168"/>
    <s v="Arjun Sharma"/>
    <x v="0"/>
    <x v="0"/>
    <x v="0"/>
    <s v="HR Executive"/>
    <x v="2"/>
    <n v="92000"/>
    <n v="17"/>
    <x v="2"/>
    <n v="2"/>
    <x v="1"/>
    <x v="1"/>
    <s v="Married"/>
    <s v="Chennai"/>
    <x v="0"/>
    <x v="2"/>
    <s v="Senior"/>
    <s v="High Performer"/>
    <s v="Dissatisfied"/>
  </r>
  <r>
    <s v="EMP169"/>
    <s v="Pooja Patel"/>
    <x v="1"/>
    <x v="28"/>
    <x v="3"/>
    <s v="Manager"/>
    <x v="3"/>
    <n v="109000"/>
    <n v="1"/>
    <x v="2"/>
    <n v="1"/>
    <x v="0"/>
    <x v="1"/>
    <s v="Single"/>
    <s v="Kochi"/>
    <x v="0"/>
    <x v="2"/>
    <s v="Junior"/>
    <s v="High Performer"/>
    <s v="Dissatisfied"/>
  </r>
  <r>
    <s v="EMP170"/>
    <s v="Rahul Patel"/>
    <x v="0"/>
    <x v="18"/>
    <x v="0"/>
    <s v="HR Executive"/>
    <x v="0"/>
    <n v="97000"/>
    <n v="3"/>
    <x v="0"/>
    <n v="4"/>
    <x v="0"/>
    <x v="1"/>
    <s v="Single"/>
    <s v="Bangalore"/>
    <x v="3"/>
    <x v="2"/>
    <s v="Mid-Level"/>
    <s v="Needs Improvement"/>
    <s v="Satisfied"/>
  </r>
  <r>
    <s v="EMP171"/>
    <s v="Pooja Kumar"/>
    <x v="1"/>
    <x v="22"/>
    <x v="5"/>
    <s v="Data Analyst"/>
    <x v="1"/>
    <n v="111000"/>
    <n v="15"/>
    <x v="3"/>
    <n v="1"/>
    <x v="1"/>
    <x v="1"/>
    <s v="Single"/>
    <s v="Hyderabad"/>
    <x v="2"/>
    <x v="2"/>
    <s v="Senior"/>
    <s v="Needs Improvement"/>
    <s v="Dissatisfied"/>
  </r>
  <r>
    <s v="EMP172"/>
    <s v="Arjun Verma"/>
    <x v="1"/>
    <x v="9"/>
    <x v="5"/>
    <s v="Software Engineer"/>
    <x v="1"/>
    <n v="64000"/>
    <n v="9"/>
    <x v="3"/>
    <n v="2"/>
    <x v="0"/>
    <x v="0"/>
    <s v="Single"/>
    <s v="Hyderabad"/>
    <x v="0"/>
    <x v="1"/>
    <s v="Senior"/>
    <s v="Needs Improvement"/>
    <s v="Dissatisfied"/>
  </r>
  <r>
    <s v="EMP173"/>
    <s v="Ajay Kumar"/>
    <x v="1"/>
    <x v="28"/>
    <x v="2"/>
    <s v="Accountant"/>
    <x v="3"/>
    <n v="55000"/>
    <n v="13"/>
    <x v="2"/>
    <n v="3"/>
    <x v="0"/>
    <x v="1"/>
    <s v="Single"/>
    <s v="Delhi"/>
    <x v="0"/>
    <x v="1"/>
    <s v="Senior"/>
    <s v="High Performer"/>
    <s v="Neutral"/>
  </r>
  <r>
    <s v="EMP174"/>
    <s v="Rahul Reddy"/>
    <x v="0"/>
    <x v="12"/>
    <x v="2"/>
    <s v="Analyst"/>
    <x v="0"/>
    <n v="108000"/>
    <n v="6"/>
    <x v="1"/>
    <n v="1"/>
    <x v="0"/>
    <x v="0"/>
    <s v="Single"/>
    <s v="Kochi"/>
    <x v="3"/>
    <x v="2"/>
    <s v="Mid-Level"/>
    <s v="High Performer"/>
    <s v="Dissatisfied"/>
  </r>
  <r>
    <s v="EMP175"/>
    <s v="Karthik Patel"/>
    <x v="0"/>
    <x v="4"/>
    <x v="3"/>
    <s v="Manager"/>
    <x v="2"/>
    <n v="42000"/>
    <n v="13"/>
    <x v="0"/>
    <n v="3"/>
    <x v="1"/>
    <x v="1"/>
    <s v="Married"/>
    <s v="Pune"/>
    <x v="2"/>
    <x v="1"/>
    <s v="Senior"/>
    <s v="Needs Improvement"/>
    <s v="Neutral"/>
  </r>
  <r>
    <s v="EMP176"/>
    <s v="Meera Singh"/>
    <x v="1"/>
    <x v="17"/>
    <x v="1"/>
    <s v="Executive"/>
    <x v="2"/>
    <n v="80000"/>
    <n v="1"/>
    <x v="1"/>
    <n v="1"/>
    <x v="0"/>
    <x v="1"/>
    <s v="Single"/>
    <s v="Mumbai"/>
    <x v="3"/>
    <x v="2"/>
    <s v="Junior"/>
    <s v="High Performer"/>
    <s v="Dissatisfied"/>
  </r>
  <r>
    <s v="EMP177"/>
    <s v="Arjun Reddy"/>
    <x v="0"/>
    <x v="2"/>
    <x v="0"/>
    <s v="Recruiter"/>
    <x v="3"/>
    <n v="101000"/>
    <n v="12"/>
    <x v="3"/>
    <n v="4"/>
    <x v="1"/>
    <x v="1"/>
    <s v="Married"/>
    <s v="Pune"/>
    <x v="2"/>
    <x v="2"/>
    <s v="Senior"/>
    <s v="Needs Improvement"/>
    <s v="Satisfied"/>
  </r>
  <r>
    <s v="EMP178"/>
    <s v="Karthik Sharma"/>
    <x v="1"/>
    <x v="27"/>
    <x v="2"/>
    <s v="Accountant"/>
    <x v="0"/>
    <n v="83000"/>
    <n v="8"/>
    <x v="0"/>
    <n v="3"/>
    <x v="1"/>
    <x v="1"/>
    <s v="Married"/>
    <s v="Pune"/>
    <x v="1"/>
    <x v="2"/>
    <s v="Senior"/>
    <s v="Needs Improvement"/>
    <s v="Neutral"/>
  </r>
  <r>
    <s v="EMP179"/>
    <s v="Rohit Verma"/>
    <x v="0"/>
    <x v="14"/>
    <x v="5"/>
    <s v="Data Analyst"/>
    <x v="1"/>
    <n v="88000"/>
    <n v="3"/>
    <x v="1"/>
    <n v="2"/>
    <x v="0"/>
    <x v="0"/>
    <s v="Married"/>
    <s v="Coimbatore"/>
    <x v="3"/>
    <x v="2"/>
    <s v="Mid-Level"/>
    <s v="High Performer"/>
    <s v="Dissatisfied"/>
  </r>
  <r>
    <s v="EMP180"/>
    <s v="Karthik Patel"/>
    <x v="1"/>
    <x v="5"/>
    <x v="0"/>
    <s v="HR Executive"/>
    <x v="0"/>
    <n v="103000"/>
    <n v="17"/>
    <x v="3"/>
    <n v="2"/>
    <x v="0"/>
    <x v="0"/>
    <s v="Single"/>
    <s v="Hyderabad"/>
    <x v="0"/>
    <x v="2"/>
    <s v="Senior"/>
    <s v="Needs Improvement"/>
    <s v="Dissatisfied"/>
  </r>
  <r>
    <s v="EMP181"/>
    <s v="Karthik Sharma"/>
    <x v="0"/>
    <x v="12"/>
    <x v="1"/>
    <s v="Manager"/>
    <x v="3"/>
    <n v="104000"/>
    <n v="6"/>
    <x v="2"/>
    <n v="2"/>
    <x v="1"/>
    <x v="1"/>
    <s v="Married"/>
    <s v="Hyderabad"/>
    <x v="3"/>
    <x v="2"/>
    <s v="Mid-Level"/>
    <s v="High Performer"/>
    <s v="Dissatisfied"/>
  </r>
  <r>
    <s v="EMP182"/>
    <s v="Sneha Reddy"/>
    <x v="1"/>
    <x v="27"/>
    <x v="2"/>
    <s v="Analyst"/>
    <x v="3"/>
    <n v="90000"/>
    <n v="19"/>
    <x v="2"/>
    <n v="4"/>
    <x v="0"/>
    <x v="1"/>
    <s v="Single"/>
    <s v="Pune"/>
    <x v="1"/>
    <x v="2"/>
    <s v="Senior"/>
    <s v="High Performer"/>
    <s v="Satisfied"/>
  </r>
  <r>
    <s v="EMP183"/>
    <s v="Pooja Kumar"/>
    <x v="0"/>
    <x v="13"/>
    <x v="3"/>
    <s v="Manager"/>
    <x v="1"/>
    <n v="42000"/>
    <n v="14"/>
    <x v="2"/>
    <n v="4"/>
    <x v="0"/>
    <x v="1"/>
    <s v="Married"/>
    <s v="Coimbatore"/>
    <x v="0"/>
    <x v="1"/>
    <s v="Senior"/>
    <s v="High Performer"/>
    <s v="Satisfied"/>
  </r>
  <r>
    <s v="EMP184"/>
    <s v="Priya Iyer"/>
    <x v="1"/>
    <x v="24"/>
    <x v="1"/>
    <s v="Manager"/>
    <x v="3"/>
    <n v="36000"/>
    <n v="10"/>
    <x v="2"/>
    <n v="3"/>
    <x v="1"/>
    <x v="1"/>
    <s v="Married"/>
    <s v="Delhi"/>
    <x v="2"/>
    <x v="0"/>
    <s v="Senior"/>
    <s v="High Performer"/>
    <s v="Neutral"/>
  </r>
  <r>
    <s v="EMP185"/>
    <s v="Karthik Raj"/>
    <x v="0"/>
    <x v="10"/>
    <x v="3"/>
    <s v="Manager"/>
    <x v="3"/>
    <n v="69000"/>
    <n v="1"/>
    <x v="3"/>
    <n v="4"/>
    <x v="0"/>
    <x v="1"/>
    <s v="Single"/>
    <s v="Mumbai"/>
    <x v="1"/>
    <x v="1"/>
    <s v="Junior"/>
    <s v="Needs Improvement"/>
    <s v="Satisfied"/>
  </r>
  <r>
    <s v="EMP186"/>
    <s v="Ajay Menon"/>
    <x v="0"/>
    <x v="1"/>
    <x v="5"/>
    <s v="Data Analyst"/>
    <x v="3"/>
    <n v="79000"/>
    <n v="5"/>
    <x v="0"/>
    <n v="2"/>
    <x v="0"/>
    <x v="1"/>
    <s v="Single"/>
    <s v="Kochi"/>
    <x v="1"/>
    <x v="2"/>
    <s v="Mid-Level"/>
    <s v="Needs Improvement"/>
    <s v="Dissatisfied"/>
  </r>
  <r>
    <s v="EMP187"/>
    <s v="Sneha Nair"/>
    <x v="1"/>
    <x v="2"/>
    <x v="4"/>
    <s v="Manager"/>
    <x v="2"/>
    <n v="105000"/>
    <n v="2"/>
    <x v="3"/>
    <n v="5"/>
    <x v="1"/>
    <x v="1"/>
    <s v="Single"/>
    <s v="Pune"/>
    <x v="2"/>
    <x v="2"/>
    <s v="Junior"/>
    <s v="Needs Improvement"/>
    <s v="Satisfied"/>
  </r>
  <r>
    <s v="EMP188"/>
    <s v="Sanjay Patel"/>
    <x v="1"/>
    <x v="25"/>
    <x v="5"/>
    <s v="Data Analyst"/>
    <x v="1"/>
    <n v="79000"/>
    <n v="20"/>
    <x v="3"/>
    <n v="2"/>
    <x v="0"/>
    <x v="1"/>
    <s v="Married"/>
    <s v="Kochi"/>
    <x v="0"/>
    <x v="2"/>
    <s v="Senior"/>
    <s v="Needs Improvement"/>
    <s v="Dissatisfied"/>
  </r>
  <r>
    <s v="EMP189"/>
    <s v="Amit Singh"/>
    <x v="1"/>
    <x v="3"/>
    <x v="3"/>
    <s v="Manager"/>
    <x v="1"/>
    <n v="31000"/>
    <n v="13"/>
    <x v="0"/>
    <n v="5"/>
    <x v="0"/>
    <x v="1"/>
    <s v="Single"/>
    <s v="Bangalore"/>
    <x v="2"/>
    <x v="0"/>
    <s v="Senior"/>
    <s v="Needs Improvement"/>
    <s v="Satisfied"/>
  </r>
  <r>
    <s v="EMP190"/>
    <s v="Priya Sharma"/>
    <x v="1"/>
    <x v="11"/>
    <x v="1"/>
    <s v="Executive"/>
    <x v="3"/>
    <n v="65000"/>
    <n v="12"/>
    <x v="0"/>
    <n v="1"/>
    <x v="0"/>
    <x v="1"/>
    <s v="Single"/>
    <s v="Coimbatore"/>
    <x v="0"/>
    <x v="1"/>
    <s v="Senior"/>
    <s v="Needs Improvement"/>
    <s v="Dissatisfied"/>
  </r>
  <r>
    <s v="EMP191"/>
    <s v="Neha Raj"/>
    <x v="0"/>
    <x v="7"/>
    <x v="5"/>
    <s v="Data Analyst"/>
    <x v="2"/>
    <n v="45000"/>
    <n v="1"/>
    <x v="1"/>
    <n v="4"/>
    <x v="1"/>
    <x v="1"/>
    <s v="Single"/>
    <s v="Chennai"/>
    <x v="0"/>
    <x v="1"/>
    <s v="Junior"/>
    <s v="High Performer"/>
    <s v="Satisfied"/>
  </r>
  <r>
    <s v="EMP192"/>
    <s v="Sneha Iyer"/>
    <x v="1"/>
    <x v="11"/>
    <x v="0"/>
    <s v="HR Executive"/>
    <x v="2"/>
    <n v="54000"/>
    <n v="6"/>
    <x v="1"/>
    <n v="3"/>
    <x v="1"/>
    <x v="1"/>
    <s v="Single"/>
    <s v="Hyderabad"/>
    <x v="0"/>
    <x v="1"/>
    <s v="Mid-Level"/>
    <s v="High Performer"/>
    <s v="Neutral"/>
  </r>
  <r>
    <s v="EMP193"/>
    <s v="Pooja Patel"/>
    <x v="1"/>
    <x v="30"/>
    <x v="1"/>
    <s v="Executive"/>
    <x v="0"/>
    <n v="73000"/>
    <n v="8"/>
    <x v="1"/>
    <n v="5"/>
    <x v="0"/>
    <x v="1"/>
    <s v="Married"/>
    <s v="Hyderabad"/>
    <x v="3"/>
    <x v="2"/>
    <s v="Senior"/>
    <s v="High Performer"/>
    <s v="Satisfied"/>
  </r>
  <r>
    <s v="EMP194"/>
    <s v="Nisha Patel"/>
    <x v="1"/>
    <x v="15"/>
    <x v="4"/>
    <s v="Executive"/>
    <x v="3"/>
    <n v="110000"/>
    <n v="17"/>
    <x v="3"/>
    <n v="2"/>
    <x v="0"/>
    <x v="0"/>
    <s v="Married"/>
    <s v="Chennai"/>
    <x v="1"/>
    <x v="2"/>
    <s v="Senior"/>
    <s v="Needs Improvement"/>
    <s v="Dissatisfied"/>
  </r>
  <r>
    <s v="EMP195"/>
    <s v="Rahul Patel"/>
    <x v="1"/>
    <x v="7"/>
    <x v="2"/>
    <s v="Analyst"/>
    <x v="1"/>
    <n v="38000"/>
    <n v="5"/>
    <x v="0"/>
    <n v="1"/>
    <x v="1"/>
    <x v="0"/>
    <s v="Single"/>
    <s v="Mumbai"/>
    <x v="0"/>
    <x v="0"/>
    <s v="Mid-Level"/>
    <s v="Needs Improvement"/>
    <s v="Dissatisfied"/>
  </r>
  <r>
    <s v="EMP196"/>
    <s v="Rohit Patel"/>
    <x v="0"/>
    <x v="33"/>
    <x v="1"/>
    <s v="Executive"/>
    <x v="0"/>
    <n v="58000"/>
    <n v="19"/>
    <x v="3"/>
    <n v="2"/>
    <x v="1"/>
    <x v="1"/>
    <s v="Single"/>
    <s v="Bangalore"/>
    <x v="0"/>
    <x v="1"/>
    <s v="Senior"/>
    <s v="Needs Improvement"/>
    <s v="Dissatisfied"/>
  </r>
  <r>
    <s v="EMP197"/>
    <s v="Rohit Singh"/>
    <x v="0"/>
    <x v="27"/>
    <x v="5"/>
    <s v="Software Engineer"/>
    <x v="2"/>
    <n v="97000"/>
    <n v="8"/>
    <x v="1"/>
    <n v="2"/>
    <x v="1"/>
    <x v="1"/>
    <s v="Married"/>
    <s v="Pune"/>
    <x v="1"/>
    <x v="2"/>
    <s v="Senior"/>
    <s v="High Performer"/>
    <s v="Dissatisfied"/>
  </r>
  <r>
    <s v="EMP198"/>
    <s v="Priya Menon"/>
    <x v="1"/>
    <x v="16"/>
    <x v="2"/>
    <s v="Analyst"/>
    <x v="1"/>
    <n v="96000"/>
    <n v="6"/>
    <x v="1"/>
    <n v="4"/>
    <x v="1"/>
    <x v="1"/>
    <s v="Married"/>
    <s v="Mumbai"/>
    <x v="2"/>
    <x v="2"/>
    <s v="Mid-Level"/>
    <s v="High Performer"/>
    <s v="Satisfied"/>
  </r>
  <r>
    <s v="EMP199"/>
    <s v="Sanjay Menon"/>
    <x v="0"/>
    <x v="26"/>
    <x v="4"/>
    <s v="Executive"/>
    <x v="0"/>
    <n v="76000"/>
    <n v="11"/>
    <x v="2"/>
    <n v="4"/>
    <x v="1"/>
    <x v="1"/>
    <s v="Single"/>
    <s v="Kochi"/>
    <x v="2"/>
    <x v="2"/>
    <s v="Senior"/>
    <s v="High Performer"/>
    <s v="Satisfied"/>
  </r>
  <r>
    <s v="EMP200"/>
    <s v="Divya Kumar"/>
    <x v="1"/>
    <x v="16"/>
    <x v="5"/>
    <s v="Data Analyst"/>
    <x v="3"/>
    <n v="49000"/>
    <n v="6"/>
    <x v="2"/>
    <n v="3"/>
    <x v="1"/>
    <x v="1"/>
    <s v="Married"/>
    <s v="Chennai"/>
    <x v="2"/>
    <x v="1"/>
    <s v="Mid-Level"/>
    <s v="High Performer"/>
    <s v="Neutral"/>
  </r>
  <r>
    <s v="EMP201"/>
    <s v="Sanjay Sharma"/>
    <x v="0"/>
    <x v="14"/>
    <x v="0"/>
    <s v="HR Executive"/>
    <x v="2"/>
    <n v="108000"/>
    <n v="3"/>
    <x v="2"/>
    <n v="5"/>
    <x v="1"/>
    <x v="1"/>
    <s v="Married"/>
    <s v="Pune"/>
    <x v="3"/>
    <x v="2"/>
    <s v="Mid-Level"/>
    <s v="High Performer"/>
    <s v="Satisfied"/>
  </r>
  <r>
    <s v="EMP202"/>
    <s v="Pooja Singh"/>
    <x v="1"/>
    <x v="21"/>
    <x v="1"/>
    <s v="Executive"/>
    <x v="3"/>
    <n v="105000"/>
    <n v="5"/>
    <x v="1"/>
    <n v="3"/>
    <x v="1"/>
    <x v="1"/>
    <s v="Married"/>
    <s v="Kochi"/>
    <x v="3"/>
    <x v="2"/>
    <s v="Mid-Level"/>
    <s v="High Performer"/>
    <s v="Neutral"/>
  </r>
  <r>
    <s v="EMP203"/>
    <s v="Arjun Iyer"/>
    <x v="0"/>
    <x v="15"/>
    <x v="3"/>
    <s v="Manager"/>
    <x v="1"/>
    <n v="43000"/>
    <n v="3"/>
    <x v="1"/>
    <n v="4"/>
    <x v="1"/>
    <x v="1"/>
    <s v="Single"/>
    <s v="Bangalore"/>
    <x v="1"/>
    <x v="1"/>
    <s v="Mid-Level"/>
    <s v="High Performer"/>
    <s v="Satisfied"/>
  </r>
  <r>
    <s v="EMP204"/>
    <s v="Meera Menon"/>
    <x v="1"/>
    <x v="3"/>
    <x v="5"/>
    <s v="Data Analyst"/>
    <x v="3"/>
    <n v="75000"/>
    <n v="15"/>
    <x v="2"/>
    <n v="5"/>
    <x v="1"/>
    <x v="1"/>
    <s v="Single"/>
    <s v="Chennai"/>
    <x v="2"/>
    <x v="2"/>
    <s v="Senior"/>
    <s v="High Performer"/>
    <s v="Satisfied"/>
  </r>
  <r>
    <s v="EMP205"/>
    <s v="Ajay Patel"/>
    <x v="1"/>
    <x v="2"/>
    <x v="3"/>
    <s v="Executive"/>
    <x v="3"/>
    <n v="105000"/>
    <n v="4"/>
    <x v="2"/>
    <n v="1"/>
    <x v="1"/>
    <x v="1"/>
    <s v="Single"/>
    <s v="Bangalore"/>
    <x v="2"/>
    <x v="2"/>
    <s v="Mid-Level"/>
    <s v="High Performer"/>
    <s v="Dissatisfied"/>
  </r>
  <r>
    <s v="EMP206"/>
    <s v="Sanjay Sharma"/>
    <x v="0"/>
    <x v="15"/>
    <x v="0"/>
    <s v="Recruiter"/>
    <x v="3"/>
    <n v="120000"/>
    <n v="17"/>
    <x v="1"/>
    <n v="4"/>
    <x v="1"/>
    <x v="1"/>
    <s v="Married"/>
    <s v="Delhi"/>
    <x v="1"/>
    <x v="2"/>
    <s v="Senior"/>
    <s v="High Performer"/>
    <s v="Satisfied"/>
  </r>
  <r>
    <s v="EMP207"/>
    <s v="Vivek Patel"/>
    <x v="0"/>
    <x v="24"/>
    <x v="4"/>
    <s v="Manager"/>
    <x v="1"/>
    <n v="113000"/>
    <n v="10"/>
    <x v="2"/>
    <n v="3"/>
    <x v="1"/>
    <x v="1"/>
    <s v="Married"/>
    <s v="Coimbatore"/>
    <x v="2"/>
    <x v="2"/>
    <s v="Senior"/>
    <s v="High Performer"/>
    <s v="Neutral"/>
  </r>
  <r>
    <s v="EMP208"/>
    <s v="Anjali Iyer"/>
    <x v="1"/>
    <x v="12"/>
    <x v="5"/>
    <s v="Software Engineer"/>
    <x v="0"/>
    <n v="31000"/>
    <n v="0"/>
    <x v="1"/>
    <n v="1"/>
    <x v="0"/>
    <x v="0"/>
    <s v="Single"/>
    <s v="Hyderabad"/>
    <x v="3"/>
    <x v="0"/>
    <s v="Junior"/>
    <s v="High Performer"/>
    <s v="Dissatisfied"/>
  </r>
  <r>
    <s v="EMP209"/>
    <s v="Pooja Sharma"/>
    <x v="0"/>
    <x v="23"/>
    <x v="5"/>
    <s v="Data Analyst"/>
    <x v="1"/>
    <n v="50000"/>
    <n v="2"/>
    <x v="1"/>
    <n v="5"/>
    <x v="0"/>
    <x v="1"/>
    <s v="Single"/>
    <s v="Hyderabad"/>
    <x v="3"/>
    <x v="1"/>
    <s v="Junior"/>
    <s v="High Performer"/>
    <s v="Satisfied"/>
  </r>
  <r>
    <s v="EMP210"/>
    <s v="Ajay Reddy"/>
    <x v="1"/>
    <x v="15"/>
    <x v="5"/>
    <s v="Data Analyst"/>
    <x v="3"/>
    <n v="37000"/>
    <n v="18"/>
    <x v="1"/>
    <n v="4"/>
    <x v="0"/>
    <x v="1"/>
    <s v="Married"/>
    <s v="Hyderabad"/>
    <x v="1"/>
    <x v="0"/>
    <s v="Senior"/>
    <s v="High Performer"/>
    <s v="Satisfied"/>
  </r>
  <r>
    <s v="EMP211"/>
    <s v="Karthik Iyer"/>
    <x v="1"/>
    <x v="9"/>
    <x v="1"/>
    <s v="Manager"/>
    <x v="0"/>
    <n v="92000"/>
    <n v="8"/>
    <x v="2"/>
    <n v="2"/>
    <x v="0"/>
    <x v="0"/>
    <s v="Single"/>
    <s v="Pune"/>
    <x v="0"/>
    <x v="2"/>
    <s v="Senior"/>
    <s v="High Performer"/>
    <s v="Dissatisfied"/>
  </r>
  <r>
    <s v="EMP212"/>
    <s v="Anjali Nair"/>
    <x v="1"/>
    <x v="21"/>
    <x v="4"/>
    <s v="Executive"/>
    <x v="2"/>
    <n v="97000"/>
    <n v="1"/>
    <x v="2"/>
    <n v="4"/>
    <x v="0"/>
    <x v="1"/>
    <s v="Single"/>
    <s v="Delhi"/>
    <x v="3"/>
    <x v="2"/>
    <s v="Junior"/>
    <s v="High Performer"/>
    <s v="Satisfied"/>
  </r>
  <r>
    <s v="EMP213"/>
    <s v="Arjun Iyer"/>
    <x v="0"/>
    <x v="19"/>
    <x v="5"/>
    <s v="Software Engineer"/>
    <x v="1"/>
    <n v="64000"/>
    <n v="15"/>
    <x v="2"/>
    <n v="3"/>
    <x v="0"/>
    <x v="1"/>
    <s v="Single"/>
    <s v="Pune"/>
    <x v="2"/>
    <x v="1"/>
    <s v="Senior"/>
    <s v="High Performer"/>
    <s v="Neutral"/>
  </r>
  <r>
    <s v="EMP214"/>
    <s v="Rohit Verma"/>
    <x v="1"/>
    <x v="2"/>
    <x v="3"/>
    <s v="Executive"/>
    <x v="1"/>
    <n v="93000"/>
    <n v="3"/>
    <x v="1"/>
    <n v="2"/>
    <x v="0"/>
    <x v="0"/>
    <s v="Single"/>
    <s v="Mumbai"/>
    <x v="2"/>
    <x v="2"/>
    <s v="Mid-Level"/>
    <s v="High Performer"/>
    <s v="Dissatisfied"/>
  </r>
  <r>
    <s v="EMP215"/>
    <s v="Meera Reddy"/>
    <x v="1"/>
    <x v="31"/>
    <x v="5"/>
    <s v="Software Engineer"/>
    <x v="0"/>
    <n v="86000"/>
    <n v="2"/>
    <x v="0"/>
    <n v="1"/>
    <x v="0"/>
    <x v="1"/>
    <s v="Married"/>
    <s v="Hyderabad"/>
    <x v="3"/>
    <x v="2"/>
    <s v="Junior"/>
    <s v="Needs Improvement"/>
    <s v="Dissatisfied"/>
  </r>
  <r>
    <s v="EMP216"/>
    <s v="Sneha Reddy"/>
    <x v="0"/>
    <x v="3"/>
    <x v="0"/>
    <s v="HR Executive"/>
    <x v="1"/>
    <n v="71000"/>
    <n v="12"/>
    <x v="0"/>
    <n v="2"/>
    <x v="0"/>
    <x v="0"/>
    <s v="Single"/>
    <s v="Hyderabad"/>
    <x v="2"/>
    <x v="2"/>
    <s v="Senior"/>
    <s v="Needs Improvement"/>
    <s v="Dissatisfied"/>
  </r>
  <r>
    <s v="EMP217"/>
    <s v="Meera Kumar"/>
    <x v="0"/>
    <x v="33"/>
    <x v="0"/>
    <s v="Recruiter"/>
    <x v="0"/>
    <n v="35000"/>
    <n v="13"/>
    <x v="2"/>
    <n v="4"/>
    <x v="1"/>
    <x v="1"/>
    <s v="Married"/>
    <s v="Mumbai"/>
    <x v="0"/>
    <x v="0"/>
    <s v="Senior"/>
    <s v="High Performer"/>
    <s v="Satisfied"/>
  </r>
  <r>
    <s v="EMP218"/>
    <s v="Anjali Patel"/>
    <x v="0"/>
    <x v="33"/>
    <x v="2"/>
    <s v="Analyst"/>
    <x v="3"/>
    <n v="72000"/>
    <n v="5"/>
    <x v="3"/>
    <n v="2"/>
    <x v="1"/>
    <x v="1"/>
    <s v="Single"/>
    <s v="Coimbatore"/>
    <x v="0"/>
    <x v="2"/>
    <s v="Mid-Level"/>
    <s v="Needs Improvement"/>
    <s v="Dissatisfied"/>
  </r>
  <r>
    <s v="EMP219"/>
    <s v="Meera Verma"/>
    <x v="1"/>
    <x v="21"/>
    <x v="4"/>
    <s v="Executive"/>
    <x v="3"/>
    <n v="55000"/>
    <n v="5"/>
    <x v="3"/>
    <n v="4"/>
    <x v="1"/>
    <x v="1"/>
    <s v="Married"/>
    <s v="Chennai"/>
    <x v="3"/>
    <x v="1"/>
    <s v="Mid-Level"/>
    <s v="Needs Improvement"/>
    <s v="Satisfied"/>
  </r>
  <r>
    <s v="EMP220"/>
    <s v="Meera Nair"/>
    <x v="0"/>
    <x v="30"/>
    <x v="0"/>
    <s v="Recruiter"/>
    <x v="1"/>
    <n v="73000"/>
    <n v="5"/>
    <x v="2"/>
    <n v="5"/>
    <x v="1"/>
    <x v="1"/>
    <s v="Single"/>
    <s v="Bangalore"/>
    <x v="3"/>
    <x v="2"/>
    <s v="Mid-Level"/>
    <s v="High Performer"/>
    <s v="Satisfied"/>
  </r>
  <r>
    <s v="EMP221"/>
    <s v="Rahul Nair"/>
    <x v="1"/>
    <x v="13"/>
    <x v="0"/>
    <s v="HR Executive"/>
    <x v="3"/>
    <n v="118000"/>
    <n v="7"/>
    <x v="3"/>
    <n v="4"/>
    <x v="1"/>
    <x v="1"/>
    <s v="Married"/>
    <s v="Mumbai"/>
    <x v="0"/>
    <x v="2"/>
    <s v="Senior"/>
    <s v="Needs Improvement"/>
    <s v="Satisfied"/>
  </r>
  <r>
    <s v="EMP222"/>
    <s v="Karthik Verma"/>
    <x v="0"/>
    <x v="26"/>
    <x v="0"/>
    <s v="Recruiter"/>
    <x v="2"/>
    <n v="112000"/>
    <n v="11"/>
    <x v="2"/>
    <n v="4"/>
    <x v="0"/>
    <x v="0"/>
    <s v="Single"/>
    <s v="Hyderabad"/>
    <x v="2"/>
    <x v="2"/>
    <s v="Senior"/>
    <s v="High Performer"/>
    <s v="Satisfied"/>
  </r>
  <r>
    <s v="EMP223"/>
    <s v="Arjun Singh"/>
    <x v="1"/>
    <x v="10"/>
    <x v="0"/>
    <s v="HR Executive"/>
    <x v="2"/>
    <n v="50000"/>
    <n v="19"/>
    <x v="0"/>
    <n v="3"/>
    <x v="0"/>
    <x v="1"/>
    <s v="Single"/>
    <s v="Chennai"/>
    <x v="1"/>
    <x v="1"/>
    <s v="Senior"/>
    <s v="Needs Improvement"/>
    <s v="Neutral"/>
  </r>
  <r>
    <s v="EMP224"/>
    <s v="Divya Patel"/>
    <x v="0"/>
    <x v="23"/>
    <x v="0"/>
    <s v="Recruiter"/>
    <x v="3"/>
    <n v="71000"/>
    <n v="4"/>
    <x v="0"/>
    <n v="4"/>
    <x v="0"/>
    <x v="1"/>
    <s v="Married"/>
    <s v="Pune"/>
    <x v="3"/>
    <x v="2"/>
    <s v="Mid-Level"/>
    <s v="Needs Improvement"/>
    <s v="Satisfied"/>
  </r>
  <r>
    <s v="EMP225"/>
    <s v="Sanjay Sharma"/>
    <x v="1"/>
    <x v="15"/>
    <x v="0"/>
    <s v="HR Executive"/>
    <x v="3"/>
    <n v="107000"/>
    <n v="5"/>
    <x v="0"/>
    <n v="1"/>
    <x v="1"/>
    <x v="1"/>
    <s v="Single"/>
    <s v="Kochi"/>
    <x v="1"/>
    <x v="2"/>
    <s v="Mid-Level"/>
    <s v="Needs Improvement"/>
    <s v="Dissatisfied"/>
  </r>
  <r>
    <s v="EMP226"/>
    <s v="Arjun Verma"/>
    <x v="1"/>
    <x v="13"/>
    <x v="4"/>
    <s v="Executive"/>
    <x v="3"/>
    <n v="55000"/>
    <n v="19"/>
    <x v="2"/>
    <n v="2"/>
    <x v="0"/>
    <x v="0"/>
    <s v="Single"/>
    <s v="Pune"/>
    <x v="0"/>
    <x v="1"/>
    <s v="Senior"/>
    <s v="High Performer"/>
    <s v="Dissatisfied"/>
  </r>
  <r>
    <s v="EMP227"/>
    <s v="Vivek Nair"/>
    <x v="1"/>
    <x v="21"/>
    <x v="2"/>
    <s v="Analyst"/>
    <x v="3"/>
    <n v="64000"/>
    <n v="2"/>
    <x v="1"/>
    <n v="3"/>
    <x v="1"/>
    <x v="1"/>
    <s v="Married"/>
    <s v="Mumbai"/>
    <x v="3"/>
    <x v="1"/>
    <s v="Junior"/>
    <s v="High Performer"/>
    <s v="Neutral"/>
  </r>
  <r>
    <s v="EMP228"/>
    <s v="Sneha Iyer"/>
    <x v="1"/>
    <x v="9"/>
    <x v="3"/>
    <s v="Manager"/>
    <x v="3"/>
    <n v="94000"/>
    <n v="10"/>
    <x v="2"/>
    <n v="4"/>
    <x v="1"/>
    <x v="1"/>
    <s v="Single"/>
    <s v="Kochi"/>
    <x v="0"/>
    <x v="2"/>
    <s v="Senior"/>
    <s v="High Performer"/>
    <s v="Satisfied"/>
  </r>
  <r>
    <s v="EMP229"/>
    <s v="Meera Singh"/>
    <x v="0"/>
    <x v="19"/>
    <x v="0"/>
    <s v="HR Executive"/>
    <x v="2"/>
    <n v="84000"/>
    <n v="4"/>
    <x v="0"/>
    <n v="1"/>
    <x v="0"/>
    <x v="0"/>
    <s v="Single"/>
    <s v="Mumbai"/>
    <x v="2"/>
    <x v="2"/>
    <s v="Mid-Level"/>
    <s v="Needs Improvement"/>
    <s v="Dissatisfied"/>
  </r>
  <r>
    <s v="EMP230"/>
    <s v="Pooja Reddy"/>
    <x v="1"/>
    <x v="19"/>
    <x v="1"/>
    <s v="Manager"/>
    <x v="1"/>
    <n v="75000"/>
    <n v="3"/>
    <x v="0"/>
    <n v="4"/>
    <x v="0"/>
    <x v="1"/>
    <s v="Single"/>
    <s v="Delhi"/>
    <x v="2"/>
    <x v="2"/>
    <s v="Mid-Level"/>
    <s v="Needs Improvement"/>
    <s v="Satisfied"/>
  </r>
  <r>
    <s v="EMP231"/>
    <s v="Rohit Iyer"/>
    <x v="1"/>
    <x v="20"/>
    <x v="4"/>
    <s v="Executive"/>
    <x v="3"/>
    <n v="72000"/>
    <n v="9"/>
    <x v="0"/>
    <n v="3"/>
    <x v="1"/>
    <x v="1"/>
    <s v="Single"/>
    <s v="Mumbai"/>
    <x v="0"/>
    <x v="2"/>
    <s v="Senior"/>
    <s v="Needs Improvement"/>
    <s v="Neutral"/>
  </r>
  <r>
    <s v="EMP232"/>
    <s v="Ajay Nair"/>
    <x v="0"/>
    <x v="6"/>
    <x v="1"/>
    <s v="Manager"/>
    <x v="1"/>
    <n v="31000"/>
    <n v="6"/>
    <x v="0"/>
    <n v="4"/>
    <x v="1"/>
    <x v="1"/>
    <s v="Married"/>
    <s v="Chennai"/>
    <x v="2"/>
    <x v="0"/>
    <s v="Mid-Level"/>
    <s v="Needs Improvement"/>
    <s v="Satisfied"/>
  </r>
  <r>
    <s v="EMP233"/>
    <s v="Ajay Singh"/>
    <x v="0"/>
    <x v="20"/>
    <x v="5"/>
    <s v="Software Engineer"/>
    <x v="3"/>
    <n v="27000"/>
    <n v="9"/>
    <x v="3"/>
    <n v="1"/>
    <x v="1"/>
    <x v="1"/>
    <s v="Married"/>
    <s v="Pune"/>
    <x v="0"/>
    <x v="0"/>
    <s v="Senior"/>
    <s v="Needs Improvement"/>
    <s v="Dissatisfied"/>
  </r>
  <r>
    <s v="EMP234"/>
    <s v="Anjali Nair"/>
    <x v="1"/>
    <x v="24"/>
    <x v="3"/>
    <s v="Executive"/>
    <x v="2"/>
    <n v="79000"/>
    <n v="9"/>
    <x v="1"/>
    <n v="4"/>
    <x v="0"/>
    <x v="1"/>
    <s v="Married"/>
    <s v="Bangalore"/>
    <x v="2"/>
    <x v="2"/>
    <s v="Senior"/>
    <s v="High Performer"/>
    <s v="Satisfied"/>
  </r>
  <r>
    <s v="EMP235"/>
    <s v="Rahul Kumar"/>
    <x v="0"/>
    <x v="18"/>
    <x v="5"/>
    <s v="Data Analyst"/>
    <x v="2"/>
    <n v="83000"/>
    <n v="2"/>
    <x v="3"/>
    <n v="4"/>
    <x v="0"/>
    <x v="1"/>
    <s v="Married"/>
    <s v="Mumbai"/>
    <x v="3"/>
    <x v="2"/>
    <s v="Junior"/>
    <s v="Needs Improvement"/>
    <s v="Satisfied"/>
  </r>
  <r>
    <s v="EMP236"/>
    <s v="Vivek Raj"/>
    <x v="0"/>
    <x v="31"/>
    <x v="1"/>
    <s v="Executive"/>
    <x v="1"/>
    <n v="104000"/>
    <n v="2"/>
    <x v="2"/>
    <n v="5"/>
    <x v="0"/>
    <x v="0"/>
    <s v="Single"/>
    <s v="Mumbai"/>
    <x v="3"/>
    <x v="2"/>
    <s v="Junior"/>
    <s v="High Performer"/>
    <s v="Satisfied"/>
  </r>
  <r>
    <s v="EMP237"/>
    <s v="Arjun Reddy"/>
    <x v="1"/>
    <x v="10"/>
    <x v="2"/>
    <s v="Analyst"/>
    <x v="0"/>
    <n v="57000"/>
    <n v="15"/>
    <x v="3"/>
    <n v="1"/>
    <x v="0"/>
    <x v="0"/>
    <s v="Single"/>
    <s v="Mumbai"/>
    <x v="1"/>
    <x v="1"/>
    <s v="Senior"/>
    <s v="Needs Improvement"/>
    <s v="Dissatisfied"/>
  </r>
  <r>
    <s v="EMP238"/>
    <s v="Amit Sharma"/>
    <x v="1"/>
    <x v="19"/>
    <x v="4"/>
    <s v="Executive"/>
    <x v="1"/>
    <n v="109000"/>
    <n v="11"/>
    <x v="0"/>
    <n v="1"/>
    <x v="0"/>
    <x v="1"/>
    <s v="Married"/>
    <s v="Bangalore"/>
    <x v="2"/>
    <x v="2"/>
    <s v="Senior"/>
    <s v="Needs Improvement"/>
    <s v="Dissatisfied"/>
  </r>
  <r>
    <s v="EMP239"/>
    <s v="Nisha Reddy"/>
    <x v="0"/>
    <x v="24"/>
    <x v="3"/>
    <s v="Executive"/>
    <x v="1"/>
    <n v="119000"/>
    <n v="2"/>
    <x v="1"/>
    <n v="5"/>
    <x v="1"/>
    <x v="1"/>
    <s v="Married"/>
    <s v="Delhi"/>
    <x v="2"/>
    <x v="2"/>
    <s v="Junior"/>
    <s v="High Performer"/>
    <s v="Satisfied"/>
  </r>
  <r>
    <s v="EMP240"/>
    <s v="Divya Reddy"/>
    <x v="0"/>
    <x v="31"/>
    <x v="2"/>
    <s v="Analyst"/>
    <x v="3"/>
    <n v="120000"/>
    <n v="2"/>
    <x v="1"/>
    <n v="5"/>
    <x v="1"/>
    <x v="1"/>
    <s v="Single"/>
    <s v="Chennai"/>
    <x v="3"/>
    <x v="2"/>
    <s v="Junior"/>
    <s v="High Performer"/>
    <s v="Satisfied"/>
  </r>
  <r>
    <s v="EMP241"/>
    <s v="Nisha Nair"/>
    <x v="0"/>
    <x v="10"/>
    <x v="2"/>
    <s v="Accountant"/>
    <x v="2"/>
    <n v="67000"/>
    <n v="11"/>
    <x v="1"/>
    <n v="2"/>
    <x v="0"/>
    <x v="0"/>
    <s v="Married"/>
    <s v="Bangalore"/>
    <x v="1"/>
    <x v="1"/>
    <s v="Senior"/>
    <s v="High Performer"/>
    <s v="Dissatisfied"/>
  </r>
  <r>
    <s v="EMP242"/>
    <s v="Priya Nair"/>
    <x v="0"/>
    <x v="32"/>
    <x v="3"/>
    <s v="Manager"/>
    <x v="2"/>
    <n v="77000"/>
    <n v="20"/>
    <x v="3"/>
    <n v="5"/>
    <x v="0"/>
    <x v="1"/>
    <s v="Single"/>
    <s v="Hyderabad"/>
    <x v="1"/>
    <x v="2"/>
    <s v="Senior"/>
    <s v="Needs Improvement"/>
    <s v="Satisfied"/>
  </r>
  <r>
    <s v="EMP243"/>
    <s v="Meera Reddy"/>
    <x v="0"/>
    <x v="21"/>
    <x v="5"/>
    <s v="Software Engineer"/>
    <x v="2"/>
    <n v="65000"/>
    <n v="5"/>
    <x v="2"/>
    <n v="5"/>
    <x v="0"/>
    <x v="1"/>
    <s v="Married"/>
    <s v="Mumbai"/>
    <x v="3"/>
    <x v="1"/>
    <s v="Mid-Level"/>
    <s v="High Performer"/>
    <s v="Satisfied"/>
  </r>
  <r>
    <s v="EMP244"/>
    <s v="Rohit Kumar"/>
    <x v="1"/>
    <x v="5"/>
    <x v="2"/>
    <s v="Accountant"/>
    <x v="2"/>
    <n v="68000"/>
    <n v="15"/>
    <x v="0"/>
    <n v="3"/>
    <x v="1"/>
    <x v="1"/>
    <s v="Married"/>
    <s v="Chennai"/>
    <x v="0"/>
    <x v="1"/>
    <s v="Senior"/>
    <s v="Needs Improvement"/>
    <s v="Neutral"/>
  </r>
  <r>
    <s v="EMP245"/>
    <s v="Sneha Verma"/>
    <x v="0"/>
    <x v="7"/>
    <x v="5"/>
    <s v="Software Engineer"/>
    <x v="2"/>
    <n v="94000"/>
    <n v="11"/>
    <x v="2"/>
    <n v="4"/>
    <x v="0"/>
    <x v="1"/>
    <s v="Single"/>
    <s v="Bangalore"/>
    <x v="0"/>
    <x v="2"/>
    <s v="Senior"/>
    <s v="High Performer"/>
    <s v="Satisfied"/>
  </r>
  <r>
    <s v="EMP246"/>
    <s v="Amit Nair"/>
    <x v="0"/>
    <x v="2"/>
    <x v="5"/>
    <s v="Software Engineer"/>
    <x v="3"/>
    <n v="53000"/>
    <n v="11"/>
    <x v="0"/>
    <n v="2"/>
    <x v="0"/>
    <x v="0"/>
    <s v="Married"/>
    <s v="Pune"/>
    <x v="2"/>
    <x v="1"/>
    <s v="Senior"/>
    <s v="Needs Improvement"/>
    <s v="Dissatisfied"/>
  </r>
  <r>
    <s v="EMP247"/>
    <s v="Neha Raj"/>
    <x v="1"/>
    <x v="24"/>
    <x v="5"/>
    <s v="Data Analyst"/>
    <x v="2"/>
    <n v="57000"/>
    <n v="6"/>
    <x v="3"/>
    <n v="3"/>
    <x v="0"/>
    <x v="1"/>
    <s v="Married"/>
    <s v="Coimbatore"/>
    <x v="2"/>
    <x v="1"/>
    <s v="Mid-Level"/>
    <s v="Needs Improvement"/>
    <s v="Neutral"/>
  </r>
  <r>
    <s v="EMP248"/>
    <s v="Sanjay Iyer"/>
    <x v="0"/>
    <x v="28"/>
    <x v="0"/>
    <s v="Recruiter"/>
    <x v="1"/>
    <n v="53000"/>
    <n v="2"/>
    <x v="3"/>
    <n v="2"/>
    <x v="0"/>
    <x v="1"/>
    <s v="Single"/>
    <s v="Coimbatore"/>
    <x v="0"/>
    <x v="1"/>
    <s v="Junior"/>
    <s v="Needs Improvement"/>
    <s v="Dissatisfied"/>
  </r>
  <r>
    <s v="EMP249"/>
    <s v="Karthik Reddy"/>
    <x v="1"/>
    <x v="31"/>
    <x v="1"/>
    <s v="Executive"/>
    <x v="2"/>
    <n v="53000"/>
    <n v="2"/>
    <x v="2"/>
    <n v="1"/>
    <x v="1"/>
    <x v="1"/>
    <s v="Single"/>
    <s v="Mumbai"/>
    <x v="3"/>
    <x v="1"/>
    <s v="Junior"/>
    <s v="High Performer"/>
    <s v="Dissatisfied"/>
  </r>
  <r>
    <s v="EMP250"/>
    <s v="Karthik Verma"/>
    <x v="1"/>
    <x v="9"/>
    <x v="3"/>
    <s v="Executive"/>
    <x v="2"/>
    <n v="71000"/>
    <n v="13"/>
    <x v="2"/>
    <n v="5"/>
    <x v="0"/>
    <x v="1"/>
    <s v="Married"/>
    <s v="Mumbai"/>
    <x v="0"/>
    <x v="2"/>
    <s v="Senior"/>
    <s v="High Performer"/>
    <s v="Satisfied"/>
  </r>
  <r>
    <s v="EMP251"/>
    <s v="Neha Menon"/>
    <x v="1"/>
    <x v="2"/>
    <x v="3"/>
    <s v="Manager"/>
    <x v="3"/>
    <n v="96000"/>
    <n v="12"/>
    <x v="2"/>
    <n v="3"/>
    <x v="0"/>
    <x v="1"/>
    <s v="Single"/>
    <s v="Bangalore"/>
    <x v="2"/>
    <x v="2"/>
    <s v="Senior"/>
    <s v="High Performer"/>
    <s v="Neutral"/>
  </r>
  <r>
    <s v="EMP252"/>
    <s v="Neha Sharma"/>
    <x v="1"/>
    <x v="26"/>
    <x v="3"/>
    <s v="Executive"/>
    <x v="2"/>
    <n v="58000"/>
    <n v="11"/>
    <x v="2"/>
    <n v="1"/>
    <x v="0"/>
    <x v="0"/>
    <s v="Single"/>
    <s v="Chennai"/>
    <x v="2"/>
    <x v="1"/>
    <s v="Senior"/>
    <s v="High Performer"/>
    <s v="Dissatisfied"/>
  </r>
  <r>
    <s v="EMP253"/>
    <s v="Nisha Raj"/>
    <x v="1"/>
    <x v="18"/>
    <x v="5"/>
    <s v="Software Engineer"/>
    <x v="2"/>
    <n v="83000"/>
    <n v="2"/>
    <x v="3"/>
    <n v="2"/>
    <x v="1"/>
    <x v="1"/>
    <s v="Single"/>
    <s v="Kochi"/>
    <x v="3"/>
    <x v="2"/>
    <s v="Junior"/>
    <s v="Needs Improvement"/>
    <s v="Dissatisfied"/>
  </r>
  <r>
    <s v="EMP254"/>
    <s v="Neha Verma"/>
    <x v="1"/>
    <x v="28"/>
    <x v="2"/>
    <s v="Analyst"/>
    <x v="2"/>
    <n v="70000"/>
    <n v="10"/>
    <x v="3"/>
    <n v="5"/>
    <x v="0"/>
    <x v="0"/>
    <s v="Married"/>
    <s v="Coimbatore"/>
    <x v="0"/>
    <x v="2"/>
    <s v="Senior"/>
    <s v="Needs Improvement"/>
    <s v="Satisfied"/>
  </r>
  <r>
    <s v="EMP255"/>
    <s v="Rahul Patel"/>
    <x v="0"/>
    <x v="5"/>
    <x v="5"/>
    <s v="Data Analyst"/>
    <x v="2"/>
    <n v="40000"/>
    <n v="9"/>
    <x v="2"/>
    <n v="2"/>
    <x v="1"/>
    <x v="1"/>
    <s v="Single"/>
    <s v="Chennai"/>
    <x v="0"/>
    <x v="1"/>
    <s v="Senior"/>
    <s v="High Performer"/>
    <s v="Dissatisfied"/>
  </r>
  <r>
    <s v="EMP256"/>
    <s v="Ajay Verma"/>
    <x v="0"/>
    <x v="32"/>
    <x v="0"/>
    <s v="HR Executive"/>
    <x v="3"/>
    <n v="51000"/>
    <n v="7"/>
    <x v="2"/>
    <n v="1"/>
    <x v="0"/>
    <x v="0"/>
    <s v="Single"/>
    <s v="Coimbatore"/>
    <x v="1"/>
    <x v="1"/>
    <s v="Senior"/>
    <s v="High Performer"/>
    <s v="Dissatisfied"/>
  </r>
  <r>
    <s v="EMP257"/>
    <s v="Priya Verma"/>
    <x v="0"/>
    <x v="2"/>
    <x v="1"/>
    <s v="Manager"/>
    <x v="2"/>
    <n v="34000"/>
    <n v="9"/>
    <x v="0"/>
    <n v="2"/>
    <x v="1"/>
    <x v="1"/>
    <s v="Single"/>
    <s v="Pune"/>
    <x v="2"/>
    <x v="0"/>
    <s v="Senior"/>
    <s v="Needs Improvement"/>
    <s v="Dissatisfied"/>
  </r>
  <r>
    <s v="EMP258"/>
    <s v="Meera Reddy"/>
    <x v="1"/>
    <x v="1"/>
    <x v="1"/>
    <s v="Executive"/>
    <x v="3"/>
    <n v="26000"/>
    <n v="9"/>
    <x v="3"/>
    <n v="4"/>
    <x v="1"/>
    <x v="1"/>
    <s v="Married"/>
    <s v="Pune"/>
    <x v="1"/>
    <x v="0"/>
    <s v="Senior"/>
    <s v="Needs Improvement"/>
    <s v="Satisfied"/>
  </r>
  <r>
    <s v="EMP259"/>
    <s v="Nisha Reddy"/>
    <x v="0"/>
    <x v="4"/>
    <x v="0"/>
    <s v="HR Executive"/>
    <x v="0"/>
    <n v="29000"/>
    <n v="0"/>
    <x v="0"/>
    <n v="3"/>
    <x v="0"/>
    <x v="1"/>
    <s v="Married"/>
    <s v="Hyderabad"/>
    <x v="2"/>
    <x v="0"/>
    <s v="Junior"/>
    <s v="Needs Improvement"/>
    <s v="Neutral"/>
  </r>
  <r>
    <s v="EMP260"/>
    <s v="Nisha Patel"/>
    <x v="1"/>
    <x v="3"/>
    <x v="0"/>
    <s v="Recruiter"/>
    <x v="1"/>
    <n v="105000"/>
    <n v="16"/>
    <x v="3"/>
    <n v="2"/>
    <x v="0"/>
    <x v="0"/>
    <s v="Married"/>
    <s v="Kochi"/>
    <x v="2"/>
    <x v="2"/>
    <s v="Senior"/>
    <s v="Needs Improvement"/>
    <s v="Dissatisfied"/>
  </r>
  <r>
    <s v="EMP261"/>
    <s v="Pooja Iyer"/>
    <x v="0"/>
    <x v="13"/>
    <x v="2"/>
    <s v="Analyst"/>
    <x v="3"/>
    <n v="50000"/>
    <n v="10"/>
    <x v="0"/>
    <n v="1"/>
    <x v="0"/>
    <x v="0"/>
    <s v="Married"/>
    <s v="Chennai"/>
    <x v="0"/>
    <x v="1"/>
    <s v="Senior"/>
    <s v="Needs Improvement"/>
    <s v="Dissatisfied"/>
  </r>
  <r>
    <s v="EMP262"/>
    <s v="Arjun Kumar"/>
    <x v="0"/>
    <x v="20"/>
    <x v="2"/>
    <s v="Analyst"/>
    <x v="0"/>
    <n v="120000"/>
    <n v="2"/>
    <x v="3"/>
    <n v="1"/>
    <x v="1"/>
    <x v="1"/>
    <s v="Single"/>
    <s v="Hyderabad"/>
    <x v="0"/>
    <x v="2"/>
    <s v="Junior"/>
    <s v="Needs Improvement"/>
    <s v="Dissatisfied"/>
  </r>
  <r>
    <s v="EMP263"/>
    <s v="Meera Reddy"/>
    <x v="1"/>
    <x v="17"/>
    <x v="2"/>
    <s v="Analyst"/>
    <x v="3"/>
    <n v="82000"/>
    <n v="1"/>
    <x v="0"/>
    <n v="4"/>
    <x v="0"/>
    <x v="1"/>
    <s v="Married"/>
    <s v="Pune"/>
    <x v="3"/>
    <x v="2"/>
    <s v="Junior"/>
    <s v="Needs Improvement"/>
    <s v="Satisfied"/>
  </r>
  <r>
    <s v="EMP264"/>
    <s v="Rohit Iyer"/>
    <x v="0"/>
    <x v="6"/>
    <x v="0"/>
    <s v="Recruiter"/>
    <x v="2"/>
    <n v="35000"/>
    <n v="8"/>
    <x v="0"/>
    <n v="1"/>
    <x v="1"/>
    <x v="0"/>
    <s v="Single"/>
    <s v="Hyderabad"/>
    <x v="2"/>
    <x v="0"/>
    <s v="Senior"/>
    <s v="Needs Improvement"/>
    <s v="Dissatisfied"/>
  </r>
  <r>
    <s v="EMP265"/>
    <s v="Nisha Menon"/>
    <x v="1"/>
    <x v="2"/>
    <x v="3"/>
    <s v="Manager"/>
    <x v="3"/>
    <n v="51000"/>
    <n v="10"/>
    <x v="2"/>
    <n v="3"/>
    <x v="1"/>
    <x v="1"/>
    <s v="Married"/>
    <s v="Coimbatore"/>
    <x v="2"/>
    <x v="1"/>
    <s v="Senior"/>
    <s v="High Performer"/>
    <s v="Neutral"/>
  </r>
  <r>
    <s v="EMP266"/>
    <s v="Ajay Singh"/>
    <x v="1"/>
    <x v="19"/>
    <x v="2"/>
    <s v="Analyst"/>
    <x v="1"/>
    <n v="48000"/>
    <n v="12"/>
    <x v="0"/>
    <n v="5"/>
    <x v="1"/>
    <x v="1"/>
    <s v="Married"/>
    <s v="Pune"/>
    <x v="2"/>
    <x v="1"/>
    <s v="Senior"/>
    <s v="Needs Improvement"/>
    <s v="Satisfied"/>
  </r>
  <r>
    <s v="EMP267"/>
    <s v="Ajay Sharma"/>
    <x v="0"/>
    <x v="14"/>
    <x v="4"/>
    <s v="Manager"/>
    <x v="2"/>
    <n v="75000"/>
    <n v="0"/>
    <x v="0"/>
    <n v="1"/>
    <x v="1"/>
    <x v="1"/>
    <s v="Single"/>
    <s v="Bangalore"/>
    <x v="3"/>
    <x v="2"/>
    <s v="Junior"/>
    <s v="Needs Improvement"/>
    <s v="Dissatisfied"/>
  </r>
  <r>
    <s v="EMP268"/>
    <s v="Neha Nair"/>
    <x v="1"/>
    <x v="10"/>
    <x v="1"/>
    <s v="Manager"/>
    <x v="3"/>
    <n v="109000"/>
    <n v="6"/>
    <x v="2"/>
    <n v="3"/>
    <x v="0"/>
    <x v="1"/>
    <s v="Single"/>
    <s v="Pune"/>
    <x v="1"/>
    <x v="2"/>
    <s v="Mid-Level"/>
    <s v="High Performer"/>
    <s v="Neutral"/>
  </r>
  <r>
    <s v="EMP269"/>
    <s v="Pooja Reddy"/>
    <x v="0"/>
    <x v="14"/>
    <x v="3"/>
    <s v="Executive"/>
    <x v="2"/>
    <n v="89000"/>
    <n v="3"/>
    <x v="2"/>
    <n v="5"/>
    <x v="0"/>
    <x v="1"/>
    <s v="Married"/>
    <s v="Pune"/>
    <x v="3"/>
    <x v="2"/>
    <s v="Mid-Level"/>
    <s v="High Performer"/>
    <s v="Satisfied"/>
  </r>
  <r>
    <s v="EMP270"/>
    <s v="Ajay Reddy"/>
    <x v="1"/>
    <x v="1"/>
    <x v="5"/>
    <s v="Data Analyst"/>
    <x v="1"/>
    <n v="100000"/>
    <n v="19"/>
    <x v="0"/>
    <n v="5"/>
    <x v="1"/>
    <x v="1"/>
    <s v="Married"/>
    <s v="Mumbai"/>
    <x v="1"/>
    <x v="2"/>
    <s v="Senior"/>
    <s v="Needs Improvement"/>
    <s v="Satisfied"/>
  </r>
  <r>
    <s v="EMP271"/>
    <s v="Sneha Raj"/>
    <x v="0"/>
    <x v="17"/>
    <x v="5"/>
    <s v="Software Engineer"/>
    <x v="3"/>
    <n v="25000"/>
    <n v="1"/>
    <x v="0"/>
    <n v="2"/>
    <x v="1"/>
    <x v="1"/>
    <s v="Single"/>
    <s v="Mumbai"/>
    <x v="3"/>
    <x v="0"/>
    <s v="Junior"/>
    <s v="Needs Improvement"/>
    <s v="Dissatisfied"/>
  </r>
  <r>
    <s v="EMP272"/>
    <s v="Anjali Iyer"/>
    <x v="1"/>
    <x v="17"/>
    <x v="3"/>
    <s v="Manager"/>
    <x v="0"/>
    <n v="99000"/>
    <n v="1"/>
    <x v="0"/>
    <n v="3"/>
    <x v="0"/>
    <x v="1"/>
    <s v="Single"/>
    <s v="Chennai"/>
    <x v="3"/>
    <x v="2"/>
    <s v="Junior"/>
    <s v="Needs Improvement"/>
    <s v="Neutral"/>
  </r>
  <r>
    <s v="EMP273"/>
    <s v="Meera Sharma"/>
    <x v="1"/>
    <x v="22"/>
    <x v="0"/>
    <s v="Recruiter"/>
    <x v="1"/>
    <n v="80000"/>
    <n v="2"/>
    <x v="3"/>
    <n v="4"/>
    <x v="0"/>
    <x v="1"/>
    <s v="Married"/>
    <s v="Bangalore"/>
    <x v="2"/>
    <x v="2"/>
    <s v="Junior"/>
    <s v="Needs Improvement"/>
    <s v="Satisfied"/>
  </r>
  <r>
    <s v="EMP274"/>
    <s v="Sanjay Raj"/>
    <x v="0"/>
    <x v="21"/>
    <x v="1"/>
    <s v="Manager"/>
    <x v="2"/>
    <n v="26000"/>
    <n v="2"/>
    <x v="2"/>
    <n v="2"/>
    <x v="0"/>
    <x v="0"/>
    <s v="Single"/>
    <s v="Chennai"/>
    <x v="3"/>
    <x v="0"/>
    <s v="Junior"/>
    <s v="High Performer"/>
    <s v="Dissatisfied"/>
  </r>
  <r>
    <s v="EMP275"/>
    <s v="Amit Sharma"/>
    <x v="1"/>
    <x v="22"/>
    <x v="2"/>
    <s v="Analyst"/>
    <x v="3"/>
    <n v="41000"/>
    <n v="6"/>
    <x v="3"/>
    <n v="4"/>
    <x v="1"/>
    <x v="1"/>
    <s v="Married"/>
    <s v="Coimbatore"/>
    <x v="2"/>
    <x v="1"/>
    <s v="Mid-Level"/>
    <s v="Needs Improvement"/>
    <s v="Satisfied"/>
  </r>
  <r>
    <s v="EMP276"/>
    <s v="Arjun Verma"/>
    <x v="0"/>
    <x v="6"/>
    <x v="1"/>
    <s v="Manager"/>
    <x v="1"/>
    <n v="65000"/>
    <n v="1"/>
    <x v="3"/>
    <n v="2"/>
    <x v="1"/>
    <x v="1"/>
    <s v="Married"/>
    <s v="Bangalore"/>
    <x v="2"/>
    <x v="1"/>
    <s v="Junior"/>
    <s v="Needs Improvement"/>
    <s v="Dissatisfied"/>
  </r>
  <r>
    <s v="EMP277"/>
    <s v="Amit Patel"/>
    <x v="0"/>
    <x v="6"/>
    <x v="0"/>
    <s v="Recruiter"/>
    <x v="0"/>
    <n v="113000"/>
    <n v="9"/>
    <x v="2"/>
    <n v="2"/>
    <x v="1"/>
    <x v="1"/>
    <s v="Single"/>
    <s v="Chennai"/>
    <x v="2"/>
    <x v="2"/>
    <s v="Senior"/>
    <s v="High Performer"/>
    <s v="Dissatisfied"/>
  </r>
  <r>
    <s v="EMP278"/>
    <s v="Meera Menon"/>
    <x v="1"/>
    <x v="10"/>
    <x v="0"/>
    <s v="HR Executive"/>
    <x v="0"/>
    <n v="55000"/>
    <n v="0"/>
    <x v="1"/>
    <n v="5"/>
    <x v="0"/>
    <x v="1"/>
    <s v="Married"/>
    <s v="Pune"/>
    <x v="1"/>
    <x v="1"/>
    <s v="Junior"/>
    <s v="High Performer"/>
    <s v="Satisfied"/>
  </r>
  <r>
    <s v="EMP279"/>
    <s v="Ajay Raj"/>
    <x v="1"/>
    <x v="31"/>
    <x v="3"/>
    <s v="Manager"/>
    <x v="3"/>
    <n v="39000"/>
    <n v="2"/>
    <x v="0"/>
    <n v="2"/>
    <x v="1"/>
    <x v="1"/>
    <s v="Single"/>
    <s v="Chennai"/>
    <x v="3"/>
    <x v="0"/>
    <s v="Junior"/>
    <s v="Needs Improvement"/>
    <s v="Dissatisfied"/>
  </r>
  <r>
    <s v="EMP280"/>
    <s v="Sanjay Kumar"/>
    <x v="1"/>
    <x v="3"/>
    <x v="0"/>
    <s v="Recruiter"/>
    <x v="3"/>
    <n v="29000"/>
    <n v="9"/>
    <x v="0"/>
    <n v="3"/>
    <x v="0"/>
    <x v="1"/>
    <s v="Married"/>
    <s v="Mumbai"/>
    <x v="2"/>
    <x v="0"/>
    <s v="Senior"/>
    <s v="Needs Improvement"/>
    <s v="Neutral"/>
  </r>
  <r>
    <s v="EMP281"/>
    <s v="Sneha Kumar"/>
    <x v="0"/>
    <x v="1"/>
    <x v="1"/>
    <s v="Executive"/>
    <x v="3"/>
    <n v="62000"/>
    <n v="9"/>
    <x v="2"/>
    <n v="3"/>
    <x v="1"/>
    <x v="1"/>
    <s v="Single"/>
    <s v="Pune"/>
    <x v="1"/>
    <x v="1"/>
    <s v="Senior"/>
    <s v="High Performer"/>
    <s v="Neutral"/>
  </r>
  <r>
    <s v="EMP282"/>
    <s v="Vivek Singh"/>
    <x v="0"/>
    <x v="28"/>
    <x v="3"/>
    <s v="Executive"/>
    <x v="3"/>
    <n v="118000"/>
    <n v="7"/>
    <x v="2"/>
    <n v="1"/>
    <x v="1"/>
    <x v="1"/>
    <s v="Married"/>
    <s v="Hyderabad"/>
    <x v="0"/>
    <x v="2"/>
    <s v="Senior"/>
    <s v="High Performer"/>
    <s v="Dissatisfied"/>
  </r>
  <r>
    <s v="EMP283"/>
    <s v="Vivek Raj"/>
    <x v="1"/>
    <x v="24"/>
    <x v="5"/>
    <s v="Software Engineer"/>
    <x v="2"/>
    <n v="36000"/>
    <n v="10"/>
    <x v="0"/>
    <n v="5"/>
    <x v="0"/>
    <x v="1"/>
    <s v="Single"/>
    <s v="Pune"/>
    <x v="2"/>
    <x v="0"/>
    <s v="Senior"/>
    <s v="Needs Improvement"/>
    <s v="Satisfied"/>
  </r>
  <r>
    <s v="EMP284"/>
    <s v="Priya Verma"/>
    <x v="1"/>
    <x v="27"/>
    <x v="0"/>
    <s v="HR Executive"/>
    <x v="1"/>
    <n v="99000"/>
    <n v="3"/>
    <x v="1"/>
    <n v="5"/>
    <x v="1"/>
    <x v="1"/>
    <s v="Married"/>
    <s v="Chennai"/>
    <x v="1"/>
    <x v="2"/>
    <s v="Mid-Level"/>
    <s v="High Performer"/>
    <s v="Satisfied"/>
  </r>
  <r>
    <s v="EMP285"/>
    <s v="Arjun Kumar"/>
    <x v="0"/>
    <x v="29"/>
    <x v="0"/>
    <s v="HR Executive"/>
    <x v="1"/>
    <n v="60000"/>
    <n v="6"/>
    <x v="3"/>
    <n v="5"/>
    <x v="0"/>
    <x v="1"/>
    <s v="Married"/>
    <s v="Hyderabad"/>
    <x v="2"/>
    <x v="1"/>
    <s v="Mid-Level"/>
    <s v="Needs Improvement"/>
    <s v="Satisfied"/>
  </r>
  <r>
    <s v="EMP286"/>
    <s v="Amit Reddy"/>
    <x v="1"/>
    <x v="4"/>
    <x v="2"/>
    <s v="Analyst"/>
    <x v="2"/>
    <n v="26000"/>
    <n v="12"/>
    <x v="2"/>
    <n v="3"/>
    <x v="0"/>
    <x v="1"/>
    <s v="Single"/>
    <s v="Chennai"/>
    <x v="2"/>
    <x v="0"/>
    <s v="Senior"/>
    <s v="High Performer"/>
    <s v="Neutral"/>
  </r>
  <r>
    <s v="EMP287"/>
    <s v="Nisha Menon"/>
    <x v="1"/>
    <x v="16"/>
    <x v="4"/>
    <s v="Manager"/>
    <x v="3"/>
    <n v="86000"/>
    <n v="5"/>
    <x v="0"/>
    <n v="1"/>
    <x v="1"/>
    <x v="1"/>
    <s v="Married"/>
    <s v="Bangalore"/>
    <x v="2"/>
    <x v="2"/>
    <s v="Mid-Level"/>
    <s v="Needs Improvement"/>
    <s v="Dissatisfied"/>
  </r>
  <r>
    <s v="EMP288"/>
    <s v="Rahul Raj"/>
    <x v="0"/>
    <x v="20"/>
    <x v="2"/>
    <s v="Accountant"/>
    <x v="1"/>
    <n v="59000"/>
    <n v="15"/>
    <x v="1"/>
    <n v="2"/>
    <x v="0"/>
    <x v="1"/>
    <s v="Married"/>
    <s v="Chennai"/>
    <x v="0"/>
    <x v="1"/>
    <s v="Senior"/>
    <s v="High Performer"/>
    <s v="Dissatisfied"/>
  </r>
  <r>
    <s v="EMP289"/>
    <s v="Ajay Sharma"/>
    <x v="0"/>
    <x v="2"/>
    <x v="2"/>
    <s v="Accountant"/>
    <x v="1"/>
    <n v="61000"/>
    <n v="12"/>
    <x v="2"/>
    <n v="1"/>
    <x v="1"/>
    <x v="1"/>
    <s v="Single"/>
    <s v="Kochi"/>
    <x v="2"/>
    <x v="1"/>
    <s v="Senior"/>
    <s v="High Performer"/>
    <s v="Dissatisfied"/>
  </r>
  <r>
    <s v="EMP290"/>
    <s v="Rahul Menon"/>
    <x v="0"/>
    <x v="1"/>
    <x v="5"/>
    <s v="Software Engineer"/>
    <x v="2"/>
    <n v="54000"/>
    <n v="6"/>
    <x v="3"/>
    <n v="3"/>
    <x v="1"/>
    <x v="1"/>
    <s v="Married"/>
    <s v="Mumbai"/>
    <x v="1"/>
    <x v="1"/>
    <s v="Mid-Level"/>
    <s v="Needs Improvement"/>
    <s v="Neutral"/>
  </r>
  <r>
    <s v="EMP291"/>
    <s v="Ajay Patel"/>
    <x v="1"/>
    <x v="21"/>
    <x v="3"/>
    <s v="Manager"/>
    <x v="0"/>
    <n v="64000"/>
    <n v="2"/>
    <x v="1"/>
    <n v="3"/>
    <x v="0"/>
    <x v="1"/>
    <s v="Married"/>
    <s v="Kochi"/>
    <x v="3"/>
    <x v="1"/>
    <s v="Junior"/>
    <s v="High Performer"/>
    <s v="Neutral"/>
  </r>
  <r>
    <s v="EMP292"/>
    <s v="Amit Iyer"/>
    <x v="0"/>
    <x v="29"/>
    <x v="5"/>
    <s v="Data Analyst"/>
    <x v="0"/>
    <n v="53000"/>
    <n v="6"/>
    <x v="1"/>
    <n v="4"/>
    <x v="0"/>
    <x v="1"/>
    <s v="Single"/>
    <s v="Bangalore"/>
    <x v="2"/>
    <x v="1"/>
    <s v="Mid-Level"/>
    <s v="High Performer"/>
    <s v="Satisfied"/>
  </r>
  <r>
    <s v="EMP293"/>
    <s v="Arjun Nair"/>
    <x v="0"/>
    <x v="20"/>
    <x v="1"/>
    <s v="Manager"/>
    <x v="0"/>
    <n v="117000"/>
    <n v="5"/>
    <x v="0"/>
    <n v="4"/>
    <x v="0"/>
    <x v="1"/>
    <s v="Single"/>
    <s v="Bangalore"/>
    <x v="0"/>
    <x v="2"/>
    <s v="Mid-Level"/>
    <s v="Needs Improvement"/>
    <s v="Satisfied"/>
  </r>
  <r>
    <s v="EMP294"/>
    <s v="Vivek Patel"/>
    <x v="1"/>
    <x v="18"/>
    <x v="4"/>
    <s v="Manager"/>
    <x v="3"/>
    <n v="26000"/>
    <n v="7"/>
    <x v="2"/>
    <n v="4"/>
    <x v="1"/>
    <x v="1"/>
    <s v="Married"/>
    <s v="Chennai"/>
    <x v="3"/>
    <x v="0"/>
    <s v="Senior"/>
    <s v="High Performer"/>
    <s v="Satisfied"/>
  </r>
  <r>
    <s v="EMP295"/>
    <s v="Nisha Reddy"/>
    <x v="1"/>
    <x v="24"/>
    <x v="2"/>
    <s v="Analyst"/>
    <x v="0"/>
    <n v="75000"/>
    <n v="10"/>
    <x v="3"/>
    <n v="3"/>
    <x v="0"/>
    <x v="1"/>
    <s v="Single"/>
    <s v="Delhi"/>
    <x v="2"/>
    <x v="2"/>
    <s v="Senior"/>
    <s v="Needs Improvement"/>
    <s v="Neutral"/>
  </r>
  <r>
    <s v="EMP296"/>
    <s v="Sneha Iyer"/>
    <x v="1"/>
    <x v="0"/>
    <x v="0"/>
    <s v="Recruiter"/>
    <x v="2"/>
    <n v="118000"/>
    <n v="7"/>
    <x v="1"/>
    <n v="2"/>
    <x v="1"/>
    <x v="0"/>
    <s v="Single"/>
    <s v="Hyderabad"/>
    <x v="0"/>
    <x v="2"/>
    <s v="Senior"/>
    <s v="High Performer"/>
    <s v="Dissatisfied"/>
  </r>
  <r>
    <s v="EMP297"/>
    <s v="Rohit Reddy"/>
    <x v="0"/>
    <x v="13"/>
    <x v="4"/>
    <s v="Executive"/>
    <x v="0"/>
    <n v="109000"/>
    <n v="0"/>
    <x v="2"/>
    <n v="2"/>
    <x v="1"/>
    <x v="1"/>
    <s v="Married"/>
    <s v="Hyderabad"/>
    <x v="0"/>
    <x v="2"/>
    <s v="Junior"/>
    <s v="High Performer"/>
    <s v="Dissatisfied"/>
  </r>
  <r>
    <s v="EMP298"/>
    <s v="Nisha Singh"/>
    <x v="1"/>
    <x v="24"/>
    <x v="1"/>
    <s v="Executive"/>
    <x v="1"/>
    <n v="35000"/>
    <n v="10"/>
    <x v="3"/>
    <n v="4"/>
    <x v="0"/>
    <x v="1"/>
    <s v="Single"/>
    <s v="Hyderabad"/>
    <x v="2"/>
    <x v="0"/>
    <s v="Senior"/>
    <s v="Needs Improvement"/>
    <s v="Satisfied"/>
  </r>
  <r>
    <s v="EMP299"/>
    <s v="Karthik Kumar"/>
    <x v="0"/>
    <x v="29"/>
    <x v="0"/>
    <s v="HR Executive"/>
    <x v="3"/>
    <n v="102000"/>
    <n v="14"/>
    <x v="3"/>
    <n v="1"/>
    <x v="1"/>
    <x v="1"/>
    <s v="Married"/>
    <s v="Bangalore"/>
    <x v="2"/>
    <x v="2"/>
    <s v="Senior"/>
    <s v="Needs Improvement"/>
    <s v="Dissatisfied"/>
  </r>
  <r>
    <s v="EMP300"/>
    <s v="Pooja Singh"/>
    <x v="1"/>
    <x v="27"/>
    <x v="3"/>
    <s v="Manager"/>
    <x v="0"/>
    <n v="50000"/>
    <n v="1"/>
    <x v="0"/>
    <n v="3"/>
    <x v="1"/>
    <x v="1"/>
    <s v="Single"/>
    <s v="Mumbai"/>
    <x v="1"/>
    <x v="1"/>
    <s v="Junior"/>
    <s v="Needs Improvement"/>
    <s v="Neutral"/>
  </r>
  <r>
    <s v="EMP301"/>
    <s v="Priya Menon"/>
    <x v="1"/>
    <x v="12"/>
    <x v="0"/>
    <s v="HR Executive"/>
    <x v="3"/>
    <n v="120000"/>
    <n v="6"/>
    <x v="3"/>
    <n v="3"/>
    <x v="0"/>
    <x v="1"/>
    <s v="Married"/>
    <s v="Kochi"/>
    <x v="3"/>
    <x v="2"/>
    <s v="Mid-Level"/>
    <s v="Needs Improvement"/>
    <s v="Neutral"/>
  </r>
  <r>
    <s v="EMP302"/>
    <s v="Neha Reddy"/>
    <x v="0"/>
    <x v="33"/>
    <x v="4"/>
    <s v="Executive"/>
    <x v="0"/>
    <n v="86000"/>
    <n v="19"/>
    <x v="0"/>
    <n v="1"/>
    <x v="0"/>
    <x v="0"/>
    <s v="Single"/>
    <s v="Chennai"/>
    <x v="0"/>
    <x v="2"/>
    <s v="Senior"/>
    <s v="Needs Improvement"/>
    <s v="Dissatisfied"/>
  </r>
  <r>
    <s v="EMP303"/>
    <s v="Nisha Verma"/>
    <x v="0"/>
    <x v="21"/>
    <x v="4"/>
    <s v="Manager"/>
    <x v="3"/>
    <n v="86000"/>
    <n v="5"/>
    <x v="0"/>
    <n v="1"/>
    <x v="0"/>
    <x v="0"/>
    <s v="Married"/>
    <s v="Coimbatore"/>
    <x v="3"/>
    <x v="2"/>
    <s v="Mid-Level"/>
    <s v="Needs Improvement"/>
    <s v="Dissatisfied"/>
  </r>
  <r>
    <s v="EMP304"/>
    <s v="Divya Reddy"/>
    <x v="0"/>
    <x v="6"/>
    <x v="2"/>
    <s v="Accountant"/>
    <x v="3"/>
    <n v="49000"/>
    <n v="9"/>
    <x v="0"/>
    <n v="3"/>
    <x v="0"/>
    <x v="1"/>
    <s v="Married"/>
    <s v="Delhi"/>
    <x v="2"/>
    <x v="1"/>
    <s v="Senior"/>
    <s v="Needs Improvement"/>
    <s v="Neutral"/>
  </r>
  <r>
    <s v="EMP305"/>
    <s v="Pooja Patel"/>
    <x v="0"/>
    <x v="11"/>
    <x v="2"/>
    <s v="Analyst"/>
    <x v="1"/>
    <n v="35000"/>
    <n v="18"/>
    <x v="0"/>
    <n v="1"/>
    <x v="1"/>
    <x v="1"/>
    <s v="Single"/>
    <s v="Delhi"/>
    <x v="0"/>
    <x v="0"/>
    <s v="Senior"/>
    <s v="Needs Improvement"/>
    <s v="Dissatisfied"/>
  </r>
  <r>
    <s v="EMP306"/>
    <s v="Ajay Nair"/>
    <x v="0"/>
    <x v="6"/>
    <x v="3"/>
    <s v="Manager"/>
    <x v="2"/>
    <n v="69000"/>
    <n v="0"/>
    <x v="3"/>
    <n v="4"/>
    <x v="0"/>
    <x v="1"/>
    <s v="Single"/>
    <s v="Hyderabad"/>
    <x v="2"/>
    <x v="1"/>
    <s v="Junior"/>
    <s v="Needs Improvement"/>
    <s v="Satisfied"/>
  </r>
  <r>
    <s v="EMP307"/>
    <s v="Rohit Singh"/>
    <x v="1"/>
    <x v="10"/>
    <x v="4"/>
    <s v="Executive"/>
    <x v="1"/>
    <n v="64000"/>
    <n v="0"/>
    <x v="3"/>
    <n v="1"/>
    <x v="1"/>
    <x v="1"/>
    <s v="Married"/>
    <s v="Chennai"/>
    <x v="1"/>
    <x v="1"/>
    <s v="Junior"/>
    <s v="Needs Improvement"/>
    <s v="Dissatisfied"/>
  </r>
  <r>
    <s v="EMP308"/>
    <s v="Nisha Reddy"/>
    <x v="0"/>
    <x v="0"/>
    <x v="5"/>
    <s v="Software Engineer"/>
    <x v="0"/>
    <n v="100000"/>
    <n v="16"/>
    <x v="0"/>
    <n v="2"/>
    <x v="0"/>
    <x v="0"/>
    <s v="Single"/>
    <s v="Pune"/>
    <x v="0"/>
    <x v="2"/>
    <s v="Senior"/>
    <s v="Needs Improvement"/>
    <s v="Dissatisfied"/>
  </r>
  <r>
    <s v="EMP309"/>
    <s v="Arjun Kumar"/>
    <x v="0"/>
    <x v="30"/>
    <x v="3"/>
    <s v="Executive"/>
    <x v="2"/>
    <n v="42000"/>
    <n v="8"/>
    <x v="2"/>
    <n v="2"/>
    <x v="1"/>
    <x v="0"/>
    <s v="Single"/>
    <s v="Kochi"/>
    <x v="3"/>
    <x v="1"/>
    <s v="Senior"/>
    <s v="High Performer"/>
    <s v="Dissatisfied"/>
  </r>
  <r>
    <s v="EMP310"/>
    <s v="Rohit Kumar"/>
    <x v="0"/>
    <x v="3"/>
    <x v="3"/>
    <s v="Manager"/>
    <x v="0"/>
    <n v="118000"/>
    <n v="13"/>
    <x v="1"/>
    <n v="3"/>
    <x v="0"/>
    <x v="1"/>
    <s v="Married"/>
    <s v="Chennai"/>
    <x v="2"/>
    <x v="2"/>
    <s v="Senior"/>
    <s v="High Performer"/>
    <s v="Neutral"/>
  </r>
  <r>
    <s v="EMP311"/>
    <s v="Karthik Reddy"/>
    <x v="0"/>
    <x v="16"/>
    <x v="5"/>
    <s v="Software Engineer"/>
    <x v="3"/>
    <n v="92000"/>
    <n v="12"/>
    <x v="1"/>
    <n v="5"/>
    <x v="0"/>
    <x v="1"/>
    <s v="Married"/>
    <s v="Kochi"/>
    <x v="2"/>
    <x v="2"/>
    <s v="Senior"/>
    <s v="High Performer"/>
    <s v="Satisfied"/>
  </r>
  <r>
    <s v="EMP312"/>
    <s v="Neha Singh"/>
    <x v="0"/>
    <x v="6"/>
    <x v="2"/>
    <s v="Analyst"/>
    <x v="0"/>
    <n v="39000"/>
    <n v="8"/>
    <x v="2"/>
    <n v="5"/>
    <x v="0"/>
    <x v="1"/>
    <s v="Single"/>
    <s v="Hyderabad"/>
    <x v="2"/>
    <x v="0"/>
    <s v="Senior"/>
    <s v="High Performer"/>
    <s v="Satisfied"/>
  </r>
  <r>
    <s v="EMP313"/>
    <s v="Karthik Kumar"/>
    <x v="0"/>
    <x v="28"/>
    <x v="3"/>
    <s v="Executive"/>
    <x v="2"/>
    <n v="40000"/>
    <n v="19"/>
    <x v="3"/>
    <n v="1"/>
    <x v="1"/>
    <x v="1"/>
    <s v="Married"/>
    <s v="Chennai"/>
    <x v="0"/>
    <x v="1"/>
    <s v="Senior"/>
    <s v="Needs Improvement"/>
    <s v="Dissatisfied"/>
  </r>
  <r>
    <s v="EMP314"/>
    <s v="Vivek Sharma"/>
    <x v="1"/>
    <x v="0"/>
    <x v="3"/>
    <s v="Executive"/>
    <x v="3"/>
    <n v="82000"/>
    <n v="11"/>
    <x v="3"/>
    <n v="3"/>
    <x v="0"/>
    <x v="1"/>
    <s v="Single"/>
    <s v="Chennai"/>
    <x v="0"/>
    <x v="2"/>
    <s v="Senior"/>
    <s v="Needs Improvement"/>
    <s v="Neutral"/>
  </r>
  <r>
    <s v="EMP315"/>
    <s v="Nisha Singh"/>
    <x v="1"/>
    <x v="3"/>
    <x v="2"/>
    <s v="Accountant"/>
    <x v="1"/>
    <n v="104000"/>
    <n v="16"/>
    <x v="3"/>
    <n v="1"/>
    <x v="1"/>
    <x v="1"/>
    <s v="Married"/>
    <s v="Pune"/>
    <x v="2"/>
    <x v="2"/>
    <s v="Senior"/>
    <s v="Needs Improvement"/>
    <s v="Dissatisfied"/>
  </r>
  <r>
    <s v="EMP316"/>
    <s v="Sneha Singh"/>
    <x v="1"/>
    <x v="31"/>
    <x v="5"/>
    <s v="Data Analyst"/>
    <x v="1"/>
    <n v="75000"/>
    <n v="2"/>
    <x v="2"/>
    <n v="5"/>
    <x v="0"/>
    <x v="1"/>
    <s v="Married"/>
    <s v="Pune"/>
    <x v="3"/>
    <x v="2"/>
    <s v="Junior"/>
    <s v="High Performer"/>
    <s v="Satisfied"/>
  </r>
  <r>
    <s v="EMP317"/>
    <s v="Vivek Singh"/>
    <x v="0"/>
    <x v="5"/>
    <x v="2"/>
    <s v="Accountant"/>
    <x v="0"/>
    <n v="117000"/>
    <n v="10"/>
    <x v="1"/>
    <n v="4"/>
    <x v="1"/>
    <x v="1"/>
    <s v="Married"/>
    <s v="Bangalore"/>
    <x v="0"/>
    <x v="2"/>
    <s v="Senior"/>
    <s v="High Performer"/>
    <s v="Satisfied"/>
  </r>
  <r>
    <s v="EMP318"/>
    <s v="Priya Kumar"/>
    <x v="1"/>
    <x v="6"/>
    <x v="1"/>
    <s v="Manager"/>
    <x v="2"/>
    <n v="86000"/>
    <n v="9"/>
    <x v="1"/>
    <n v="1"/>
    <x v="0"/>
    <x v="0"/>
    <s v="Married"/>
    <s v="Chennai"/>
    <x v="2"/>
    <x v="2"/>
    <s v="Senior"/>
    <s v="High Performer"/>
    <s v="Dissatisfied"/>
  </r>
  <r>
    <s v="EMP319"/>
    <s v="Divya Patel"/>
    <x v="1"/>
    <x v="24"/>
    <x v="4"/>
    <s v="Manager"/>
    <x v="0"/>
    <n v="103000"/>
    <n v="10"/>
    <x v="0"/>
    <n v="3"/>
    <x v="1"/>
    <x v="1"/>
    <s v="Single"/>
    <s v="Chennai"/>
    <x v="2"/>
    <x v="2"/>
    <s v="Senior"/>
    <s v="Needs Improvement"/>
    <s v="Neutral"/>
  </r>
  <r>
    <s v="EMP320"/>
    <s v="Priya Raj"/>
    <x v="1"/>
    <x v="30"/>
    <x v="2"/>
    <s v="Analyst"/>
    <x v="0"/>
    <n v="64000"/>
    <n v="8"/>
    <x v="3"/>
    <n v="5"/>
    <x v="1"/>
    <x v="1"/>
    <s v="Married"/>
    <s v="Coimbatore"/>
    <x v="3"/>
    <x v="1"/>
    <s v="Senior"/>
    <s v="Needs Improvement"/>
    <s v="Satisfied"/>
  </r>
  <r>
    <s v="EMP321"/>
    <s v="Anjali Reddy"/>
    <x v="0"/>
    <x v="16"/>
    <x v="1"/>
    <s v="Executive"/>
    <x v="0"/>
    <n v="90000"/>
    <n v="6"/>
    <x v="3"/>
    <n v="1"/>
    <x v="1"/>
    <x v="1"/>
    <s v="Single"/>
    <s v="Chennai"/>
    <x v="2"/>
    <x v="2"/>
    <s v="Mid-Level"/>
    <s v="Needs Improvement"/>
    <s v="Dissatisfied"/>
  </r>
  <r>
    <s v="EMP322"/>
    <s v="Divya Kumar"/>
    <x v="0"/>
    <x v="6"/>
    <x v="5"/>
    <s v="Data Analyst"/>
    <x v="3"/>
    <n v="57000"/>
    <n v="9"/>
    <x v="2"/>
    <n v="5"/>
    <x v="1"/>
    <x v="1"/>
    <s v="Single"/>
    <s v="Bangalore"/>
    <x v="2"/>
    <x v="1"/>
    <s v="Senior"/>
    <s v="High Performer"/>
    <s v="Satisfied"/>
  </r>
  <r>
    <s v="EMP323"/>
    <s v="Pooja Nair"/>
    <x v="0"/>
    <x v="21"/>
    <x v="0"/>
    <s v="Recruiter"/>
    <x v="0"/>
    <n v="75000"/>
    <n v="1"/>
    <x v="1"/>
    <n v="2"/>
    <x v="1"/>
    <x v="1"/>
    <s v="Married"/>
    <s v="Mumbai"/>
    <x v="3"/>
    <x v="2"/>
    <s v="Junior"/>
    <s v="High Performer"/>
    <s v="Dissatisfied"/>
  </r>
  <r>
    <s v="EMP324"/>
    <s v="Nisha Raj"/>
    <x v="0"/>
    <x v="14"/>
    <x v="4"/>
    <s v="Executive"/>
    <x v="2"/>
    <n v="63000"/>
    <n v="3"/>
    <x v="3"/>
    <n v="3"/>
    <x v="0"/>
    <x v="1"/>
    <s v="Single"/>
    <s v="Bangalore"/>
    <x v="3"/>
    <x v="1"/>
    <s v="Mid-Level"/>
    <s v="Needs Improvement"/>
    <s v="Neutral"/>
  </r>
  <r>
    <s v="EMP325"/>
    <s v="Karthik Patel"/>
    <x v="0"/>
    <x v="11"/>
    <x v="3"/>
    <s v="Executive"/>
    <x v="3"/>
    <n v="35000"/>
    <n v="4"/>
    <x v="2"/>
    <n v="4"/>
    <x v="0"/>
    <x v="1"/>
    <s v="Married"/>
    <s v="Chennai"/>
    <x v="0"/>
    <x v="0"/>
    <s v="Mid-Level"/>
    <s v="High Performer"/>
    <s v="Satisfied"/>
  </r>
  <r>
    <s v="EMP326"/>
    <s v="Karthik Patel"/>
    <x v="1"/>
    <x v="25"/>
    <x v="0"/>
    <s v="HR Executive"/>
    <x v="2"/>
    <n v="107000"/>
    <n v="17"/>
    <x v="3"/>
    <n v="2"/>
    <x v="0"/>
    <x v="0"/>
    <s v="Single"/>
    <s v="Bangalore"/>
    <x v="0"/>
    <x v="2"/>
    <s v="Senior"/>
    <s v="Needs Improvement"/>
    <s v="Dissatisfied"/>
  </r>
  <r>
    <s v="EMP327"/>
    <s v="Sanjay Menon"/>
    <x v="0"/>
    <x v="31"/>
    <x v="1"/>
    <s v="Manager"/>
    <x v="2"/>
    <n v="27000"/>
    <n v="2"/>
    <x v="2"/>
    <n v="1"/>
    <x v="1"/>
    <x v="1"/>
    <s v="Married"/>
    <s v="Delhi"/>
    <x v="3"/>
    <x v="0"/>
    <s v="Junior"/>
    <s v="High Performer"/>
    <s v="Dissatisfied"/>
  </r>
  <r>
    <s v="EMP328"/>
    <s v="Pooja Iyer"/>
    <x v="1"/>
    <x v="7"/>
    <x v="4"/>
    <s v="Executive"/>
    <x v="0"/>
    <n v="45000"/>
    <n v="11"/>
    <x v="3"/>
    <n v="1"/>
    <x v="0"/>
    <x v="0"/>
    <s v="Married"/>
    <s v="Pune"/>
    <x v="0"/>
    <x v="1"/>
    <s v="Senior"/>
    <s v="Needs Improvement"/>
    <s v="Dissatisfied"/>
  </r>
  <r>
    <s v="EMP329"/>
    <s v="Amit Nair"/>
    <x v="0"/>
    <x v="5"/>
    <x v="4"/>
    <s v="Executive"/>
    <x v="0"/>
    <n v="54000"/>
    <n v="4"/>
    <x v="0"/>
    <n v="4"/>
    <x v="1"/>
    <x v="1"/>
    <s v="Single"/>
    <s v="Delhi"/>
    <x v="0"/>
    <x v="1"/>
    <s v="Mid-Level"/>
    <s v="Needs Improvement"/>
    <s v="Satisfied"/>
  </r>
  <r>
    <s v="EMP330"/>
    <s v="Neha Menon"/>
    <x v="1"/>
    <x v="6"/>
    <x v="4"/>
    <s v="Manager"/>
    <x v="0"/>
    <n v="79000"/>
    <n v="6"/>
    <x v="0"/>
    <n v="1"/>
    <x v="1"/>
    <x v="1"/>
    <s v="Single"/>
    <s v="Pune"/>
    <x v="2"/>
    <x v="2"/>
    <s v="Mid-Level"/>
    <s v="Needs Improvement"/>
    <s v="Dissatisfied"/>
  </r>
  <r>
    <s v="EMP331"/>
    <s v="Rohit Kumar"/>
    <x v="0"/>
    <x v="4"/>
    <x v="3"/>
    <s v="Executive"/>
    <x v="3"/>
    <n v="59000"/>
    <n v="7"/>
    <x v="3"/>
    <n v="4"/>
    <x v="0"/>
    <x v="1"/>
    <s v="Married"/>
    <s v="Mumbai"/>
    <x v="2"/>
    <x v="1"/>
    <s v="Senior"/>
    <s v="Needs Improvement"/>
    <s v="Satisfied"/>
  </r>
  <r>
    <s v="EMP332"/>
    <s v="Rahul Menon"/>
    <x v="0"/>
    <x v="0"/>
    <x v="1"/>
    <s v="Manager"/>
    <x v="2"/>
    <n v="67000"/>
    <n v="12"/>
    <x v="0"/>
    <n v="4"/>
    <x v="1"/>
    <x v="1"/>
    <s v="Single"/>
    <s v="Chennai"/>
    <x v="0"/>
    <x v="1"/>
    <s v="Senior"/>
    <s v="Needs Improvement"/>
    <s v="Satisfied"/>
  </r>
  <r>
    <s v="EMP333"/>
    <s v="Rahul Nair"/>
    <x v="1"/>
    <x v="24"/>
    <x v="4"/>
    <s v="Manager"/>
    <x v="2"/>
    <n v="99000"/>
    <n v="10"/>
    <x v="3"/>
    <n v="5"/>
    <x v="1"/>
    <x v="1"/>
    <s v="Single"/>
    <s v="Mumbai"/>
    <x v="2"/>
    <x v="2"/>
    <s v="Senior"/>
    <s v="Needs Improvement"/>
    <s v="Satisfied"/>
  </r>
  <r>
    <s v="EMP334"/>
    <s v="Sneha Raj"/>
    <x v="1"/>
    <x v="4"/>
    <x v="4"/>
    <s v="Executive"/>
    <x v="1"/>
    <n v="54000"/>
    <n v="0"/>
    <x v="3"/>
    <n v="2"/>
    <x v="1"/>
    <x v="1"/>
    <s v="Married"/>
    <s v="Kochi"/>
    <x v="2"/>
    <x v="1"/>
    <s v="Junior"/>
    <s v="Needs Improvement"/>
    <s v="Dissatisfied"/>
  </r>
  <r>
    <s v="EMP335"/>
    <s v="Ajay Menon"/>
    <x v="1"/>
    <x v="25"/>
    <x v="2"/>
    <s v="Analyst"/>
    <x v="0"/>
    <n v="81000"/>
    <n v="4"/>
    <x v="1"/>
    <n v="4"/>
    <x v="0"/>
    <x v="1"/>
    <s v="Married"/>
    <s v="Bangalore"/>
    <x v="0"/>
    <x v="2"/>
    <s v="Mid-Level"/>
    <s v="High Performer"/>
    <s v="Satisfied"/>
  </r>
  <r>
    <s v="EMP336"/>
    <s v="Rahul Raj"/>
    <x v="0"/>
    <x v="6"/>
    <x v="1"/>
    <s v="Executive"/>
    <x v="2"/>
    <n v="71000"/>
    <n v="2"/>
    <x v="3"/>
    <n v="2"/>
    <x v="1"/>
    <x v="1"/>
    <s v="Single"/>
    <s v="Bangalore"/>
    <x v="2"/>
    <x v="2"/>
    <s v="Junior"/>
    <s v="Needs Improvement"/>
    <s v="Dissatisfied"/>
  </r>
  <r>
    <s v="EMP337"/>
    <s v="Karthik Kumar"/>
    <x v="0"/>
    <x v="7"/>
    <x v="2"/>
    <s v="Analyst"/>
    <x v="0"/>
    <n v="25000"/>
    <n v="3"/>
    <x v="0"/>
    <n v="3"/>
    <x v="1"/>
    <x v="1"/>
    <s v="Single"/>
    <s v="Pune"/>
    <x v="0"/>
    <x v="0"/>
    <s v="Mid-Level"/>
    <s v="Needs Improvement"/>
    <s v="Neutral"/>
  </r>
  <r>
    <s v="EMP338"/>
    <s v="Anjali Menon"/>
    <x v="0"/>
    <x v="4"/>
    <x v="5"/>
    <s v="Software Engineer"/>
    <x v="1"/>
    <n v="103000"/>
    <n v="13"/>
    <x v="2"/>
    <n v="3"/>
    <x v="0"/>
    <x v="1"/>
    <s v="Single"/>
    <s v="Mumbai"/>
    <x v="2"/>
    <x v="2"/>
    <s v="Senior"/>
    <s v="High Performer"/>
    <s v="Neutral"/>
  </r>
  <r>
    <s v="EMP339"/>
    <s v="Priya Kumar"/>
    <x v="0"/>
    <x v="11"/>
    <x v="1"/>
    <s v="Executive"/>
    <x v="0"/>
    <n v="116000"/>
    <n v="17"/>
    <x v="1"/>
    <n v="3"/>
    <x v="0"/>
    <x v="1"/>
    <s v="Married"/>
    <s v="Chennai"/>
    <x v="0"/>
    <x v="2"/>
    <s v="Senior"/>
    <s v="High Performer"/>
    <s v="Neutral"/>
  </r>
  <r>
    <s v="EMP340"/>
    <s v="Meera Sharma"/>
    <x v="0"/>
    <x v="18"/>
    <x v="0"/>
    <s v="HR Executive"/>
    <x v="0"/>
    <n v="66000"/>
    <n v="7"/>
    <x v="1"/>
    <n v="1"/>
    <x v="1"/>
    <x v="1"/>
    <s v="Married"/>
    <s v="Bangalore"/>
    <x v="3"/>
    <x v="1"/>
    <s v="Senior"/>
    <s v="High Performer"/>
    <s v="Dissatisfied"/>
  </r>
  <r>
    <s v="EMP341"/>
    <s v="Vivek Reddy"/>
    <x v="1"/>
    <x v="7"/>
    <x v="4"/>
    <s v="Executive"/>
    <x v="0"/>
    <n v="42000"/>
    <n v="4"/>
    <x v="3"/>
    <n v="2"/>
    <x v="1"/>
    <x v="1"/>
    <s v="Married"/>
    <s v="Hyderabad"/>
    <x v="0"/>
    <x v="1"/>
    <s v="Mid-Level"/>
    <s v="Needs Improvement"/>
    <s v="Dissatisfied"/>
  </r>
  <r>
    <s v="EMP342"/>
    <s v="Neha Sharma"/>
    <x v="0"/>
    <x v="23"/>
    <x v="1"/>
    <s v="Executive"/>
    <x v="1"/>
    <n v="116000"/>
    <n v="4"/>
    <x v="3"/>
    <n v="2"/>
    <x v="0"/>
    <x v="0"/>
    <s v="Married"/>
    <s v="Bangalore"/>
    <x v="3"/>
    <x v="2"/>
    <s v="Mid-Level"/>
    <s v="Needs Improvement"/>
    <s v="Dissatisfied"/>
  </r>
  <r>
    <s v="EMP343"/>
    <s v="Pooja Iyer"/>
    <x v="0"/>
    <x v="20"/>
    <x v="1"/>
    <s v="Executive"/>
    <x v="1"/>
    <n v="109000"/>
    <n v="4"/>
    <x v="1"/>
    <n v="1"/>
    <x v="1"/>
    <x v="1"/>
    <s v="Married"/>
    <s v="Pune"/>
    <x v="0"/>
    <x v="2"/>
    <s v="Mid-Level"/>
    <s v="High Performer"/>
    <s v="Dissatisfied"/>
  </r>
  <r>
    <s v="EMP344"/>
    <s v="Sneha Verma"/>
    <x v="1"/>
    <x v="12"/>
    <x v="5"/>
    <s v="Data Analyst"/>
    <x v="3"/>
    <n v="49000"/>
    <n v="2"/>
    <x v="1"/>
    <n v="2"/>
    <x v="0"/>
    <x v="0"/>
    <s v="Married"/>
    <s v="Coimbatore"/>
    <x v="3"/>
    <x v="1"/>
    <s v="Junior"/>
    <s v="High Performer"/>
    <s v="Dissatisfied"/>
  </r>
  <r>
    <s v="EMP345"/>
    <s v="Pooja Iyer"/>
    <x v="0"/>
    <x v="1"/>
    <x v="5"/>
    <s v="Software Engineer"/>
    <x v="2"/>
    <n v="44000"/>
    <n v="10"/>
    <x v="0"/>
    <n v="4"/>
    <x v="0"/>
    <x v="1"/>
    <s v="Single"/>
    <s v="Mumbai"/>
    <x v="1"/>
    <x v="1"/>
    <s v="Senior"/>
    <s v="Needs Improvement"/>
    <s v="Satisfied"/>
  </r>
  <r>
    <s v="EMP346"/>
    <s v="Karthik Menon"/>
    <x v="0"/>
    <x v="4"/>
    <x v="2"/>
    <s v="Analyst"/>
    <x v="0"/>
    <n v="41000"/>
    <n v="13"/>
    <x v="1"/>
    <n v="5"/>
    <x v="1"/>
    <x v="1"/>
    <s v="Married"/>
    <s v="Chennai"/>
    <x v="2"/>
    <x v="1"/>
    <s v="Senior"/>
    <s v="High Performer"/>
    <s v="Satisfied"/>
  </r>
  <r>
    <s v="EMP347"/>
    <s v="Rahul Raj"/>
    <x v="0"/>
    <x v="13"/>
    <x v="2"/>
    <s v="Accountant"/>
    <x v="2"/>
    <n v="51000"/>
    <n v="8"/>
    <x v="0"/>
    <n v="2"/>
    <x v="0"/>
    <x v="0"/>
    <s v="Married"/>
    <s v="Hyderabad"/>
    <x v="0"/>
    <x v="1"/>
    <s v="Senior"/>
    <s v="Needs Improvement"/>
    <s v="Dissatisfied"/>
  </r>
  <r>
    <s v="EMP348"/>
    <s v="Vivek Reddy"/>
    <x v="0"/>
    <x v="8"/>
    <x v="3"/>
    <s v="Manager"/>
    <x v="3"/>
    <n v="70000"/>
    <n v="8"/>
    <x v="3"/>
    <n v="4"/>
    <x v="1"/>
    <x v="1"/>
    <s v="Single"/>
    <s v="Hyderabad"/>
    <x v="1"/>
    <x v="2"/>
    <s v="Senior"/>
    <s v="Needs Improvement"/>
    <s v="Satisfied"/>
  </r>
  <r>
    <s v="EMP349"/>
    <s v="Sneha Nair"/>
    <x v="0"/>
    <x v="29"/>
    <x v="1"/>
    <s v="Manager"/>
    <x v="2"/>
    <n v="87000"/>
    <n v="7"/>
    <x v="2"/>
    <n v="3"/>
    <x v="0"/>
    <x v="1"/>
    <s v="Married"/>
    <s v="Coimbatore"/>
    <x v="2"/>
    <x v="2"/>
    <s v="Senior"/>
    <s v="High Performer"/>
    <s v="Neutral"/>
  </r>
  <r>
    <s v="EMP350"/>
    <s v="Arjun Patel"/>
    <x v="1"/>
    <x v="2"/>
    <x v="5"/>
    <s v="Software Engineer"/>
    <x v="3"/>
    <n v="81000"/>
    <n v="11"/>
    <x v="3"/>
    <n v="1"/>
    <x v="0"/>
    <x v="1"/>
    <s v="Single"/>
    <s v="Delhi"/>
    <x v="2"/>
    <x v="2"/>
    <s v="Senior"/>
    <s v="Needs Improvement"/>
    <s v="Dissatisfied"/>
  </r>
  <r>
    <s v="EMP351"/>
    <s v="Divya Singh"/>
    <x v="0"/>
    <x v="2"/>
    <x v="5"/>
    <s v="Software Engineer"/>
    <x v="1"/>
    <n v="52000"/>
    <n v="11"/>
    <x v="1"/>
    <n v="3"/>
    <x v="0"/>
    <x v="1"/>
    <s v="Single"/>
    <s v="Bangalore"/>
    <x v="2"/>
    <x v="1"/>
    <s v="Senior"/>
    <s v="High Performer"/>
    <s v="Neutral"/>
  </r>
  <r>
    <s v="EMP352"/>
    <s v="Meera Patel"/>
    <x v="0"/>
    <x v="20"/>
    <x v="0"/>
    <s v="HR Executive"/>
    <x v="0"/>
    <n v="69000"/>
    <n v="0"/>
    <x v="0"/>
    <n v="5"/>
    <x v="0"/>
    <x v="1"/>
    <s v="Single"/>
    <s v="Hyderabad"/>
    <x v="0"/>
    <x v="1"/>
    <s v="Junior"/>
    <s v="Needs Improvement"/>
    <s v="Satisfied"/>
  </r>
  <r>
    <s v="EMP353"/>
    <s v="Ajay Reddy"/>
    <x v="0"/>
    <x v="26"/>
    <x v="4"/>
    <s v="Executive"/>
    <x v="3"/>
    <n v="61000"/>
    <n v="4"/>
    <x v="1"/>
    <n v="4"/>
    <x v="0"/>
    <x v="1"/>
    <s v="Married"/>
    <s v="Coimbatore"/>
    <x v="2"/>
    <x v="1"/>
    <s v="Mid-Level"/>
    <s v="High Performer"/>
    <s v="Satisfied"/>
  </r>
  <r>
    <s v="EMP354"/>
    <s v="Arjun Patel"/>
    <x v="1"/>
    <x v="16"/>
    <x v="4"/>
    <s v="Manager"/>
    <x v="3"/>
    <n v="97000"/>
    <n v="7"/>
    <x v="3"/>
    <n v="4"/>
    <x v="1"/>
    <x v="0"/>
    <s v="Single"/>
    <s v="Bangalore"/>
    <x v="2"/>
    <x v="2"/>
    <s v="Senior"/>
    <s v="Needs Improvement"/>
    <s v="Satisfied"/>
  </r>
  <r>
    <s v="EMP355"/>
    <s v="Amit Iyer"/>
    <x v="1"/>
    <x v="31"/>
    <x v="3"/>
    <s v="Manager"/>
    <x v="3"/>
    <n v="65000"/>
    <n v="2"/>
    <x v="1"/>
    <n v="5"/>
    <x v="0"/>
    <x v="1"/>
    <s v="Single"/>
    <s v="Mumbai"/>
    <x v="3"/>
    <x v="1"/>
    <s v="Junior"/>
    <s v="High Performer"/>
    <s v="Satisfied"/>
  </r>
  <r>
    <s v="EMP356"/>
    <s v="Rohit Nair"/>
    <x v="1"/>
    <x v="2"/>
    <x v="4"/>
    <s v="Manager"/>
    <x v="1"/>
    <n v="89000"/>
    <n v="12"/>
    <x v="2"/>
    <n v="2"/>
    <x v="0"/>
    <x v="1"/>
    <s v="Single"/>
    <s v="Delhi"/>
    <x v="2"/>
    <x v="2"/>
    <s v="Senior"/>
    <s v="High Performer"/>
    <s v="Dissatisfied"/>
  </r>
  <r>
    <s v="EMP357"/>
    <s v="Arjun Raj"/>
    <x v="1"/>
    <x v="14"/>
    <x v="4"/>
    <s v="Executive"/>
    <x v="3"/>
    <n v="111000"/>
    <n v="3"/>
    <x v="2"/>
    <n v="1"/>
    <x v="1"/>
    <x v="1"/>
    <s v="Married"/>
    <s v="Delhi"/>
    <x v="3"/>
    <x v="2"/>
    <s v="Mid-Level"/>
    <s v="High Performer"/>
    <s v="Dissatisfied"/>
  </r>
  <r>
    <s v="EMP358"/>
    <s v="Vivek Raj"/>
    <x v="1"/>
    <x v="7"/>
    <x v="3"/>
    <s v="Executive"/>
    <x v="2"/>
    <n v="70000"/>
    <n v="6"/>
    <x v="0"/>
    <n v="4"/>
    <x v="0"/>
    <x v="1"/>
    <s v="Single"/>
    <s v="Delhi"/>
    <x v="0"/>
    <x v="2"/>
    <s v="Mid-Level"/>
    <s v="Needs Improvement"/>
    <s v="Satisfied"/>
  </r>
  <r>
    <s v="EMP359"/>
    <s v="Karthik Sharma"/>
    <x v="1"/>
    <x v="15"/>
    <x v="5"/>
    <s v="Software Engineer"/>
    <x v="1"/>
    <n v="25000"/>
    <n v="2"/>
    <x v="1"/>
    <n v="5"/>
    <x v="1"/>
    <x v="1"/>
    <s v="Single"/>
    <s v="Coimbatore"/>
    <x v="1"/>
    <x v="0"/>
    <s v="Junior"/>
    <s v="High Performer"/>
    <s v="Satisfied"/>
  </r>
  <r>
    <s v="EMP360"/>
    <s v="Meera Raj"/>
    <x v="0"/>
    <x v="31"/>
    <x v="3"/>
    <s v="Manager"/>
    <x v="0"/>
    <n v="58000"/>
    <n v="2"/>
    <x v="0"/>
    <n v="4"/>
    <x v="1"/>
    <x v="1"/>
    <s v="Single"/>
    <s v="Bangalore"/>
    <x v="3"/>
    <x v="1"/>
    <s v="Junior"/>
    <s v="Needs Improvement"/>
    <s v="Satisfied"/>
  </r>
  <r>
    <s v="EMP361"/>
    <s v="Anjali Patel"/>
    <x v="1"/>
    <x v="4"/>
    <x v="3"/>
    <s v="Executive"/>
    <x v="0"/>
    <n v="91000"/>
    <n v="13"/>
    <x v="3"/>
    <n v="3"/>
    <x v="1"/>
    <x v="1"/>
    <s v="Single"/>
    <s v="Delhi"/>
    <x v="2"/>
    <x v="2"/>
    <s v="Senior"/>
    <s v="Needs Improvement"/>
    <s v="Neutral"/>
  </r>
  <r>
    <s v="EMP362"/>
    <s v="Sanjay Sharma"/>
    <x v="0"/>
    <x v="33"/>
    <x v="0"/>
    <s v="Recruiter"/>
    <x v="2"/>
    <n v="66000"/>
    <n v="16"/>
    <x v="2"/>
    <n v="1"/>
    <x v="1"/>
    <x v="1"/>
    <s v="Married"/>
    <s v="Mumbai"/>
    <x v="0"/>
    <x v="1"/>
    <s v="Senior"/>
    <s v="High Performer"/>
    <s v="Dissatisfied"/>
  </r>
  <r>
    <s v="EMP363"/>
    <s v="Sneha Singh"/>
    <x v="1"/>
    <x v="28"/>
    <x v="0"/>
    <s v="HR Executive"/>
    <x v="0"/>
    <n v="79000"/>
    <n v="4"/>
    <x v="1"/>
    <n v="4"/>
    <x v="1"/>
    <x v="1"/>
    <s v="Married"/>
    <s v="Bangalore"/>
    <x v="0"/>
    <x v="2"/>
    <s v="Mid-Level"/>
    <s v="High Performer"/>
    <s v="Satisfied"/>
  </r>
  <r>
    <s v="EMP364"/>
    <s v="Anjali Menon"/>
    <x v="1"/>
    <x v="9"/>
    <x v="0"/>
    <s v="HR Executive"/>
    <x v="0"/>
    <n v="98000"/>
    <n v="2"/>
    <x v="3"/>
    <n v="1"/>
    <x v="0"/>
    <x v="1"/>
    <s v="Single"/>
    <s v="Chennai"/>
    <x v="0"/>
    <x v="2"/>
    <s v="Junior"/>
    <s v="Needs Improvement"/>
    <s v="Dissatisfied"/>
  </r>
  <r>
    <s v="EMP365"/>
    <s v="Arjun Menon"/>
    <x v="0"/>
    <x v="4"/>
    <x v="2"/>
    <s v="Accountant"/>
    <x v="2"/>
    <n v="25000"/>
    <n v="13"/>
    <x v="0"/>
    <n v="3"/>
    <x v="1"/>
    <x v="1"/>
    <s v="Married"/>
    <s v="Mumbai"/>
    <x v="2"/>
    <x v="0"/>
    <s v="Senior"/>
    <s v="Needs Improvement"/>
    <s v="Neutral"/>
  </r>
  <r>
    <s v="EMP366"/>
    <s v="Sneha Patel"/>
    <x v="0"/>
    <x v="23"/>
    <x v="5"/>
    <s v="Software Engineer"/>
    <x v="3"/>
    <n v="75000"/>
    <n v="4"/>
    <x v="2"/>
    <n v="4"/>
    <x v="1"/>
    <x v="1"/>
    <s v="Single"/>
    <s v="Mumbai"/>
    <x v="3"/>
    <x v="2"/>
    <s v="Mid-Level"/>
    <s v="High Performer"/>
    <s v="Satisfied"/>
  </r>
  <r>
    <s v="EMP367"/>
    <s v="Pooja Menon"/>
    <x v="0"/>
    <x v="23"/>
    <x v="4"/>
    <s v="Executive"/>
    <x v="0"/>
    <n v="39000"/>
    <n v="4"/>
    <x v="3"/>
    <n v="5"/>
    <x v="0"/>
    <x v="1"/>
    <s v="Single"/>
    <s v="Hyderabad"/>
    <x v="3"/>
    <x v="0"/>
    <s v="Mid-Level"/>
    <s v="Needs Improvement"/>
    <s v="Satisfied"/>
  </r>
  <r>
    <s v="EMP368"/>
    <s v="Priya Sharma"/>
    <x v="1"/>
    <x v="20"/>
    <x v="5"/>
    <s v="Data Analyst"/>
    <x v="3"/>
    <n v="48000"/>
    <n v="8"/>
    <x v="3"/>
    <n v="3"/>
    <x v="1"/>
    <x v="1"/>
    <s v="Single"/>
    <s v="Pune"/>
    <x v="0"/>
    <x v="1"/>
    <s v="Senior"/>
    <s v="Needs Improvement"/>
    <s v="Neutral"/>
  </r>
  <r>
    <s v="EMP369"/>
    <s v="Sneha Nair"/>
    <x v="0"/>
    <x v="16"/>
    <x v="2"/>
    <s v="Analyst"/>
    <x v="3"/>
    <n v="107000"/>
    <n v="2"/>
    <x v="0"/>
    <n v="2"/>
    <x v="0"/>
    <x v="0"/>
    <s v="Married"/>
    <s v="Mumbai"/>
    <x v="2"/>
    <x v="2"/>
    <s v="Junior"/>
    <s v="Needs Improvement"/>
    <s v="Dissatisfied"/>
  </r>
  <r>
    <s v="EMP370"/>
    <s v="Neha Raj"/>
    <x v="0"/>
    <x v="1"/>
    <x v="5"/>
    <s v="Software Engineer"/>
    <x v="1"/>
    <n v="115000"/>
    <n v="0"/>
    <x v="2"/>
    <n v="3"/>
    <x v="1"/>
    <x v="1"/>
    <s v="Single"/>
    <s v="Delhi"/>
    <x v="1"/>
    <x v="2"/>
    <s v="Junior"/>
    <s v="High Performer"/>
    <s v="Neutral"/>
  </r>
  <r>
    <s v="EMP371"/>
    <s v="Karthik Menon"/>
    <x v="0"/>
    <x v="5"/>
    <x v="3"/>
    <s v="Manager"/>
    <x v="2"/>
    <n v="80000"/>
    <n v="20"/>
    <x v="1"/>
    <n v="4"/>
    <x v="0"/>
    <x v="1"/>
    <s v="Single"/>
    <s v="Chennai"/>
    <x v="0"/>
    <x v="2"/>
    <s v="Senior"/>
    <s v="High Performer"/>
    <s v="Satisfied"/>
  </r>
  <r>
    <s v="EMP372"/>
    <s v="Rahul Reddy"/>
    <x v="0"/>
    <x v="6"/>
    <x v="2"/>
    <s v="Analyst"/>
    <x v="0"/>
    <n v="67000"/>
    <n v="4"/>
    <x v="3"/>
    <n v="2"/>
    <x v="0"/>
    <x v="1"/>
    <s v="Married"/>
    <s v="Mumbai"/>
    <x v="2"/>
    <x v="1"/>
    <s v="Mid-Level"/>
    <s v="Needs Improvement"/>
    <s v="Dissatisfied"/>
  </r>
  <r>
    <s v="EMP373"/>
    <s v="Amit Nair"/>
    <x v="0"/>
    <x v="3"/>
    <x v="4"/>
    <s v="Executive"/>
    <x v="2"/>
    <n v="107000"/>
    <n v="8"/>
    <x v="3"/>
    <n v="3"/>
    <x v="0"/>
    <x v="1"/>
    <s v="Single"/>
    <s v="Bangalore"/>
    <x v="2"/>
    <x v="2"/>
    <s v="Senior"/>
    <s v="Needs Improvement"/>
    <s v="Neutral"/>
  </r>
  <r>
    <s v="EMP374"/>
    <s v="Nisha Sharma"/>
    <x v="0"/>
    <x v="19"/>
    <x v="0"/>
    <s v="HR Executive"/>
    <x v="3"/>
    <n v="90000"/>
    <n v="17"/>
    <x v="0"/>
    <n v="2"/>
    <x v="0"/>
    <x v="0"/>
    <s v="Single"/>
    <s v="Mumbai"/>
    <x v="2"/>
    <x v="2"/>
    <s v="Senior"/>
    <s v="Needs Improvement"/>
    <s v="Dissatisfied"/>
  </r>
  <r>
    <s v="EMP375"/>
    <s v="Rohit Verma"/>
    <x v="1"/>
    <x v="18"/>
    <x v="3"/>
    <s v="Executive"/>
    <x v="3"/>
    <n v="57000"/>
    <n v="7"/>
    <x v="0"/>
    <n v="4"/>
    <x v="0"/>
    <x v="1"/>
    <s v="Married"/>
    <s v="Delhi"/>
    <x v="3"/>
    <x v="1"/>
    <s v="Senior"/>
    <s v="Needs Improvement"/>
    <s v="Satisfied"/>
  </r>
  <r>
    <s v="EMP376"/>
    <s v="Sneha Raj"/>
    <x v="1"/>
    <x v="2"/>
    <x v="1"/>
    <s v="Manager"/>
    <x v="0"/>
    <n v="26000"/>
    <n v="12"/>
    <x v="2"/>
    <n v="1"/>
    <x v="1"/>
    <x v="1"/>
    <s v="Married"/>
    <s v="Delhi"/>
    <x v="2"/>
    <x v="0"/>
    <s v="Senior"/>
    <s v="High Performer"/>
    <s v="Dissatisfied"/>
  </r>
  <r>
    <s v="EMP377"/>
    <s v="Sanjay Kumar"/>
    <x v="1"/>
    <x v="5"/>
    <x v="3"/>
    <s v="Manager"/>
    <x v="0"/>
    <n v="65000"/>
    <n v="18"/>
    <x v="0"/>
    <n v="3"/>
    <x v="1"/>
    <x v="1"/>
    <s v="Single"/>
    <s v="Chennai"/>
    <x v="0"/>
    <x v="1"/>
    <s v="Senior"/>
    <s v="Needs Improvement"/>
    <s v="Neutral"/>
  </r>
  <r>
    <s v="EMP378"/>
    <s v="Nisha Iyer"/>
    <x v="0"/>
    <x v="9"/>
    <x v="4"/>
    <s v="Executive"/>
    <x v="2"/>
    <n v="30000"/>
    <n v="8"/>
    <x v="2"/>
    <n v="2"/>
    <x v="0"/>
    <x v="0"/>
    <s v="Married"/>
    <s v="Hyderabad"/>
    <x v="0"/>
    <x v="0"/>
    <s v="Senior"/>
    <s v="High Performer"/>
    <s v="Dissatisfied"/>
  </r>
  <r>
    <s v="EMP379"/>
    <s v="Divya Singh"/>
    <x v="1"/>
    <x v="27"/>
    <x v="0"/>
    <s v="Recruiter"/>
    <x v="2"/>
    <n v="35000"/>
    <n v="3"/>
    <x v="2"/>
    <n v="4"/>
    <x v="0"/>
    <x v="1"/>
    <s v="Single"/>
    <s v="Mumbai"/>
    <x v="1"/>
    <x v="0"/>
    <s v="Mid-Level"/>
    <s v="High Performer"/>
    <s v="Satisfied"/>
  </r>
  <r>
    <s v="EMP380"/>
    <s v="Nisha Sharma"/>
    <x v="0"/>
    <x v="25"/>
    <x v="4"/>
    <s v="Manager"/>
    <x v="0"/>
    <n v="62000"/>
    <n v="18"/>
    <x v="2"/>
    <n v="3"/>
    <x v="1"/>
    <x v="1"/>
    <s v="Single"/>
    <s v="Mumbai"/>
    <x v="0"/>
    <x v="1"/>
    <s v="Senior"/>
    <s v="High Performer"/>
    <s v="Neutral"/>
  </r>
  <r>
    <s v="EMP381"/>
    <s v="Arjun Nair"/>
    <x v="0"/>
    <x v="17"/>
    <x v="5"/>
    <s v="Software Engineer"/>
    <x v="1"/>
    <n v="115000"/>
    <n v="1"/>
    <x v="3"/>
    <n v="5"/>
    <x v="1"/>
    <x v="1"/>
    <s v="Single"/>
    <s v="Bangalore"/>
    <x v="3"/>
    <x v="2"/>
    <s v="Junior"/>
    <s v="Needs Improvement"/>
    <s v="Satisfied"/>
  </r>
  <r>
    <s v="EMP382"/>
    <s v="Priya Kumar"/>
    <x v="0"/>
    <x v="33"/>
    <x v="2"/>
    <s v="Accountant"/>
    <x v="2"/>
    <n v="52000"/>
    <n v="8"/>
    <x v="1"/>
    <n v="4"/>
    <x v="0"/>
    <x v="1"/>
    <s v="Married"/>
    <s v="Kochi"/>
    <x v="0"/>
    <x v="1"/>
    <s v="Senior"/>
    <s v="High Performer"/>
    <s v="Satisfied"/>
  </r>
  <r>
    <s v="EMP383"/>
    <s v="Anjali Iyer"/>
    <x v="1"/>
    <x v="23"/>
    <x v="3"/>
    <s v="Executive"/>
    <x v="2"/>
    <n v="110000"/>
    <n v="4"/>
    <x v="0"/>
    <n v="3"/>
    <x v="0"/>
    <x v="1"/>
    <s v="Married"/>
    <s v="Kochi"/>
    <x v="3"/>
    <x v="2"/>
    <s v="Mid-Level"/>
    <s v="Needs Improvement"/>
    <s v="Neutral"/>
  </r>
  <r>
    <s v="EMP384"/>
    <s v="Divya Singh"/>
    <x v="1"/>
    <x v="12"/>
    <x v="4"/>
    <s v="Manager"/>
    <x v="0"/>
    <n v="87000"/>
    <n v="6"/>
    <x v="3"/>
    <n v="2"/>
    <x v="0"/>
    <x v="0"/>
    <s v="Married"/>
    <s v="Hyderabad"/>
    <x v="3"/>
    <x v="2"/>
    <s v="Mid-Level"/>
    <s v="Needs Improvement"/>
    <s v="Dissatisfied"/>
  </r>
  <r>
    <s v="EMP385"/>
    <s v="Vivek Raj"/>
    <x v="0"/>
    <x v="31"/>
    <x v="0"/>
    <s v="HR Executive"/>
    <x v="2"/>
    <n v="28000"/>
    <n v="2"/>
    <x v="0"/>
    <n v="4"/>
    <x v="0"/>
    <x v="1"/>
    <s v="Married"/>
    <s v="Kochi"/>
    <x v="3"/>
    <x v="0"/>
    <s v="Junior"/>
    <s v="Needs Improvement"/>
    <s v="Satisfied"/>
  </r>
  <r>
    <s v="EMP386"/>
    <s v="Amit Raj"/>
    <x v="1"/>
    <x v="25"/>
    <x v="5"/>
    <s v="Data Analyst"/>
    <x v="2"/>
    <n v="62000"/>
    <n v="0"/>
    <x v="0"/>
    <n v="3"/>
    <x v="1"/>
    <x v="1"/>
    <s v="Single"/>
    <s v="Kochi"/>
    <x v="0"/>
    <x v="1"/>
    <s v="Junior"/>
    <s v="Needs Improvement"/>
    <s v="Neutral"/>
  </r>
  <r>
    <s v="EMP387"/>
    <s v="Anjali Iyer"/>
    <x v="0"/>
    <x v="17"/>
    <x v="3"/>
    <s v="Manager"/>
    <x v="1"/>
    <n v="72000"/>
    <n v="1"/>
    <x v="3"/>
    <n v="2"/>
    <x v="0"/>
    <x v="1"/>
    <s v="Married"/>
    <s v="Coimbatore"/>
    <x v="3"/>
    <x v="2"/>
    <s v="Junior"/>
    <s v="Needs Improvement"/>
    <s v="Dissatisfied"/>
  </r>
  <r>
    <s v="EMP388"/>
    <s v="Amit Iyer"/>
    <x v="1"/>
    <x v="25"/>
    <x v="2"/>
    <s v="Analyst"/>
    <x v="2"/>
    <n v="119000"/>
    <n v="1"/>
    <x v="0"/>
    <n v="3"/>
    <x v="0"/>
    <x v="1"/>
    <s v="Married"/>
    <s v="Delhi"/>
    <x v="0"/>
    <x v="2"/>
    <s v="Junior"/>
    <s v="Needs Improvement"/>
    <s v="Neutral"/>
  </r>
  <r>
    <s v="EMP389"/>
    <s v="Sneha Nair"/>
    <x v="0"/>
    <x v="4"/>
    <x v="0"/>
    <s v="Recruiter"/>
    <x v="3"/>
    <n v="118000"/>
    <n v="7"/>
    <x v="2"/>
    <n v="3"/>
    <x v="0"/>
    <x v="1"/>
    <s v="Single"/>
    <s v="Pune"/>
    <x v="2"/>
    <x v="2"/>
    <s v="Senior"/>
    <s v="High Performer"/>
    <s v="Neutral"/>
  </r>
  <r>
    <s v="EMP390"/>
    <s v="Neha Nair"/>
    <x v="1"/>
    <x v="20"/>
    <x v="0"/>
    <s v="Recruiter"/>
    <x v="0"/>
    <n v="99000"/>
    <n v="10"/>
    <x v="2"/>
    <n v="2"/>
    <x v="1"/>
    <x v="1"/>
    <s v="Single"/>
    <s v="Pune"/>
    <x v="0"/>
    <x v="2"/>
    <s v="Senior"/>
    <s v="High Performer"/>
    <s v="Dissatisfied"/>
  </r>
  <r>
    <s v="EMP391"/>
    <s v="Karthik Kumar"/>
    <x v="0"/>
    <x v="17"/>
    <x v="3"/>
    <s v="Executive"/>
    <x v="3"/>
    <n v="54000"/>
    <n v="1"/>
    <x v="0"/>
    <n v="4"/>
    <x v="0"/>
    <x v="1"/>
    <s v="Married"/>
    <s v="Bangalore"/>
    <x v="3"/>
    <x v="1"/>
    <s v="Junior"/>
    <s v="Needs Improvement"/>
    <s v="Satisfied"/>
  </r>
  <r>
    <s v="EMP392"/>
    <s v="Neha Patel"/>
    <x v="1"/>
    <x v="7"/>
    <x v="0"/>
    <s v="Recruiter"/>
    <x v="1"/>
    <n v="62000"/>
    <n v="4"/>
    <x v="1"/>
    <n v="3"/>
    <x v="0"/>
    <x v="1"/>
    <s v="Married"/>
    <s v="Bangalore"/>
    <x v="0"/>
    <x v="1"/>
    <s v="Mid-Level"/>
    <s v="High Performer"/>
    <s v="Neutral"/>
  </r>
  <r>
    <s v="EMP393"/>
    <s v="Sanjay Verma"/>
    <x v="1"/>
    <x v="26"/>
    <x v="5"/>
    <s v="Software Engineer"/>
    <x v="1"/>
    <n v="80000"/>
    <n v="0"/>
    <x v="1"/>
    <n v="5"/>
    <x v="0"/>
    <x v="1"/>
    <s v="Married"/>
    <s v="Hyderabad"/>
    <x v="2"/>
    <x v="2"/>
    <s v="Junior"/>
    <s v="High Performer"/>
    <s v="Satisfied"/>
  </r>
  <r>
    <s v="EMP394"/>
    <s v="Rohit Sharma"/>
    <x v="0"/>
    <x v="9"/>
    <x v="3"/>
    <s v="Manager"/>
    <x v="3"/>
    <n v="41000"/>
    <n v="3"/>
    <x v="3"/>
    <n v="1"/>
    <x v="0"/>
    <x v="1"/>
    <s v="Married"/>
    <s v="Kochi"/>
    <x v="0"/>
    <x v="1"/>
    <s v="Mid-Level"/>
    <s v="Needs Improvement"/>
    <s v="Dissatisfied"/>
  </r>
  <r>
    <s v="EMP395"/>
    <s v="Rohit Kumar"/>
    <x v="1"/>
    <x v="27"/>
    <x v="3"/>
    <s v="Manager"/>
    <x v="1"/>
    <n v="83000"/>
    <n v="18"/>
    <x v="2"/>
    <n v="2"/>
    <x v="1"/>
    <x v="1"/>
    <s v="Married"/>
    <s v="Chennai"/>
    <x v="1"/>
    <x v="2"/>
    <s v="Senior"/>
    <s v="High Performer"/>
    <s v="Dissatisfied"/>
  </r>
  <r>
    <s v="EMP396"/>
    <s v="Nisha Verma"/>
    <x v="1"/>
    <x v="24"/>
    <x v="2"/>
    <s v="Analyst"/>
    <x v="2"/>
    <n v="102000"/>
    <n v="10"/>
    <x v="1"/>
    <n v="5"/>
    <x v="1"/>
    <x v="0"/>
    <s v="Married"/>
    <s v="Chennai"/>
    <x v="2"/>
    <x v="2"/>
    <s v="Senior"/>
    <s v="High Performer"/>
    <s v="Satisfied"/>
  </r>
  <r>
    <s v="EMP397"/>
    <s v="Arjun Kumar"/>
    <x v="0"/>
    <x v="16"/>
    <x v="1"/>
    <s v="Manager"/>
    <x v="1"/>
    <n v="37000"/>
    <n v="8"/>
    <x v="0"/>
    <n v="4"/>
    <x v="1"/>
    <x v="1"/>
    <s v="Single"/>
    <s v="Mumbai"/>
    <x v="2"/>
    <x v="0"/>
    <s v="Senior"/>
    <s v="Needs Improvement"/>
    <s v="Satisfied"/>
  </r>
  <r>
    <s v="EMP398"/>
    <s v="Vivek Iyer"/>
    <x v="0"/>
    <x v="1"/>
    <x v="0"/>
    <s v="HR Executive"/>
    <x v="3"/>
    <n v="39000"/>
    <n v="13"/>
    <x v="0"/>
    <n v="5"/>
    <x v="1"/>
    <x v="1"/>
    <s v="Single"/>
    <s v="Bangalore"/>
    <x v="1"/>
    <x v="0"/>
    <s v="Senior"/>
    <s v="Needs Improvement"/>
    <s v="Satisfied"/>
  </r>
  <r>
    <s v="EMP399"/>
    <s v="Karthik Kumar"/>
    <x v="0"/>
    <x v="28"/>
    <x v="0"/>
    <s v="Recruiter"/>
    <x v="1"/>
    <n v="67000"/>
    <n v="15"/>
    <x v="1"/>
    <n v="1"/>
    <x v="1"/>
    <x v="1"/>
    <s v="Single"/>
    <s v="Bangalore"/>
    <x v="0"/>
    <x v="1"/>
    <s v="Senior"/>
    <s v="High Performer"/>
    <s v="Dissatisfied"/>
  </r>
  <r>
    <s v="EMP400"/>
    <s v="Sanjay Reddy"/>
    <x v="1"/>
    <x v="17"/>
    <x v="1"/>
    <s v="Executive"/>
    <x v="2"/>
    <n v="44000"/>
    <n v="1"/>
    <x v="0"/>
    <n v="3"/>
    <x v="1"/>
    <x v="1"/>
    <s v="Single"/>
    <s v="Bangalore"/>
    <x v="3"/>
    <x v="1"/>
    <s v="Junior"/>
    <s v="Needs Improvement"/>
    <s v="Neutral"/>
  </r>
  <r>
    <s v="EMP401"/>
    <s v="Neha Reddy"/>
    <x v="1"/>
    <x v="17"/>
    <x v="3"/>
    <s v="Manager"/>
    <x v="0"/>
    <n v="66000"/>
    <n v="1"/>
    <x v="1"/>
    <n v="5"/>
    <x v="0"/>
    <x v="1"/>
    <s v="Married"/>
    <s v="Pune"/>
    <x v="3"/>
    <x v="1"/>
    <s v="Junior"/>
    <s v="High Performer"/>
    <s v="Satisfied"/>
  </r>
  <r>
    <s v="EMP402"/>
    <s v="Neha Patel"/>
    <x v="1"/>
    <x v="3"/>
    <x v="0"/>
    <s v="Recruiter"/>
    <x v="1"/>
    <n v="75000"/>
    <n v="7"/>
    <x v="3"/>
    <n v="2"/>
    <x v="1"/>
    <x v="1"/>
    <s v="Single"/>
    <s v="Delhi"/>
    <x v="2"/>
    <x v="2"/>
    <s v="Senior"/>
    <s v="Needs Improvement"/>
    <s v="Dissatisfied"/>
  </r>
  <r>
    <s v="EMP403"/>
    <s v="Sneha Singh"/>
    <x v="0"/>
    <x v="28"/>
    <x v="3"/>
    <s v="Executive"/>
    <x v="1"/>
    <n v="31000"/>
    <n v="17"/>
    <x v="0"/>
    <n v="4"/>
    <x v="1"/>
    <x v="1"/>
    <s v="Married"/>
    <s v="Kochi"/>
    <x v="0"/>
    <x v="0"/>
    <s v="Senior"/>
    <s v="Needs Improvement"/>
    <s v="Satisfied"/>
  </r>
  <r>
    <s v="EMP404"/>
    <s v="Pooja Raj"/>
    <x v="0"/>
    <x v="24"/>
    <x v="0"/>
    <s v="HR Executive"/>
    <x v="3"/>
    <n v="99000"/>
    <n v="10"/>
    <x v="1"/>
    <n v="2"/>
    <x v="1"/>
    <x v="1"/>
    <s v="Single"/>
    <s v="Coimbatore"/>
    <x v="2"/>
    <x v="2"/>
    <s v="Senior"/>
    <s v="High Performer"/>
    <s v="Dissatisfied"/>
  </r>
  <r>
    <s v="EMP405"/>
    <s v="Priya Iyer"/>
    <x v="1"/>
    <x v="20"/>
    <x v="4"/>
    <s v="Executive"/>
    <x v="0"/>
    <n v="37000"/>
    <n v="13"/>
    <x v="0"/>
    <n v="5"/>
    <x v="0"/>
    <x v="1"/>
    <s v="Married"/>
    <s v="Mumbai"/>
    <x v="0"/>
    <x v="0"/>
    <s v="Senior"/>
    <s v="Needs Improvement"/>
    <s v="Satisfied"/>
  </r>
  <r>
    <s v="EMP406"/>
    <s v="Karthik Singh"/>
    <x v="1"/>
    <x v="29"/>
    <x v="4"/>
    <s v="Executive"/>
    <x v="3"/>
    <n v="83000"/>
    <n v="14"/>
    <x v="1"/>
    <n v="2"/>
    <x v="0"/>
    <x v="1"/>
    <s v="Married"/>
    <s v="Mumbai"/>
    <x v="2"/>
    <x v="2"/>
    <s v="Senior"/>
    <s v="High Performer"/>
    <s v="Dissatisfied"/>
  </r>
  <r>
    <s v="EMP407"/>
    <s v="Neha Singh"/>
    <x v="1"/>
    <x v="6"/>
    <x v="2"/>
    <s v="Analyst"/>
    <x v="0"/>
    <n v="92000"/>
    <n v="9"/>
    <x v="3"/>
    <n v="2"/>
    <x v="0"/>
    <x v="1"/>
    <s v="Single"/>
    <s v="Kochi"/>
    <x v="2"/>
    <x v="2"/>
    <s v="Senior"/>
    <s v="Needs Improvement"/>
    <s v="Dissatisfied"/>
  </r>
  <r>
    <s v="EMP408"/>
    <s v="Arjun Verma"/>
    <x v="0"/>
    <x v="21"/>
    <x v="5"/>
    <s v="Software Engineer"/>
    <x v="0"/>
    <n v="79000"/>
    <n v="5"/>
    <x v="0"/>
    <n v="2"/>
    <x v="1"/>
    <x v="1"/>
    <s v="Married"/>
    <s v="Pune"/>
    <x v="3"/>
    <x v="2"/>
    <s v="Mid-Level"/>
    <s v="Needs Improvement"/>
    <s v="Dissatisfied"/>
  </r>
  <r>
    <s v="EMP409"/>
    <s v="Ajay Kumar"/>
    <x v="0"/>
    <x v="6"/>
    <x v="1"/>
    <s v="Executive"/>
    <x v="1"/>
    <n v="114000"/>
    <n v="9"/>
    <x v="1"/>
    <n v="2"/>
    <x v="1"/>
    <x v="1"/>
    <s v="Single"/>
    <s v="Pune"/>
    <x v="2"/>
    <x v="2"/>
    <s v="Senior"/>
    <s v="High Performer"/>
    <s v="Dissatisfied"/>
  </r>
  <r>
    <s v="EMP410"/>
    <s v="Nisha Raj"/>
    <x v="1"/>
    <x v="13"/>
    <x v="1"/>
    <s v="Manager"/>
    <x v="1"/>
    <n v="110000"/>
    <n v="10"/>
    <x v="2"/>
    <n v="4"/>
    <x v="1"/>
    <x v="1"/>
    <s v="Single"/>
    <s v="Hyderabad"/>
    <x v="0"/>
    <x v="2"/>
    <s v="Senior"/>
    <s v="High Performer"/>
    <s v="Satisfied"/>
  </r>
  <r>
    <s v="EMP411"/>
    <s v="Amit Reddy"/>
    <x v="1"/>
    <x v="32"/>
    <x v="0"/>
    <s v="HR Executive"/>
    <x v="0"/>
    <n v="88000"/>
    <n v="5"/>
    <x v="2"/>
    <n v="3"/>
    <x v="0"/>
    <x v="1"/>
    <s v="Single"/>
    <s v="Delhi"/>
    <x v="1"/>
    <x v="2"/>
    <s v="Mid-Level"/>
    <s v="High Performer"/>
    <s v="Neutral"/>
  </r>
  <r>
    <s v="EMP412"/>
    <s v="Arjun Patel"/>
    <x v="1"/>
    <x v="4"/>
    <x v="4"/>
    <s v="Executive"/>
    <x v="0"/>
    <n v="65000"/>
    <n v="3"/>
    <x v="3"/>
    <n v="5"/>
    <x v="1"/>
    <x v="1"/>
    <s v="Single"/>
    <s v="Bangalore"/>
    <x v="2"/>
    <x v="1"/>
    <s v="Mid-Level"/>
    <s v="Needs Improvement"/>
    <s v="Satisfied"/>
  </r>
  <r>
    <s v="EMP413"/>
    <s v="Sneha Menon"/>
    <x v="0"/>
    <x v="16"/>
    <x v="4"/>
    <s v="Manager"/>
    <x v="0"/>
    <n v="94000"/>
    <n v="1"/>
    <x v="3"/>
    <n v="1"/>
    <x v="1"/>
    <x v="1"/>
    <s v="Single"/>
    <s v="Pune"/>
    <x v="2"/>
    <x v="2"/>
    <s v="Junior"/>
    <s v="Needs Improvement"/>
    <s v="Dissatisfied"/>
  </r>
  <r>
    <s v="EMP414"/>
    <s v="Sneha Kumar"/>
    <x v="1"/>
    <x v="21"/>
    <x v="2"/>
    <s v="Analyst"/>
    <x v="3"/>
    <n v="101000"/>
    <n v="5"/>
    <x v="2"/>
    <n v="1"/>
    <x v="1"/>
    <x v="1"/>
    <s v="Single"/>
    <s v="Pune"/>
    <x v="3"/>
    <x v="2"/>
    <s v="Mid-Level"/>
    <s v="High Performer"/>
    <s v="Dissatisfied"/>
  </r>
  <r>
    <s v="EMP415"/>
    <s v="Pooja Patel"/>
    <x v="1"/>
    <x v="23"/>
    <x v="3"/>
    <s v="Manager"/>
    <x v="2"/>
    <n v="57000"/>
    <n v="2"/>
    <x v="2"/>
    <n v="1"/>
    <x v="0"/>
    <x v="0"/>
    <s v="Married"/>
    <s v="Mumbai"/>
    <x v="3"/>
    <x v="1"/>
    <s v="Junior"/>
    <s v="High Performer"/>
    <s v="Dissatisfied"/>
  </r>
  <r>
    <s v="EMP416"/>
    <s v="Divya Patel"/>
    <x v="0"/>
    <x v="20"/>
    <x v="3"/>
    <s v="Manager"/>
    <x v="1"/>
    <n v="77000"/>
    <n v="3"/>
    <x v="1"/>
    <n v="4"/>
    <x v="0"/>
    <x v="1"/>
    <s v="Single"/>
    <s v="Kochi"/>
    <x v="0"/>
    <x v="2"/>
    <s v="Mid-Level"/>
    <s v="High Performer"/>
    <s v="Satisfied"/>
  </r>
  <r>
    <s v="EMP417"/>
    <s v="Arjun Raj"/>
    <x v="0"/>
    <x v="26"/>
    <x v="5"/>
    <s v="Software Engineer"/>
    <x v="3"/>
    <n v="46000"/>
    <n v="11"/>
    <x v="1"/>
    <n v="3"/>
    <x v="0"/>
    <x v="1"/>
    <s v="Married"/>
    <s v="Kochi"/>
    <x v="2"/>
    <x v="1"/>
    <s v="Senior"/>
    <s v="High Performer"/>
    <s v="Neutral"/>
  </r>
  <r>
    <s v="EMP418"/>
    <s v="Amit Patel"/>
    <x v="0"/>
    <x v="4"/>
    <x v="2"/>
    <s v="Analyst"/>
    <x v="2"/>
    <n v="77000"/>
    <n v="12"/>
    <x v="2"/>
    <n v="2"/>
    <x v="1"/>
    <x v="1"/>
    <s v="Single"/>
    <s v="Hyderabad"/>
    <x v="2"/>
    <x v="2"/>
    <s v="Senior"/>
    <s v="High Performer"/>
    <s v="Dissatisfied"/>
  </r>
  <r>
    <s v="EMP419"/>
    <s v="Meera Reddy"/>
    <x v="0"/>
    <x v="18"/>
    <x v="4"/>
    <s v="Manager"/>
    <x v="2"/>
    <n v="52000"/>
    <n v="4"/>
    <x v="3"/>
    <n v="2"/>
    <x v="0"/>
    <x v="1"/>
    <s v="Single"/>
    <s v="Coimbatore"/>
    <x v="3"/>
    <x v="1"/>
    <s v="Mid-Level"/>
    <s v="Needs Improvement"/>
    <s v="Dissatisfied"/>
  </r>
  <r>
    <s v="EMP420"/>
    <s v="Anjali Kumar"/>
    <x v="1"/>
    <x v="26"/>
    <x v="5"/>
    <s v="Software Engineer"/>
    <x v="0"/>
    <n v="75000"/>
    <n v="0"/>
    <x v="3"/>
    <n v="1"/>
    <x v="1"/>
    <x v="1"/>
    <s v="Single"/>
    <s v="Kochi"/>
    <x v="2"/>
    <x v="2"/>
    <s v="Junior"/>
    <s v="Needs Improvement"/>
    <s v="Dissatisfied"/>
  </r>
  <r>
    <s v="EMP421"/>
    <s v="Karthik Verma"/>
    <x v="0"/>
    <x v="30"/>
    <x v="0"/>
    <s v="HR Executive"/>
    <x v="2"/>
    <n v="62000"/>
    <n v="8"/>
    <x v="0"/>
    <n v="5"/>
    <x v="1"/>
    <x v="1"/>
    <s v="Single"/>
    <s v="Kochi"/>
    <x v="3"/>
    <x v="1"/>
    <s v="Senior"/>
    <s v="Needs Improvement"/>
    <s v="Satisfied"/>
  </r>
  <r>
    <s v="EMP422"/>
    <s v="Rahul Verma"/>
    <x v="1"/>
    <x v="16"/>
    <x v="0"/>
    <s v="Recruiter"/>
    <x v="1"/>
    <n v="115000"/>
    <n v="16"/>
    <x v="3"/>
    <n v="5"/>
    <x v="1"/>
    <x v="1"/>
    <s v="Single"/>
    <s v="Pune"/>
    <x v="2"/>
    <x v="2"/>
    <s v="Senior"/>
    <s v="Needs Improvement"/>
    <s v="Satisfied"/>
  </r>
  <r>
    <s v="EMP423"/>
    <s v="Pooja Kumar"/>
    <x v="0"/>
    <x v="31"/>
    <x v="4"/>
    <s v="Executive"/>
    <x v="2"/>
    <n v="120000"/>
    <n v="2"/>
    <x v="3"/>
    <n v="2"/>
    <x v="0"/>
    <x v="0"/>
    <s v="Single"/>
    <s v="Chennai"/>
    <x v="3"/>
    <x v="2"/>
    <s v="Junior"/>
    <s v="Needs Improvement"/>
    <s v="Dissatisfied"/>
  </r>
  <r>
    <s v="EMP424"/>
    <s v="Vivek Nair"/>
    <x v="1"/>
    <x v="19"/>
    <x v="2"/>
    <s v="Analyst"/>
    <x v="2"/>
    <n v="84000"/>
    <n v="15"/>
    <x v="3"/>
    <n v="5"/>
    <x v="1"/>
    <x v="1"/>
    <s v="Single"/>
    <s v="Hyderabad"/>
    <x v="2"/>
    <x v="2"/>
    <s v="Senior"/>
    <s v="Needs Improvement"/>
    <s v="Satisfied"/>
  </r>
  <r>
    <s v="EMP425"/>
    <s v="Nisha Patel"/>
    <x v="1"/>
    <x v="5"/>
    <x v="2"/>
    <s v="Analyst"/>
    <x v="2"/>
    <n v="44000"/>
    <n v="5"/>
    <x v="0"/>
    <n v="2"/>
    <x v="1"/>
    <x v="1"/>
    <s v="Single"/>
    <s v="Chennai"/>
    <x v="0"/>
    <x v="1"/>
    <s v="Mid-Level"/>
    <s v="Needs Improvement"/>
    <s v="Dissatisfied"/>
  </r>
  <r>
    <s v="EMP426"/>
    <s v="Divya Reddy"/>
    <x v="0"/>
    <x v="11"/>
    <x v="4"/>
    <s v="Manager"/>
    <x v="3"/>
    <n v="117000"/>
    <n v="6"/>
    <x v="2"/>
    <n v="4"/>
    <x v="0"/>
    <x v="1"/>
    <s v="Single"/>
    <s v="Coimbatore"/>
    <x v="0"/>
    <x v="2"/>
    <s v="Mid-Level"/>
    <s v="High Performer"/>
    <s v="Satisfied"/>
  </r>
  <r>
    <s v="EMP427"/>
    <s v="Ajay Reddy"/>
    <x v="1"/>
    <x v="13"/>
    <x v="4"/>
    <s v="Manager"/>
    <x v="1"/>
    <n v="67000"/>
    <n v="10"/>
    <x v="0"/>
    <n v="5"/>
    <x v="1"/>
    <x v="1"/>
    <s v="Single"/>
    <s v="Chennai"/>
    <x v="0"/>
    <x v="1"/>
    <s v="Senior"/>
    <s v="Needs Improvement"/>
    <s v="Satisfied"/>
  </r>
  <r>
    <s v="EMP428"/>
    <s v="Divya Verma"/>
    <x v="0"/>
    <x v="30"/>
    <x v="2"/>
    <s v="Accountant"/>
    <x v="3"/>
    <n v="108000"/>
    <n v="8"/>
    <x v="0"/>
    <n v="2"/>
    <x v="0"/>
    <x v="0"/>
    <s v="Married"/>
    <s v="Hyderabad"/>
    <x v="3"/>
    <x v="2"/>
    <s v="Senior"/>
    <s v="Needs Improvement"/>
    <s v="Dissatisfied"/>
  </r>
  <r>
    <s v="EMP429"/>
    <s v="Amit Reddy"/>
    <x v="0"/>
    <x v="19"/>
    <x v="0"/>
    <s v="HR Executive"/>
    <x v="0"/>
    <n v="63000"/>
    <n v="0"/>
    <x v="0"/>
    <n v="3"/>
    <x v="1"/>
    <x v="1"/>
    <s v="Single"/>
    <s v="Chennai"/>
    <x v="2"/>
    <x v="1"/>
    <s v="Junior"/>
    <s v="Needs Improvement"/>
    <s v="Neutral"/>
  </r>
  <r>
    <s v="EMP430"/>
    <s v="Neha Reddy"/>
    <x v="0"/>
    <x v="24"/>
    <x v="5"/>
    <s v="Data Analyst"/>
    <x v="1"/>
    <n v="101000"/>
    <n v="3"/>
    <x v="2"/>
    <n v="2"/>
    <x v="1"/>
    <x v="1"/>
    <s v="Married"/>
    <s v="Delhi"/>
    <x v="2"/>
    <x v="2"/>
    <s v="Mid-Level"/>
    <s v="High Performer"/>
    <s v="Dissatisfied"/>
  </r>
  <r>
    <s v="EMP431"/>
    <s v="Sanjay Iyer"/>
    <x v="0"/>
    <x v="4"/>
    <x v="0"/>
    <s v="Recruiter"/>
    <x v="2"/>
    <n v="72000"/>
    <n v="13"/>
    <x v="2"/>
    <n v="3"/>
    <x v="1"/>
    <x v="1"/>
    <s v="Single"/>
    <s v="Kochi"/>
    <x v="2"/>
    <x v="2"/>
    <s v="Senior"/>
    <s v="High Performer"/>
    <s v="Neutral"/>
  </r>
  <r>
    <s v="EMP432"/>
    <s v="Sneha Reddy"/>
    <x v="0"/>
    <x v="30"/>
    <x v="3"/>
    <s v="Executive"/>
    <x v="3"/>
    <n v="72000"/>
    <n v="8"/>
    <x v="1"/>
    <n v="2"/>
    <x v="0"/>
    <x v="1"/>
    <s v="Married"/>
    <s v="Kochi"/>
    <x v="3"/>
    <x v="2"/>
    <s v="Senior"/>
    <s v="High Performer"/>
    <s v="Dissatisfied"/>
  </r>
  <r>
    <s v="EMP433"/>
    <s v="Divya Iyer"/>
    <x v="1"/>
    <x v="30"/>
    <x v="5"/>
    <s v="Data Analyst"/>
    <x v="1"/>
    <n v="104000"/>
    <n v="8"/>
    <x v="0"/>
    <n v="4"/>
    <x v="0"/>
    <x v="1"/>
    <s v="Single"/>
    <s v="Coimbatore"/>
    <x v="3"/>
    <x v="2"/>
    <s v="Senior"/>
    <s v="Needs Improvement"/>
    <s v="Satisfied"/>
  </r>
  <r>
    <s v="EMP434"/>
    <s v="Nisha Menon"/>
    <x v="1"/>
    <x v="22"/>
    <x v="0"/>
    <s v="Recruiter"/>
    <x v="1"/>
    <n v="112000"/>
    <n v="7"/>
    <x v="2"/>
    <n v="5"/>
    <x v="0"/>
    <x v="1"/>
    <s v="Single"/>
    <s v="Chennai"/>
    <x v="2"/>
    <x v="2"/>
    <s v="Senior"/>
    <s v="High Performer"/>
    <s v="Satisfied"/>
  </r>
  <r>
    <s v="EMP435"/>
    <s v="Neha Iyer"/>
    <x v="0"/>
    <x v="32"/>
    <x v="0"/>
    <s v="Recruiter"/>
    <x v="2"/>
    <n v="70000"/>
    <n v="6"/>
    <x v="3"/>
    <n v="1"/>
    <x v="0"/>
    <x v="0"/>
    <s v="Married"/>
    <s v="Chennai"/>
    <x v="1"/>
    <x v="2"/>
    <s v="Mid-Level"/>
    <s v="Needs Improvement"/>
    <s v="Dissatisfied"/>
  </r>
  <r>
    <s v="EMP436"/>
    <s v="Rahul Menon"/>
    <x v="0"/>
    <x v="21"/>
    <x v="3"/>
    <s v="Manager"/>
    <x v="1"/>
    <n v="63000"/>
    <n v="5"/>
    <x v="3"/>
    <n v="1"/>
    <x v="0"/>
    <x v="0"/>
    <s v="Married"/>
    <s v="Coimbatore"/>
    <x v="3"/>
    <x v="1"/>
    <s v="Mid-Level"/>
    <s v="Needs Improvement"/>
    <s v="Dissatisfied"/>
  </r>
  <r>
    <s v="EMP437"/>
    <s v="Sneha Patel"/>
    <x v="1"/>
    <x v="11"/>
    <x v="5"/>
    <s v="Software Engineer"/>
    <x v="0"/>
    <n v="44000"/>
    <n v="16"/>
    <x v="2"/>
    <n v="3"/>
    <x v="0"/>
    <x v="1"/>
    <s v="Married"/>
    <s v="Coimbatore"/>
    <x v="0"/>
    <x v="1"/>
    <s v="Senior"/>
    <s v="High Performer"/>
    <s v="Neutral"/>
  </r>
  <r>
    <s v="EMP438"/>
    <s v="Vivek Menon"/>
    <x v="0"/>
    <x v="7"/>
    <x v="4"/>
    <s v="Executive"/>
    <x v="0"/>
    <n v="71000"/>
    <n v="5"/>
    <x v="0"/>
    <n v="4"/>
    <x v="0"/>
    <x v="1"/>
    <s v="Single"/>
    <s v="Coimbatore"/>
    <x v="0"/>
    <x v="2"/>
    <s v="Mid-Level"/>
    <s v="Needs Improvement"/>
    <s v="Satisfied"/>
  </r>
  <r>
    <s v="EMP439"/>
    <s v="Karthik Verma"/>
    <x v="1"/>
    <x v="28"/>
    <x v="5"/>
    <s v="Data Analyst"/>
    <x v="2"/>
    <n v="85000"/>
    <n v="1"/>
    <x v="1"/>
    <n v="1"/>
    <x v="1"/>
    <x v="0"/>
    <s v="Single"/>
    <s v="Delhi"/>
    <x v="0"/>
    <x v="2"/>
    <s v="Junior"/>
    <s v="High Performer"/>
    <s v="Dissatisfied"/>
  </r>
  <r>
    <s v="EMP440"/>
    <s v="Meera Menon"/>
    <x v="0"/>
    <x v="16"/>
    <x v="1"/>
    <s v="Manager"/>
    <x v="1"/>
    <n v="89000"/>
    <n v="14"/>
    <x v="0"/>
    <n v="3"/>
    <x v="1"/>
    <x v="1"/>
    <s v="Single"/>
    <s v="Bangalore"/>
    <x v="2"/>
    <x v="2"/>
    <s v="Senior"/>
    <s v="Needs Improvement"/>
    <s v="Neutral"/>
  </r>
  <r>
    <s v="EMP441"/>
    <s v="Anjali Verma"/>
    <x v="0"/>
    <x v="10"/>
    <x v="5"/>
    <s v="Software Engineer"/>
    <x v="3"/>
    <n v="87000"/>
    <n v="6"/>
    <x v="2"/>
    <n v="5"/>
    <x v="0"/>
    <x v="0"/>
    <s v="Married"/>
    <s v="Pune"/>
    <x v="1"/>
    <x v="2"/>
    <s v="Mid-Level"/>
    <s v="High Performer"/>
    <s v="Satisfied"/>
  </r>
  <r>
    <s v="EMP442"/>
    <s v="Vivek Reddy"/>
    <x v="0"/>
    <x v="31"/>
    <x v="5"/>
    <s v="Software Engineer"/>
    <x v="2"/>
    <n v="87000"/>
    <n v="2"/>
    <x v="2"/>
    <n v="4"/>
    <x v="0"/>
    <x v="1"/>
    <s v="Married"/>
    <s v="Pune"/>
    <x v="3"/>
    <x v="2"/>
    <s v="Junior"/>
    <s v="High Performer"/>
    <s v="Satisfied"/>
  </r>
  <r>
    <s v="EMP443"/>
    <s v="Divya Menon"/>
    <x v="1"/>
    <x v="14"/>
    <x v="4"/>
    <s v="Manager"/>
    <x v="0"/>
    <n v="35000"/>
    <n v="2"/>
    <x v="1"/>
    <n v="2"/>
    <x v="0"/>
    <x v="0"/>
    <s v="Married"/>
    <s v="Bangalore"/>
    <x v="3"/>
    <x v="0"/>
    <s v="Junior"/>
    <s v="High Performer"/>
    <s v="Dissatisfied"/>
  </r>
  <r>
    <s v="EMP444"/>
    <s v="Arjun Reddy"/>
    <x v="0"/>
    <x v="33"/>
    <x v="3"/>
    <s v="Executive"/>
    <x v="3"/>
    <n v="114000"/>
    <n v="5"/>
    <x v="2"/>
    <n v="3"/>
    <x v="0"/>
    <x v="1"/>
    <s v="Married"/>
    <s v="Delhi"/>
    <x v="0"/>
    <x v="2"/>
    <s v="Mid-Level"/>
    <s v="High Performer"/>
    <s v="Neutral"/>
  </r>
  <r>
    <s v="EMP445"/>
    <s v="Meera Menon"/>
    <x v="0"/>
    <x v="31"/>
    <x v="2"/>
    <s v="Analyst"/>
    <x v="0"/>
    <n v="26000"/>
    <n v="2"/>
    <x v="3"/>
    <n v="4"/>
    <x v="0"/>
    <x v="1"/>
    <s v="Married"/>
    <s v="Hyderabad"/>
    <x v="3"/>
    <x v="0"/>
    <s v="Junior"/>
    <s v="Needs Improvement"/>
    <s v="Satisfied"/>
  </r>
  <r>
    <s v="EMP446"/>
    <s v="Priya Kumar"/>
    <x v="1"/>
    <x v="21"/>
    <x v="1"/>
    <s v="Manager"/>
    <x v="2"/>
    <n v="85000"/>
    <n v="5"/>
    <x v="1"/>
    <n v="2"/>
    <x v="0"/>
    <x v="0"/>
    <s v="Single"/>
    <s v="Delhi"/>
    <x v="3"/>
    <x v="2"/>
    <s v="Mid-Level"/>
    <s v="High Performer"/>
    <s v="Dissatisfied"/>
  </r>
  <r>
    <s v="EMP447"/>
    <s v="Vivek Patel"/>
    <x v="0"/>
    <x v="29"/>
    <x v="3"/>
    <s v="Executive"/>
    <x v="1"/>
    <n v="54000"/>
    <n v="3"/>
    <x v="1"/>
    <n v="2"/>
    <x v="0"/>
    <x v="0"/>
    <s v="Single"/>
    <s v="Bangalore"/>
    <x v="2"/>
    <x v="1"/>
    <s v="Mid-Level"/>
    <s v="High Performer"/>
    <s v="Dissatisfied"/>
  </r>
  <r>
    <s v="EMP448"/>
    <s v="Rahul Reddy"/>
    <x v="0"/>
    <x v="33"/>
    <x v="4"/>
    <s v="Manager"/>
    <x v="0"/>
    <n v="48000"/>
    <n v="7"/>
    <x v="2"/>
    <n v="5"/>
    <x v="0"/>
    <x v="1"/>
    <s v="Single"/>
    <s v="Chennai"/>
    <x v="0"/>
    <x v="1"/>
    <s v="Senior"/>
    <s v="High Performer"/>
    <s v="Satisfied"/>
  </r>
  <r>
    <s v="EMP449"/>
    <s v="Amit Sharma"/>
    <x v="0"/>
    <x v="33"/>
    <x v="5"/>
    <s v="Software Engineer"/>
    <x v="2"/>
    <n v="60000"/>
    <n v="14"/>
    <x v="1"/>
    <n v="1"/>
    <x v="0"/>
    <x v="0"/>
    <s v="Married"/>
    <s v="Pune"/>
    <x v="0"/>
    <x v="1"/>
    <s v="Senior"/>
    <s v="High Performer"/>
    <s v="Dissatisfied"/>
  </r>
  <r>
    <s v="EMP450"/>
    <s v="Rahul Kumar"/>
    <x v="1"/>
    <x v="2"/>
    <x v="4"/>
    <s v="Manager"/>
    <x v="0"/>
    <n v="73000"/>
    <n v="12"/>
    <x v="0"/>
    <n v="2"/>
    <x v="1"/>
    <x v="1"/>
    <s v="Single"/>
    <s v="Bangalore"/>
    <x v="2"/>
    <x v="2"/>
    <s v="Senior"/>
    <s v="Needs Improvement"/>
    <s v="Dissatisfied"/>
  </r>
  <r>
    <s v="EMP451"/>
    <s v="Karthik Nair"/>
    <x v="1"/>
    <x v="19"/>
    <x v="3"/>
    <s v="Executive"/>
    <x v="2"/>
    <n v="45000"/>
    <n v="11"/>
    <x v="3"/>
    <n v="4"/>
    <x v="1"/>
    <x v="1"/>
    <s v="Single"/>
    <s v="Coimbatore"/>
    <x v="2"/>
    <x v="1"/>
    <s v="Senior"/>
    <s v="Needs Improvement"/>
    <s v="Satisfied"/>
  </r>
  <r>
    <s v="EMP452"/>
    <s v="Pooja Verma"/>
    <x v="0"/>
    <x v="4"/>
    <x v="5"/>
    <s v="Data Analyst"/>
    <x v="3"/>
    <n v="69000"/>
    <n v="12"/>
    <x v="0"/>
    <n v="4"/>
    <x v="0"/>
    <x v="1"/>
    <s v="Single"/>
    <s v="Kochi"/>
    <x v="2"/>
    <x v="1"/>
    <s v="Senior"/>
    <s v="Needs Improvement"/>
    <s v="Satisfied"/>
  </r>
  <r>
    <s v="EMP453"/>
    <s v="Priya Singh"/>
    <x v="1"/>
    <x v="5"/>
    <x v="4"/>
    <s v="Manager"/>
    <x v="0"/>
    <n v="109000"/>
    <n v="16"/>
    <x v="0"/>
    <n v="5"/>
    <x v="0"/>
    <x v="1"/>
    <s v="Married"/>
    <s v="Bangalore"/>
    <x v="0"/>
    <x v="2"/>
    <s v="Senior"/>
    <s v="Needs Improvement"/>
    <s v="Satisfied"/>
  </r>
  <r>
    <s v="EMP454"/>
    <s v="Pooja Patel"/>
    <x v="1"/>
    <x v="29"/>
    <x v="2"/>
    <s v="Analyst"/>
    <x v="2"/>
    <n v="85000"/>
    <n v="12"/>
    <x v="3"/>
    <n v="1"/>
    <x v="0"/>
    <x v="1"/>
    <s v="Single"/>
    <s v="Delhi"/>
    <x v="2"/>
    <x v="2"/>
    <s v="Senior"/>
    <s v="Needs Improvement"/>
    <s v="Dissatisfied"/>
  </r>
  <r>
    <s v="EMP455"/>
    <s v="Priya Menon"/>
    <x v="0"/>
    <x v="14"/>
    <x v="4"/>
    <s v="Manager"/>
    <x v="3"/>
    <n v="100000"/>
    <n v="3"/>
    <x v="3"/>
    <n v="1"/>
    <x v="0"/>
    <x v="0"/>
    <s v="Married"/>
    <s v="Bangalore"/>
    <x v="3"/>
    <x v="2"/>
    <s v="Mid-Level"/>
    <s v="Needs Improvement"/>
    <s v="Dissatisfied"/>
  </r>
  <r>
    <s v="EMP456"/>
    <s v="Sanjay Menon"/>
    <x v="0"/>
    <x v="20"/>
    <x v="0"/>
    <s v="HR Executive"/>
    <x v="3"/>
    <n v="95000"/>
    <n v="2"/>
    <x v="0"/>
    <n v="5"/>
    <x v="0"/>
    <x v="1"/>
    <s v="Single"/>
    <s v="Delhi"/>
    <x v="0"/>
    <x v="2"/>
    <s v="Junior"/>
    <s v="Needs Improvement"/>
    <s v="Satisfied"/>
  </r>
  <r>
    <s v="EMP457"/>
    <s v="Pooja Singh"/>
    <x v="1"/>
    <x v="24"/>
    <x v="5"/>
    <s v="Data Analyst"/>
    <x v="3"/>
    <n v="78000"/>
    <n v="5"/>
    <x v="3"/>
    <n v="3"/>
    <x v="0"/>
    <x v="1"/>
    <s v="Single"/>
    <s v="Hyderabad"/>
    <x v="2"/>
    <x v="2"/>
    <s v="Mid-Level"/>
    <s v="Needs Improvement"/>
    <s v="Neutral"/>
  </r>
  <r>
    <s v="EMP458"/>
    <s v="Anjali Kumar"/>
    <x v="1"/>
    <x v="10"/>
    <x v="2"/>
    <s v="Accountant"/>
    <x v="1"/>
    <n v="43000"/>
    <n v="1"/>
    <x v="2"/>
    <n v="5"/>
    <x v="0"/>
    <x v="1"/>
    <s v="Married"/>
    <s v="Coimbatore"/>
    <x v="1"/>
    <x v="1"/>
    <s v="Junior"/>
    <s v="High Performer"/>
    <s v="Satisfied"/>
  </r>
  <r>
    <s v="EMP459"/>
    <s v="Rahul Reddy"/>
    <x v="1"/>
    <x v="15"/>
    <x v="1"/>
    <s v="Manager"/>
    <x v="2"/>
    <n v="94000"/>
    <n v="9"/>
    <x v="3"/>
    <n v="2"/>
    <x v="1"/>
    <x v="1"/>
    <s v="Married"/>
    <s v="Chennai"/>
    <x v="1"/>
    <x v="2"/>
    <s v="Senior"/>
    <s v="Needs Improvement"/>
    <s v="Dissatisfied"/>
  </r>
  <r>
    <s v="EMP460"/>
    <s v="Rohit Verma"/>
    <x v="1"/>
    <x v="1"/>
    <x v="3"/>
    <s v="Executive"/>
    <x v="1"/>
    <n v="108000"/>
    <n v="11"/>
    <x v="3"/>
    <n v="1"/>
    <x v="0"/>
    <x v="1"/>
    <s v="Married"/>
    <s v="Bangalore"/>
    <x v="1"/>
    <x v="2"/>
    <s v="Senior"/>
    <s v="Needs Improvement"/>
    <s v="Dissatisfied"/>
  </r>
  <r>
    <s v="EMP461"/>
    <s v="Pooja Patel"/>
    <x v="1"/>
    <x v="13"/>
    <x v="1"/>
    <s v="Executive"/>
    <x v="1"/>
    <n v="44000"/>
    <n v="4"/>
    <x v="3"/>
    <n v="2"/>
    <x v="1"/>
    <x v="1"/>
    <s v="Married"/>
    <s v="Mumbai"/>
    <x v="0"/>
    <x v="1"/>
    <s v="Mid-Level"/>
    <s v="Needs Improvement"/>
    <s v="Dissatisfied"/>
  </r>
  <r>
    <s v="EMP462"/>
    <s v="Nisha Patel"/>
    <x v="1"/>
    <x v="15"/>
    <x v="0"/>
    <s v="HR Executive"/>
    <x v="2"/>
    <n v="32000"/>
    <n v="10"/>
    <x v="0"/>
    <n v="4"/>
    <x v="0"/>
    <x v="1"/>
    <s v="Single"/>
    <s v="Coimbatore"/>
    <x v="1"/>
    <x v="0"/>
    <s v="Senior"/>
    <s v="Needs Improvement"/>
    <s v="Satisfied"/>
  </r>
  <r>
    <s v="EMP463"/>
    <s v="Anjali Raj"/>
    <x v="1"/>
    <x v="24"/>
    <x v="1"/>
    <s v="Manager"/>
    <x v="3"/>
    <n v="47000"/>
    <n v="5"/>
    <x v="0"/>
    <n v="2"/>
    <x v="0"/>
    <x v="0"/>
    <s v="Married"/>
    <s v="Mumbai"/>
    <x v="2"/>
    <x v="1"/>
    <s v="Mid-Level"/>
    <s v="Needs Improvement"/>
    <s v="Dissatisfied"/>
  </r>
  <r>
    <s v="EMP464"/>
    <s v="Nisha Singh"/>
    <x v="1"/>
    <x v="20"/>
    <x v="3"/>
    <s v="Executive"/>
    <x v="1"/>
    <n v="36000"/>
    <n v="10"/>
    <x v="1"/>
    <n v="1"/>
    <x v="1"/>
    <x v="1"/>
    <s v="Single"/>
    <s v="Coimbatore"/>
    <x v="0"/>
    <x v="0"/>
    <s v="Senior"/>
    <s v="High Performer"/>
    <s v="Dissatisfied"/>
  </r>
  <r>
    <s v="EMP465"/>
    <s v="Priya Menon"/>
    <x v="1"/>
    <x v="5"/>
    <x v="5"/>
    <s v="Data Analyst"/>
    <x v="1"/>
    <n v="55000"/>
    <n v="17"/>
    <x v="3"/>
    <n v="1"/>
    <x v="0"/>
    <x v="0"/>
    <s v="Married"/>
    <s v="Chennai"/>
    <x v="0"/>
    <x v="1"/>
    <s v="Senior"/>
    <s v="Needs Improvement"/>
    <s v="Dissatisfied"/>
  </r>
  <r>
    <s v="EMP466"/>
    <s v="Divya Raj"/>
    <x v="0"/>
    <x v="16"/>
    <x v="1"/>
    <s v="Executive"/>
    <x v="3"/>
    <n v="84000"/>
    <n v="16"/>
    <x v="2"/>
    <n v="4"/>
    <x v="1"/>
    <x v="1"/>
    <s v="Married"/>
    <s v="Kochi"/>
    <x v="2"/>
    <x v="2"/>
    <s v="Senior"/>
    <s v="High Performer"/>
    <s v="Satisfied"/>
  </r>
  <r>
    <s v="EMP467"/>
    <s v="Vivek Verma"/>
    <x v="1"/>
    <x v="4"/>
    <x v="2"/>
    <s v="Analyst"/>
    <x v="3"/>
    <n v="45000"/>
    <n v="10"/>
    <x v="2"/>
    <n v="1"/>
    <x v="0"/>
    <x v="0"/>
    <s v="Married"/>
    <s v="Bangalore"/>
    <x v="2"/>
    <x v="1"/>
    <s v="Senior"/>
    <s v="High Performer"/>
    <s v="Dissatisfied"/>
  </r>
  <r>
    <s v="EMP468"/>
    <s v="Meera Menon"/>
    <x v="1"/>
    <x v="30"/>
    <x v="5"/>
    <s v="Software Engineer"/>
    <x v="3"/>
    <n v="99000"/>
    <n v="8"/>
    <x v="3"/>
    <n v="2"/>
    <x v="1"/>
    <x v="1"/>
    <s v="Single"/>
    <s v="Hyderabad"/>
    <x v="3"/>
    <x v="2"/>
    <s v="Senior"/>
    <s v="Needs Improvement"/>
    <s v="Dissatisfied"/>
  </r>
  <r>
    <s v="EMP469"/>
    <s v="Sneha Iyer"/>
    <x v="0"/>
    <x v="9"/>
    <x v="5"/>
    <s v="Data Analyst"/>
    <x v="3"/>
    <n v="28000"/>
    <n v="9"/>
    <x v="2"/>
    <n v="2"/>
    <x v="0"/>
    <x v="1"/>
    <s v="Single"/>
    <s v="Kochi"/>
    <x v="0"/>
    <x v="0"/>
    <s v="Senior"/>
    <s v="High Performer"/>
    <s v="Dissatisfied"/>
  </r>
  <r>
    <s v="EMP470"/>
    <s v="Nisha Iyer"/>
    <x v="0"/>
    <x v="7"/>
    <x v="3"/>
    <s v="Executive"/>
    <x v="2"/>
    <n v="43000"/>
    <n v="12"/>
    <x v="1"/>
    <n v="3"/>
    <x v="0"/>
    <x v="1"/>
    <s v="Single"/>
    <s v="Mumbai"/>
    <x v="0"/>
    <x v="1"/>
    <s v="Senior"/>
    <s v="High Performer"/>
    <s v="Neutral"/>
  </r>
  <r>
    <s v="EMP471"/>
    <s v="Arjun Iyer"/>
    <x v="0"/>
    <x v="3"/>
    <x v="0"/>
    <s v="Recruiter"/>
    <x v="1"/>
    <n v="34000"/>
    <n v="4"/>
    <x v="3"/>
    <n v="5"/>
    <x v="0"/>
    <x v="1"/>
    <s v="Single"/>
    <s v="Kochi"/>
    <x v="2"/>
    <x v="0"/>
    <s v="Mid-Level"/>
    <s v="Needs Improvement"/>
    <s v="Satisfied"/>
  </r>
  <r>
    <s v="EMP472"/>
    <s v="Amit Sharma"/>
    <x v="1"/>
    <x v="7"/>
    <x v="3"/>
    <s v="Manager"/>
    <x v="0"/>
    <n v="41000"/>
    <n v="10"/>
    <x v="1"/>
    <n v="2"/>
    <x v="0"/>
    <x v="1"/>
    <s v="Single"/>
    <s v="Kochi"/>
    <x v="0"/>
    <x v="1"/>
    <s v="Senior"/>
    <s v="High Performer"/>
    <s v="Dissatisfied"/>
  </r>
  <r>
    <s v="EMP473"/>
    <s v="Amit Menon"/>
    <x v="1"/>
    <x v="1"/>
    <x v="0"/>
    <s v="HR Executive"/>
    <x v="0"/>
    <n v="62000"/>
    <n v="9"/>
    <x v="0"/>
    <n v="5"/>
    <x v="1"/>
    <x v="1"/>
    <s v="Single"/>
    <s v="Chennai"/>
    <x v="1"/>
    <x v="1"/>
    <s v="Senior"/>
    <s v="Needs Improvement"/>
    <s v="Satisfied"/>
  </r>
  <r>
    <s v="EMP474"/>
    <s v="Nisha Sharma"/>
    <x v="0"/>
    <x v="2"/>
    <x v="4"/>
    <s v="Executive"/>
    <x v="0"/>
    <n v="78000"/>
    <n v="5"/>
    <x v="1"/>
    <n v="3"/>
    <x v="0"/>
    <x v="0"/>
    <s v="Married"/>
    <s v="Kochi"/>
    <x v="2"/>
    <x v="2"/>
    <s v="Mid-Level"/>
    <s v="High Performer"/>
    <s v="Neutral"/>
  </r>
  <r>
    <s v="EMP475"/>
    <s v="Sanjay Raj"/>
    <x v="1"/>
    <x v="1"/>
    <x v="4"/>
    <s v="Manager"/>
    <x v="0"/>
    <n v="63000"/>
    <n v="16"/>
    <x v="3"/>
    <n v="5"/>
    <x v="0"/>
    <x v="1"/>
    <s v="Single"/>
    <s v="Bangalore"/>
    <x v="1"/>
    <x v="1"/>
    <s v="Senior"/>
    <s v="Needs Improvement"/>
    <s v="Satisfied"/>
  </r>
  <r>
    <s v="EMP476"/>
    <s v="Nisha Iyer"/>
    <x v="0"/>
    <x v="14"/>
    <x v="0"/>
    <s v="HR Executive"/>
    <x v="3"/>
    <n v="53000"/>
    <n v="0"/>
    <x v="2"/>
    <n v="4"/>
    <x v="0"/>
    <x v="1"/>
    <s v="Married"/>
    <s v="Mumbai"/>
    <x v="3"/>
    <x v="1"/>
    <s v="Junior"/>
    <s v="High Performer"/>
    <s v="Satisfied"/>
  </r>
  <r>
    <s v="EMP477"/>
    <s v="Sneha Sharma"/>
    <x v="1"/>
    <x v="31"/>
    <x v="3"/>
    <s v="Executive"/>
    <x v="3"/>
    <n v="55000"/>
    <n v="2"/>
    <x v="0"/>
    <n v="3"/>
    <x v="1"/>
    <x v="1"/>
    <s v="Single"/>
    <s v="Bangalore"/>
    <x v="3"/>
    <x v="1"/>
    <s v="Junior"/>
    <s v="Needs Improvement"/>
    <s v="Neutral"/>
  </r>
  <r>
    <s v="EMP478"/>
    <s v="Pooja Nair"/>
    <x v="1"/>
    <x v="29"/>
    <x v="1"/>
    <s v="Executive"/>
    <x v="1"/>
    <n v="100000"/>
    <n v="14"/>
    <x v="1"/>
    <n v="2"/>
    <x v="1"/>
    <x v="1"/>
    <s v="Married"/>
    <s v="Mumbai"/>
    <x v="2"/>
    <x v="2"/>
    <s v="Senior"/>
    <s v="High Performer"/>
    <s v="Dissatisfied"/>
  </r>
  <r>
    <s v="EMP479"/>
    <s v="Meera Menon"/>
    <x v="1"/>
    <x v="26"/>
    <x v="2"/>
    <s v="Accountant"/>
    <x v="1"/>
    <n v="104000"/>
    <n v="9"/>
    <x v="0"/>
    <n v="4"/>
    <x v="0"/>
    <x v="1"/>
    <s v="Married"/>
    <s v="Kochi"/>
    <x v="2"/>
    <x v="2"/>
    <s v="Senior"/>
    <s v="Needs Improvement"/>
    <s v="Satisfied"/>
  </r>
  <r>
    <s v="EMP480"/>
    <s v="Sneha Sharma"/>
    <x v="0"/>
    <x v="15"/>
    <x v="2"/>
    <s v="Accountant"/>
    <x v="1"/>
    <n v="30000"/>
    <n v="10"/>
    <x v="1"/>
    <n v="4"/>
    <x v="1"/>
    <x v="1"/>
    <s v="Married"/>
    <s v="Bangalore"/>
    <x v="1"/>
    <x v="0"/>
    <s v="Senior"/>
    <s v="High Performer"/>
    <s v="Satisfied"/>
  </r>
  <r>
    <s v="EMP481"/>
    <s v="Arjun Raj"/>
    <x v="0"/>
    <x v="19"/>
    <x v="3"/>
    <s v="Executive"/>
    <x v="3"/>
    <n v="66000"/>
    <n v="2"/>
    <x v="0"/>
    <n v="5"/>
    <x v="0"/>
    <x v="0"/>
    <s v="Married"/>
    <s v="Coimbatore"/>
    <x v="2"/>
    <x v="1"/>
    <s v="Junior"/>
    <s v="Needs Improvement"/>
    <s v="Satisfied"/>
  </r>
  <r>
    <s v="EMP482"/>
    <s v="Nisha Raj"/>
    <x v="1"/>
    <x v="19"/>
    <x v="1"/>
    <s v="Executive"/>
    <x v="0"/>
    <n v="34000"/>
    <n v="6"/>
    <x v="0"/>
    <n v="2"/>
    <x v="1"/>
    <x v="1"/>
    <s v="Married"/>
    <s v="Mumbai"/>
    <x v="2"/>
    <x v="0"/>
    <s v="Mid-Level"/>
    <s v="Needs Improvement"/>
    <s v="Dissatisfied"/>
  </r>
  <r>
    <s v="EMP483"/>
    <s v="Karthik Verma"/>
    <x v="1"/>
    <x v="12"/>
    <x v="1"/>
    <s v="Executive"/>
    <x v="2"/>
    <n v="92000"/>
    <n v="6"/>
    <x v="0"/>
    <n v="5"/>
    <x v="0"/>
    <x v="1"/>
    <s v="Married"/>
    <s v="Delhi"/>
    <x v="3"/>
    <x v="2"/>
    <s v="Mid-Level"/>
    <s v="Needs Improvement"/>
    <s v="Satisfied"/>
  </r>
  <r>
    <s v="EMP484"/>
    <s v="Vivek Singh"/>
    <x v="1"/>
    <x v="23"/>
    <x v="3"/>
    <s v="Executive"/>
    <x v="2"/>
    <n v="67000"/>
    <n v="4"/>
    <x v="0"/>
    <n v="1"/>
    <x v="1"/>
    <x v="1"/>
    <s v="Single"/>
    <s v="Mumbai"/>
    <x v="3"/>
    <x v="1"/>
    <s v="Mid-Level"/>
    <s v="Needs Improvement"/>
    <s v="Dissatisfied"/>
  </r>
  <r>
    <s v="EMP485"/>
    <s v="Rahul Patel"/>
    <x v="1"/>
    <x v="0"/>
    <x v="0"/>
    <s v="Recruiter"/>
    <x v="0"/>
    <n v="94000"/>
    <n v="19"/>
    <x v="3"/>
    <n v="3"/>
    <x v="1"/>
    <x v="1"/>
    <s v="Single"/>
    <s v="Mumbai"/>
    <x v="0"/>
    <x v="2"/>
    <s v="Senior"/>
    <s v="Needs Improvement"/>
    <s v="Neutral"/>
  </r>
  <r>
    <s v="EMP486"/>
    <s v="Karthik Patel"/>
    <x v="0"/>
    <x v="7"/>
    <x v="1"/>
    <s v="Manager"/>
    <x v="2"/>
    <n v="76000"/>
    <n v="6"/>
    <x v="0"/>
    <n v="4"/>
    <x v="0"/>
    <x v="1"/>
    <s v="Married"/>
    <s v="Kochi"/>
    <x v="0"/>
    <x v="2"/>
    <s v="Mid-Level"/>
    <s v="Needs Improvement"/>
    <s v="Satisfied"/>
  </r>
  <r>
    <s v="EMP487"/>
    <s v="Priya Patel"/>
    <x v="0"/>
    <x v="7"/>
    <x v="3"/>
    <s v="Manager"/>
    <x v="0"/>
    <n v="57000"/>
    <n v="11"/>
    <x v="1"/>
    <n v="1"/>
    <x v="1"/>
    <x v="1"/>
    <s v="Single"/>
    <s v="Chennai"/>
    <x v="0"/>
    <x v="1"/>
    <s v="Senior"/>
    <s v="High Performer"/>
    <s v="Dissatisfied"/>
  </r>
  <r>
    <s v="EMP488"/>
    <s v="Ajay Raj"/>
    <x v="0"/>
    <x v="29"/>
    <x v="1"/>
    <s v="Manager"/>
    <x v="2"/>
    <n v="96000"/>
    <n v="14"/>
    <x v="1"/>
    <n v="3"/>
    <x v="0"/>
    <x v="1"/>
    <s v="Married"/>
    <s v="Delhi"/>
    <x v="2"/>
    <x v="2"/>
    <s v="Senior"/>
    <s v="High Performer"/>
    <s v="Neutral"/>
  </r>
  <r>
    <s v="EMP489"/>
    <s v="Pooja Singh"/>
    <x v="0"/>
    <x v="1"/>
    <x v="5"/>
    <s v="Data Analyst"/>
    <x v="3"/>
    <n v="95000"/>
    <n v="8"/>
    <x v="0"/>
    <n v="4"/>
    <x v="1"/>
    <x v="1"/>
    <s v="Single"/>
    <s v="Kochi"/>
    <x v="1"/>
    <x v="2"/>
    <s v="Senior"/>
    <s v="Needs Improvement"/>
    <s v="Satisfied"/>
  </r>
  <r>
    <s v="EMP490"/>
    <s v="Meera Reddy"/>
    <x v="0"/>
    <x v="18"/>
    <x v="2"/>
    <s v="Accountant"/>
    <x v="3"/>
    <n v="89000"/>
    <n v="1"/>
    <x v="0"/>
    <n v="1"/>
    <x v="0"/>
    <x v="1"/>
    <s v="Married"/>
    <s v="Kochi"/>
    <x v="3"/>
    <x v="2"/>
    <s v="Junior"/>
    <s v="Needs Improvement"/>
    <s v="Dissatisfied"/>
  </r>
  <r>
    <s v="EMP491"/>
    <s v="Neha Raj"/>
    <x v="0"/>
    <x v="31"/>
    <x v="2"/>
    <s v="Accountant"/>
    <x v="0"/>
    <n v="109000"/>
    <n v="1"/>
    <x v="1"/>
    <n v="3"/>
    <x v="0"/>
    <x v="1"/>
    <s v="Single"/>
    <s v="Pune"/>
    <x v="3"/>
    <x v="2"/>
    <s v="Junior"/>
    <s v="High Performer"/>
    <s v="Neutral"/>
  </r>
  <r>
    <s v="EMP492"/>
    <s v="Divya Iyer"/>
    <x v="0"/>
    <x v="9"/>
    <x v="0"/>
    <s v="HR Executive"/>
    <x v="1"/>
    <n v="92000"/>
    <n v="9"/>
    <x v="0"/>
    <n v="5"/>
    <x v="1"/>
    <x v="1"/>
    <s v="Married"/>
    <s v="Chennai"/>
    <x v="0"/>
    <x v="2"/>
    <s v="Senior"/>
    <s v="Needs Improvement"/>
    <s v="Satisfied"/>
  </r>
  <r>
    <s v="EMP493"/>
    <s v="Vivek Verma"/>
    <x v="0"/>
    <x v="25"/>
    <x v="0"/>
    <s v="HR Executive"/>
    <x v="0"/>
    <n v="43000"/>
    <n v="0"/>
    <x v="1"/>
    <n v="1"/>
    <x v="0"/>
    <x v="0"/>
    <s v="Single"/>
    <s v="Chennai"/>
    <x v="0"/>
    <x v="1"/>
    <s v="Junior"/>
    <s v="High Performer"/>
    <s v="Dissatisfied"/>
  </r>
  <r>
    <s v="EMP494"/>
    <s v="Sanjay Reddy"/>
    <x v="1"/>
    <x v="9"/>
    <x v="4"/>
    <s v="Manager"/>
    <x v="0"/>
    <n v="82000"/>
    <n v="12"/>
    <x v="0"/>
    <n v="4"/>
    <x v="0"/>
    <x v="0"/>
    <s v="Married"/>
    <s v="Pune"/>
    <x v="0"/>
    <x v="2"/>
    <s v="Senior"/>
    <s v="Needs Improvement"/>
    <s v="Satisfied"/>
  </r>
  <r>
    <s v="EMP495"/>
    <s v="Priya Kumar"/>
    <x v="0"/>
    <x v="14"/>
    <x v="2"/>
    <s v="Accountant"/>
    <x v="0"/>
    <n v="63000"/>
    <n v="3"/>
    <x v="0"/>
    <n v="5"/>
    <x v="1"/>
    <x v="1"/>
    <s v="Single"/>
    <s v="Mumbai"/>
    <x v="3"/>
    <x v="1"/>
    <s v="Mid-Level"/>
    <s v="Needs Improvement"/>
    <s v="Satisfied"/>
  </r>
  <r>
    <s v="EMP496"/>
    <s v="Divya Nair"/>
    <x v="0"/>
    <x v="15"/>
    <x v="5"/>
    <s v="Data Analyst"/>
    <x v="1"/>
    <n v="51000"/>
    <n v="10"/>
    <x v="2"/>
    <n v="5"/>
    <x v="0"/>
    <x v="1"/>
    <s v="Single"/>
    <s v="Hyderabad"/>
    <x v="1"/>
    <x v="1"/>
    <s v="Senior"/>
    <s v="High Performer"/>
    <s v="Satisfied"/>
  </r>
  <r>
    <s v="EMP497"/>
    <s v="Rahul Sharma"/>
    <x v="0"/>
    <x v="19"/>
    <x v="3"/>
    <s v="Manager"/>
    <x v="1"/>
    <n v="98000"/>
    <n v="1"/>
    <x v="0"/>
    <n v="5"/>
    <x v="1"/>
    <x v="1"/>
    <s v="Married"/>
    <s v="Chennai"/>
    <x v="2"/>
    <x v="2"/>
    <s v="Junior"/>
    <s v="Needs Improvement"/>
    <s v="Satisfied"/>
  </r>
  <r>
    <s v="EMP498"/>
    <s v="Vivek Reddy"/>
    <x v="0"/>
    <x v="0"/>
    <x v="2"/>
    <s v="Accountant"/>
    <x v="2"/>
    <n v="113000"/>
    <n v="7"/>
    <x v="0"/>
    <n v="3"/>
    <x v="0"/>
    <x v="1"/>
    <s v="Married"/>
    <s v="Pune"/>
    <x v="0"/>
    <x v="2"/>
    <s v="Senior"/>
    <s v="Needs Improvement"/>
    <s v="Neutral"/>
  </r>
  <r>
    <s v="EMP499"/>
    <s v="Amit Iyer"/>
    <x v="1"/>
    <x v="33"/>
    <x v="2"/>
    <s v="Analyst"/>
    <x v="1"/>
    <n v="111000"/>
    <n v="9"/>
    <x v="2"/>
    <n v="5"/>
    <x v="1"/>
    <x v="1"/>
    <s v="Married"/>
    <s v="Chennai"/>
    <x v="0"/>
    <x v="2"/>
    <s v="Senior"/>
    <s v="High Performer"/>
    <s v="Satisfied"/>
  </r>
  <r>
    <s v="EMP500"/>
    <s v="Sanjay Patel"/>
    <x v="0"/>
    <x v="24"/>
    <x v="5"/>
    <s v="Software Engineer"/>
    <x v="3"/>
    <n v="25000"/>
    <n v="10"/>
    <x v="1"/>
    <n v="2"/>
    <x v="0"/>
    <x v="1"/>
    <s v="Married"/>
    <s v="Hyderabad"/>
    <x v="2"/>
    <x v="0"/>
    <s v="Senior"/>
    <s v="High Performer"/>
    <s v="Dissatisfied"/>
  </r>
  <r>
    <s v="EMP501"/>
    <s v="Anjali Verma"/>
    <x v="1"/>
    <x v="25"/>
    <x v="3"/>
    <s v="Executive"/>
    <x v="0"/>
    <n v="45000"/>
    <n v="0"/>
    <x v="2"/>
    <n v="5"/>
    <x v="1"/>
    <x v="1"/>
    <s v="Single"/>
    <s v="Mumbai"/>
    <x v="0"/>
    <x v="1"/>
    <s v="Junior"/>
    <s v="High Performer"/>
    <s v="Satisfied"/>
  </r>
  <r>
    <s v="EMP502"/>
    <s v="Ajay Singh"/>
    <x v="1"/>
    <x v="8"/>
    <x v="4"/>
    <s v="Executive"/>
    <x v="2"/>
    <n v="63000"/>
    <n v="13"/>
    <x v="0"/>
    <n v="4"/>
    <x v="0"/>
    <x v="1"/>
    <s v="Married"/>
    <s v="Chennai"/>
    <x v="1"/>
    <x v="1"/>
    <s v="Senior"/>
    <s v="Needs Improvement"/>
    <s v="Satisfied"/>
  </r>
  <r>
    <s v="EMP503"/>
    <s v="Neha Iyer"/>
    <x v="1"/>
    <x v="2"/>
    <x v="0"/>
    <s v="HR Executive"/>
    <x v="1"/>
    <n v="66000"/>
    <n v="12"/>
    <x v="2"/>
    <n v="3"/>
    <x v="0"/>
    <x v="1"/>
    <s v="Single"/>
    <s v="Delhi"/>
    <x v="2"/>
    <x v="1"/>
    <s v="Senior"/>
    <s v="High Performer"/>
    <s v="Neutral"/>
  </r>
  <r>
    <s v="EMP504"/>
    <s v="Amit Kumar"/>
    <x v="0"/>
    <x v="17"/>
    <x v="1"/>
    <s v="Manager"/>
    <x v="2"/>
    <n v="101000"/>
    <n v="1"/>
    <x v="1"/>
    <n v="1"/>
    <x v="1"/>
    <x v="1"/>
    <s v="Married"/>
    <s v="Bangalore"/>
    <x v="3"/>
    <x v="2"/>
    <s v="Junior"/>
    <s v="High Performer"/>
    <s v="Dissatisfied"/>
  </r>
  <r>
    <s v="EMP505"/>
    <s v="Rahul Sharma"/>
    <x v="1"/>
    <x v="15"/>
    <x v="0"/>
    <s v="Recruiter"/>
    <x v="3"/>
    <n v="80000"/>
    <n v="5"/>
    <x v="0"/>
    <n v="4"/>
    <x v="0"/>
    <x v="1"/>
    <s v="Married"/>
    <s v="Delhi"/>
    <x v="1"/>
    <x v="2"/>
    <s v="Mid-Level"/>
    <s v="Needs Improvement"/>
    <s v="Satisfied"/>
  </r>
  <r>
    <s v="EMP506"/>
    <s v="Divya Sharma"/>
    <x v="0"/>
    <x v="4"/>
    <x v="3"/>
    <s v="Executive"/>
    <x v="3"/>
    <n v="44000"/>
    <n v="13"/>
    <x v="1"/>
    <n v="1"/>
    <x v="0"/>
    <x v="0"/>
    <s v="Single"/>
    <s v="Bangalore"/>
    <x v="2"/>
    <x v="1"/>
    <s v="Senior"/>
    <s v="High Performer"/>
    <s v="Dissatisfied"/>
  </r>
  <r>
    <s v="EMP507"/>
    <s v="Nisha Raj"/>
    <x v="1"/>
    <x v="13"/>
    <x v="4"/>
    <s v="Executive"/>
    <x v="3"/>
    <n v="100000"/>
    <n v="3"/>
    <x v="2"/>
    <n v="4"/>
    <x v="0"/>
    <x v="1"/>
    <s v="Married"/>
    <s v="Chennai"/>
    <x v="0"/>
    <x v="2"/>
    <s v="Mid-Level"/>
    <s v="High Performer"/>
    <s v="Satisfied"/>
  </r>
  <r>
    <s v="EMP508"/>
    <s v="Karthik Iyer"/>
    <x v="1"/>
    <x v="30"/>
    <x v="4"/>
    <s v="Manager"/>
    <x v="1"/>
    <n v="47000"/>
    <n v="8"/>
    <x v="2"/>
    <n v="2"/>
    <x v="0"/>
    <x v="1"/>
    <s v="Married"/>
    <s v="Hyderabad"/>
    <x v="3"/>
    <x v="1"/>
    <s v="Senior"/>
    <s v="High Performer"/>
    <s v="Dissatisfied"/>
  </r>
  <r>
    <s v="EMP509"/>
    <s v="Neha Reddy"/>
    <x v="0"/>
    <x v="9"/>
    <x v="4"/>
    <s v="Executive"/>
    <x v="0"/>
    <n v="101000"/>
    <n v="20"/>
    <x v="0"/>
    <n v="4"/>
    <x v="1"/>
    <x v="1"/>
    <s v="Single"/>
    <s v="Coimbatore"/>
    <x v="0"/>
    <x v="2"/>
    <s v="Senior"/>
    <s v="Needs Improvement"/>
    <s v="Satisfied"/>
  </r>
  <r>
    <s v="EMP510"/>
    <s v="Pooja Patel"/>
    <x v="0"/>
    <x v="30"/>
    <x v="2"/>
    <s v="Analyst"/>
    <x v="3"/>
    <n v="94000"/>
    <n v="8"/>
    <x v="1"/>
    <n v="5"/>
    <x v="0"/>
    <x v="1"/>
    <s v="Married"/>
    <s v="Pune"/>
    <x v="3"/>
    <x v="2"/>
    <s v="Senior"/>
    <s v="High Performer"/>
    <s v="Satisfied"/>
  </r>
  <r>
    <s v="EMP511"/>
    <s v="Nisha Menon"/>
    <x v="0"/>
    <x v="20"/>
    <x v="3"/>
    <s v="Manager"/>
    <x v="1"/>
    <n v="43000"/>
    <n v="6"/>
    <x v="2"/>
    <n v="1"/>
    <x v="0"/>
    <x v="0"/>
    <s v="Married"/>
    <s v="Bangalore"/>
    <x v="0"/>
    <x v="1"/>
    <s v="Mid-Level"/>
    <s v="High Performer"/>
    <s v="Dissatisfied"/>
  </r>
  <r>
    <s v="EMP512"/>
    <s v="Divya Raj"/>
    <x v="1"/>
    <x v="4"/>
    <x v="1"/>
    <s v="Executive"/>
    <x v="0"/>
    <n v="109000"/>
    <n v="9"/>
    <x v="0"/>
    <n v="4"/>
    <x v="0"/>
    <x v="1"/>
    <s v="Married"/>
    <s v="Hyderabad"/>
    <x v="2"/>
    <x v="2"/>
    <s v="Senior"/>
    <s v="Needs Improvement"/>
    <s v="Satisfied"/>
  </r>
  <r>
    <s v="EMP513"/>
    <s v="Priya Verma"/>
    <x v="0"/>
    <x v="9"/>
    <x v="2"/>
    <s v="Analyst"/>
    <x v="1"/>
    <n v="81000"/>
    <n v="13"/>
    <x v="2"/>
    <n v="2"/>
    <x v="0"/>
    <x v="0"/>
    <s v="Married"/>
    <s v="Kochi"/>
    <x v="0"/>
    <x v="2"/>
    <s v="Senior"/>
    <s v="High Performer"/>
    <s v="Dissatisfied"/>
  </r>
  <r>
    <s v="EMP514"/>
    <s v="Vivek Verma"/>
    <x v="0"/>
    <x v="7"/>
    <x v="1"/>
    <s v="Executive"/>
    <x v="2"/>
    <n v="53000"/>
    <n v="12"/>
    <x v="2"/>
    <n v="3"/>
    <x v="0"/>
    <x v="1"/>
    <s v="Married"/>
    <s v="Chennai"/>
    <x v="0"/>
    <x v="1"/>
    <s v="Senior"/>
    <s v="High Performer"/>
    <s v="Neutral"/>
  </r>
  <r>
    <s v="EMP515"/>
    <s v="Vivek Raj"/>
    <x v="0"/>
    <x v="18"/>
    <x v="0"/>
    <s v="Recruiter"/>
    <x v="2"/>
    <n v="53000"/>
    <n v="7"/>
    <x v="0"/>
    <n v="3"/>
    <x v="1"/>
    <x v="1"/>
    <s v="Single"/>
    <s v="Delhi"/>
    <x v="3"/>
    <x v="1"/>
    <s v="Senior"/>
    <s v="Needs Improvement"/>
    <s v="Neutral"/>
  </r>
  <r>
    <s v="EMP516"/>
    <s v="Neha Verma"/>
    <x v="0"/>
    <x v="2"/>
    <x v="4"/>
    <s v="Executive"/>
    <x v="1"/>
    <n v="111000"/>
    <n v="0"/>
    <x v="0"/>
    <n v="1"/>
    <x v="0"/>
    <x v="0"/>
    <s v="Single"/>
    <s v="Hyderabad"/>
    <x v="2"/>
    <x v="2"/>
    <s v="Junior"/>
    <s v="Needs Improvement"/>
    <s v="Dissatisfied"/>
  </r>
  <r>
    <s v="EMP517"/>
    <s v="Neha Kumar"/>
    <x v="1"/>
    <x v="11"/>
    <x v="2"/>
    <s v="Accountant"/>
    <x v="2"/>
    <n v="80000"/>
    <n v="1"/>
    <x v="3"/>
    <n v="5"/>
    <x v="1"/>
    <x v="1"/>
    <s v="Single"/>
    <s v="Delhi"/>
    <x v="0"/>
    <x v="2"/>
    <s v="Junior"/>
    <s v="Needs Improvement"/>
    <s v="Satisfied"/>
  </r>
  <r>
    <s v="EMP518"/>
    <s v="Pooja Sharma"/>
    <x v="0"/>
    <x v="11"/>
    <x v="2"/>
    <s v="Analyst"/>
    <x v="2"/>
    <n v="74000"/>
    <n v="7"/>
    <x v="0"/>
    <n v="4"/>
    <x v="0"/>
    <x v="1"/>
    <s v="Married"/>
    <s v="Mumbai"/>
    <x v="0"/>
    <x v="2"/>
    <s v="Senior"/>
    <s v="Needs Improvement"/>
    <s v="Satisfied"/>
  </r>
  <r>
    <s v="EMP519"/>
    <s v="Meera Iyer"/>
    <x v="1"/>
    <x v="30"/>
    <x v="1"/>
    <s v="Manager"/>
    <x v="1"/>
    <n v="37000"/>
    <n v="8"/>
    <x v="2"/>
    <n v="2"/>
    <x v="1"/>
    <x v="1"/>
    <s v="Married"/>
    <s v="Delhi"/>
    <x v="3"/>
    <x v="0"/>
    <s v="Senior"/>
    <s v="High Performer"/>
    <s v="Dissatisfied"/>
  </r>
  <r>
    <s v="EMP520"/>
    <s v="Amit Kumar"/>
    <x v="1"/>
    <x v="16"/>
    <x v="4"/>
    <s v="Manager"/>
    <x v="3"/>
    <n v="36000"/>
    <n v="11"/>
    <x v="1"/>
    <n v="1"/>
    <x v="0"/>
    <x v="0"/>
    <s v="Single"/>
    <s v="Delhi"/>
    <x v="2"/>
    <x v="0"/>
    <s v="Senior"/>
    <s v="High Performer"/>
    <s v="Dissatisfied"/>
  </r>
  <r>
    <s v="EMP521"/>
    <s v="Sneha Patel"/>
    <x v="0"/>
    <x v="10"/>
    <x v="1"/>
    <s v="Manager"/>
    <x v="0"/>
    <n v="94000"/>
    <n v="6"/>
    <x v="1"/>
    <n v="5"/>
    <x v="0"/>
    <x v="1"/>
    <s v="Married"/>
    <s v="Chennai"/>
    <x v="1"/>
    <x v="2"/>
    <s v="Mid-Level"/>
    <s v="High Performer"/>
    <s v="Satisfied"/>
  </r>
  <r>
    <s v="EMP522"/>
    <s v="Nisha Kumar"/>
    <x v="1"/>
    <x v="1"/>
    <x v="2"/>
    <s v="Analyst"/>
    <x v="1"/>
    <n v="40000"/>
    <n v="16"/>
    <x v="0"/>
    <n v="3"/>
    <x v="0"/>
    <x v="1"/>
    <s v="Single"/>
    <s v="Kochi"/>
    <x v="1"/>
    <x v="1"/>
    <s v="Senior"/>
    <s v="Needs Improvement"/>
    <s v="Neutral"/>
  </r>
  <r>
    <s v="EMP523"/>
    <s v="Arjun Reddy"/>
    <x v="0"/>
    <x v="2"/>
    <x v="5"/>
    <s v="Software Engineer"/>
    <x v="0"/>
    <n v="83000"/>
    <n v="8"/>
    <x v="3"/>
    <n v="1"/>
    <x v="0"/>
    <x v="1"/>
    <s v="Single"/>
    <s v="Delhi"/>
    <x v="2"/>
    <x v="2"/>
    <s v="Senior"/>
    <s v="Needs Improvement"/>
    <s v="Dissatisfied"/>
  </r>
  <r>
    <s v="EMP524"/>
    <s v="Meera Sharma"/>
    <x v="0"/>
    <x v="24"/>
    <x v="3"/>
    <s v="Manager"/>
    <x v="0"/>
    <n v="67000"/>
    <n v="10"/>
    <x v="3"/>
    <n v="1"/>
    <x v="1"/>
    <x v="1"/>
    <s v="Single"/>
    <s v="Mumbai"/>
    <x v="2"/>
    <x v="1"/>
    <s v="Senior"/>
    <s v="Needs Improvement"/>
    <s v="Dissatisfied"/>
  </r>
  <r>
    <s v="EMP525"/>
    <s v="Karthik Sharma"/>
    <x v="1"/>
    <x v="13"/>
    <x v="5"/>
    <s v="Data Analyst"/>
    <x v="2"/>
    <n v="33000"/>
    <n v="16"/>
    <x v="1"/>
    <n v="1"/>
    <x v="0"/>
    <x v="0"/>
    <s v="Married"/>
    <s v="Mumbai"/>
    <x v="0"/>
    <x v="0"/>
    <s v="Senior"/>
    <s v="High Performer"/>
    <s v="Dissatisfied"/>
  </r>
  <r>
    <s v="EMP526"/>
    <s v="Amit Patel"/>
    <x v="0"/>
    <x v="5"/>
    <x v="5"/>
    <s v="Data Analyst"/>
    <x v="0"/>
    <n v="76000"/>
    <n v="9"/>
    <x v="3"/>
    <n v="1"/>
    <x v="1"/>
    <x v="1"/>
    <s v="Married"/>
    <s v="Delhi"/>
    <x v="0"/>
    <x v="2"/>
    <s v="Senior"/>
    <s v="Needs Improvement"/>
    <s v="Dissatisfied"/>
  </r>
  <r>
    <s v="EMP527"/>
    <s v="Arjun Nair"/>
    <x v="1"/>
    <x v="19"/>
    <x v="4"/>
    <s v="Manager"/>
    <x v="2"/>
    <n v="71000"/>
    <n v="5"/>
    <x v="0"/>
    <n v="5"/>
    <x v="0"/>
    <x v="1"/>
    <s v="Single"/>
    <s v="Chennai"/>
    <x v="2"/>
    <x v="2"/>
    <s v="Mid-Level"/>
    <s v="Needs Improvement"/>
    <s v="Satisfied"/>
  </r>
  <r>
    <s v="EMP528"/>
    <s v="Amit Patel"/>
    <x v="0"/>
    <x v="3"/>
    <x v="3"/>
    <s v="Executive"/>
    <x v="0"/>
    <n v="96000"/>
    <n v="8"/>
    <x v="1"/>
    <n v="2"/>
    <x v="0"/>
    <x v="0"/>
    <s v="Single"/>
    <s v="Mumbai"/>
    <x v="2"/>
    <x v="2"/>
    <s v="Senior"/>
    <s v="High Performer"/>
    <s v="Dissatisfied"/>
  </r>
  <r>
    <s v="EMP529"/>
    <s v="Arjun Singh"/>
    <x v="0"/>
    <x v="4"/>
    <x v="4"/>
    <s v="Manager"/>
    <x v="2"/>
    <n v="112000"/>
    <n v="9"/>
    <x v="1"/>
    <n v="3"/>
    <x v="0"/>
    <x v="1"/>
    <s v="Single"/>
    <s v="Kochi"/>
    <x v="2"/>
    <x v="2"/>
    <s v="Senior"/>
    <s v="High Performer"/>
    <s v="Neutral"/>
  </r>
  <r>
    <s v="EMP530"/>
    <s v="Rahul Iyer"/>
    <x v="0"/>
    <x v="17"/>
    <x v="4"/>
    <s v="Manager"/>
    <x v="3"/>
    <n v="94000"/>
    <n v="1"/>
    <x v="2"/>
    <n v="3"/>
    <x v="0"/>
    <x v="1"/>
    <s v="Married"/>
    <s v="Mumbai"/>
    <x v="3"/>
    <x v="2"/>
    <s v="Junior"/>
    <s v="High Performer"/>
    <s v="Neutral"/>
  </r>
  <r>
    <s v="EMP531"/>
    <s v="Pooja Kumar"/>
    <x v="0"/>
    <x v="12"/>
    <x v="0"/>
    <s v="HR Executive"/>
    <x v="2"/>
    <n v="33000"/>
    <n v="6"/>
    <x v="0"/>
    <n v="3"/>
    <x v="0"/>
    <x v="1"/>
    <s v="Single"/>
    <s v="Hyderabad"/>
    <x v="3"/>
    <x v="0"/>
    <s v="Mid-Level"/>
    <s v="Needs Improvement"/>
    <s v="Neutral"/>
  </r>
  <r>
    <s v="EMP532"/>
    <s v="Divya Singh"/>
    <x v="1"/>
    <x v="20"/>
    <x v="3"/>
    <s v="Manager"/>
    <x v="0"/>
    <n v="95000"/>
    <n v="13"/>
    <x v="1"/>
    <n v="1"/>
    <x v="1"/>
    <x v="1"/>
    <s v="Single"/>
    <s v="Delhi"/>
    <x v="0"/>
    <x v="2"/>
    <s v="Senior"/>
    <s v="High Performer"/>
    <s v="Dissatisfied"/>
  </r>
  <r>
    <s v="EMP533"/>
    <s v="Arjun Singh"/>
    <x v="1"/>
    <x v="2"/>
    <x v="0"/>
    <s v="Recruiter"/>
    <x v="3"/>
    <n v="104000"/>
    <n v="12"/>
    <x v="1"/>
    <n v="1"/>
    <x v="0"/>
    <x v="0"/>
    <s v="Single"/>
    <s v="Kochi"/>
    <x v="2"/>
    <x v="2"/>
    <s v="Senior"/>
    <s v="High Performer"/>
    <s v="Dissatisfied"/>
  </r>
  <r>
    <s v="EMP534"/>
    <s v="Neha Nair"/>
    <x v="0"/>
    <x v="13"/>
    <x v="5"/>
    <s v="Data Analyst"/>
    <x v="3"/>
    <n v="98000"/>
    <n v="7"/>
    <x v="3"/>
    <n v="5"/>
    <x v="0"/>
    <x v="1"/>
    <s v="Married"/>
    <s v="Chennai"/>
    <x v="0"/>
    <x v="2"/>
    <s v="Senior"/>
    <s v="Needs Improvement"/>
    <s v="Satisfied"/>
  </r>
  <r>
    <s v="EMP535"/>
    <s v="Meera Kumar"/>
    <x v="1"/>
    <x v="11"/>
    <x v="3"/>
    <s v="Executive"/>
    <x v="1"/>
    <n v="49000"/>
    <n v="6"/>
    <x v="1"/>
    <n v="2"/>
    <x v="1"/>
    <x v="1"/>
    <s v="Married"/>
    <s v="Coimbatore"/>
    <x v="0"/>
    <x v="1"/>
    <s v="Mid-Level"/>
    <s v="High Performer"/>
    <s v="Dissatisfied"/>
  </r>
  <r>
    <s v="EMP536"/>
    <s v="Sneha Raj"/>
    <x v="0"/>
    <x v="26"/>
    <x v="3"/>
    <s v="Executive"/>
    <x v="3"/>
    <n v="87000"/>
    <n v="7"/>
    <x v="3"/>
    <n v="3"/>
    <x v="1"/>
    <x v="1"/>
    <s v="Married"/>
    <s v="Kochi"/>
    <x v="2"/>
    <x v="2"/>
    <s v="Senior"/>
    <s v="Needs Improvement"/>
    <s v="Neutral"/>
  </r>
  <r>
    <s v="EMP537"/>
    <s v="Divya Iyer"/>
    <x v="0"/>
    <x v="33"/>
    <x v="1"/>
    <s v="Executive"/>
    <x v="0"/>
    <n v="54000"/>
    <n v="16"/>
    <x v="2"/>
    <n v="2"/>
    <x v="0"/>
    <x v="1"/>
    <s v="Single"/>
    <s v="Chennai"/>
    <x v="0"/>
    <x v="1"/>
    <s v="Senior"/>
    <s v="High Performer"/>
    <s v="Dissatisfied"/>
  </r>
  <r>
    <s v="EMP538"/>
    <s v="Anjali Kumar"/>
    <x v="0"/>
    <x v="18"/>
    <x v="5"/>
    <s v="Data Analyst"/>
    <x v="0"/>
    <n v="77000"/>
    <n v="3"/>
    <x v="3"/>
    <n v="1"/>
    <x v="1"/>
    <x v="0"/>
    <s v="Single"/>
    <s v="Delhi"/>
    <x v="3"/>
    <x v="2"/>
    <s v="Mid-Level"/>
    <s v="Needs Improvement"/>
    <s v="Dissatisfied"/>
  </r>
  <r>
    <s v="EMP539"/>
    <s v="Karthik Kumar"/>
    <x v="0"/>
    <x v="11"/>
    <x v="4"/>
    <s v="Manager"/>
    <x v="0"/>
    <n v="98000"/>
    <n v="20"/>
    <x v="2"/>
    <n v="5"/>
    <x v="0"/>
    <x v="1"/>
    <s v="Single"/>
    <s v="Hyderabad"/>
    <x v="0"/>
    <x v="2"/>
    <s v="Senior"/>
    <s v="High Performer"/>
    <s v="Satisfied"/>
  </r>
  <r>
    <s v="EMP540"/>
    <s v="Rahul Iyer"/>
    <x v="0"/>
    <x v="23"/>
    <x v="0"/>
    <s v="Recruiter"/>
    <x v="1"/>
    <n v="92000"/>
    <n v="4"/>
    <x v="0"/>
    <n v="3"/>
    <x v="0"/>
    <x v="1"/>
    <s v="Single"/>
    <s v="Delhi"/>
    <x v="3"/>
    <x v="2"/>
    <s v="Mid-Level"/>
    <s v="Needs Improvement"/>
    <s v="Neutral"/>
  </r>
  <r>
    <s v="EMP541"/>
    <s v="Neha Verma"/>
    <x v="1"/>
    <x v="9"/>
    <x v="3"/>
    <s v="Executive"/>
    <x v="3"/>
    <n v="35000"/>
    <n v="19"/>
    <x v="2"/>
    <n v="4"/>
    <x v="0"/>
    <x v="1"/>
    <s v="Married"/>
    <s v="Kochi"/>
    <x v="0"/>
    <x v="0"/>
    <s v="Senior"/>
    <s v="High Performer"/>
    <s v="Satisfied"/>
  </r>
  <r>
    <s v="EMP542"/>
    <s v="Anjali Raj"/>
    <x v="1"/>
    <x v="18"/>
    <x v="2"/>
    <s v="Analyst"/>
    <x v="0"/>
    <n v="44000"/>
    <n v="7"/>
    <x v="0"/>
    <n v="2"/>
    <x v="1"/>
    <x v="1"/>
    <s v="Single"/>
    <s v="Hyderabad"/>
    <x v="3"/>
    <x v="1"/>
    <s v="Senior"/>
    <s v="Needs Improvement"/>
    <s v="Dissatisfied"/>
  </r>
  <r>
    <s v="EMP543"/>
    <s v="Anjali Verma"/>
    <x v="0"/>
    <x v="6"/>
    <x v="3"/>
    <s v="Manager"/>
    <x v="2"/>
    <n v="82000"/>
    <n v="6"/>
    <x v="2"/>
    <n v="5"/>
    <x v="0"/>
    <x v="1"/>
    <s v="Married"/>
    <s v="Kochi"/>
    <x v="2"/>
    <x v="2"/>
    <s v="Mid-Level"/>
    <s v="High Performer"/>
    <s v="Satisfied"/>
  </r>
  <r>
    <s v="EMP544"/>
    <s v="Sneha Menon"/>
    <x v="0"/>
    <x v="10"/>
    <x v="4"/>
    <s v="Manager"/>
    <x v="3"/>
    <n v="104000"/>
    <n v="17"/>
    <x v="0"/>
    <n v="4"/>
    <x v="0"/>
    <x v="1"/>
    <s v="Married"/>
    <s v="Hyderabad"/>
    <x v="1"/>
    <x v="2"/>
    <s v="Senior"/>
    <s v="Needs Improvement"/>
    <s v="Satisfied"/>
  </r>
  <r>
    <s v="EMP545"/>
    <s v="Rahul Verma"/>
    <x v="1"/>
    <x v="32"/>
    <x v="4"/>
    <s v="Executive"/>
    <x v="3"/>
    <n v="74000"/>
    <n v="1"/>
    <x v="0"/>
    <n v="5"/>
    <x v="1"/>
    <x v="1"/>
    <s v="Single"/>
    <s v="Kochi"/>
    <x v="1"/>
    <x v="2"/>
    <s v="Junior"/>
    <s v="Needs Improvement"/>
    <s v="Satisfied"/>
  </r>
  <r>
    <s v="EMP546"/>
    <s v="Nisha Verma"/>
    <x v="1"/>
    <x v="6"/>
    <x v="3"/>
    <s v="Manager"/>
    <x v="2"/>
    <n v="41000"/>
    <n v="9"/>
    <x v="1"/>
    <n v="4"/>
    <x v="0"/>
    <x v="1"/>
    <s v="Single"/>
    <s v="Hyderabad"/>
    <x v="2"/>
    <x v="1"/>
    <s v="Senior"/>
    <s v="High Performer"/>
    <s v="Satisfied"/>
  </r>
  <r>
    <s v="EMP547"/>
    <s v="Meera Sharma"/>
    <x v="0"/>
    <x v="8"/>
    <x v="1"/>
    <s v="Executive"/>
    <x v="3"/>
    <n v="101000"/>
    <n v="3"/>
    <x v="1"/>
    <n v="1"/>
    <x v="0"/>
    <x v="1"/>
    <s v="Single"/>
    <s v="Chennai"/>
    <x v="1"/>
    <x v="2"/>
    <s v="Mid-Level"/>
    <s v="High Performer"/>
    <s v="Dissatisfied"/>
  </r>
  <r>
    <s v="EMP548"/>
    <s v="Nisha Patel"/>
    <x v="1"/>
    <x v="15"/>
    <x v="0"/>
    <s v="HR Executive"/>
    <x v="1"/>
    <n v="72000"/>
    <n v="20"/>
    <x v="3"/>
    <n v="5"/>
    <x v="0"/>
    <x v="1"/>
    <s v="Single"/>
    <s v="Hyderabad"/>
    <x v="1"/>
    <x v="2"/>
    <s v="Senior"/>
    <s v="Needs Improvement"/>
    <s v="Satisfied"/>
  </r>
  <r>
    <s v="EMP549"/>
    <s v="Vivek Iyer"/>
    <x v="0"/>
    <x v="3"/>
    <x v="0"/>
    <s v="Recruiter"/>
    <x v="1"/>
    <n v="68000"/>
    <n v="2"/>
    <x v="3"/>
    <n v="4"/>
    <x v="0"/>
    <x v="0"/>
    <s v="Single"/>
    <s v="Delhi"/>
    <x v="2"/>
    <x v="1"/>
    <s v="Junior"/>
    <s v="Needs Improvement"/>
    <s v="Satisfied"/>
  </r>
  <r>
    <s v="EMP550"/>
    <s v="Vivek Nair"/>
    <x v="0"/>
    <x v="16"/>
    <x v="0"/>
    <s v="HR Executive"/>
    <x v="2"/>
    <n v="104000"/>
    <n v="7"/>
    <x v="1"/>
    <n v="4"/>
    <x v="0"/>
    <x v="1"/>
    <s v="Single"/>
    <s v="Coimbatore"/>
    <x v="2"/>
    <x v="2"/>
    <s v="Senior"/>
    <s v="High Performer"/>
    <s v="Satisfied"/>
  </r>
  <r>
    <s v="EMP551"/>
    <s v="Meera Menon"/>
    <x v="1"/>
    <x v="27"/>
    <x v="3"/>
    <s v="Executive"/>
    <x v="1"/>
    <n v="51000"/>
    <n v="18"/>
    <x v="2"/>
    <n v="3"/>
    <x v="1"/>
    <x v="1"/>
    <s v="Single"/>
    <s v="Mumbai"/>
    <x v="1"/>
    <x v="1"/>
    <s v="Senior"/>
    <s v="High Performer"/>
    <s v="Neutral"/>
  </r>
  <r>
    <s v="EMP552"/>
    <s v="Nisha Verma"/>
    <x v="1"/>
    <x v="25"/>
    <x v="4"/>
    <s v="Executive"/>
    <x v="1"/>
    <n v="77000"/>
    <n v="15"/>
    <x v="3"/>
    <n v="3"/>
    <x v="1"/>
    <x v="1"/>
    <s v="Married"/>
    <s v="Delhi"/>
    <x v="0"/>
    <x v="2"/>
    <s v="Senior"/>
    <s v="Needs Improvement"/>
    <s v="Neutral"/>
  </r>
  <r>
    <s v="EMP553"/>
    <s v="Pooja Verma"/>
    <x v="1"/>
    <x v="33"/>
    <x v="0"/>
    <s v="Recruiter"/>
    <x v="1"/>
    <n v="102000"/>
    <n v="8"/>
    <x v="1"/>
    <n v="1"/>
    <x v="1"/>
    <x v="1"/>
    <s v="Married"/>
    <s v="Delhi"/>
    <x v="0"/>
    <x v="2"/>
    <s v="Senior"/>
    <s v="High Performer"/>
    <s v="Dissatisfied"/>
  </r>
  <r>
    <s v="EMP554"/>
    <s v="Divya Nair"/>
    <x v="0"/>
    <x v="28"/>
    <x v="2"/>
    <s v="Accountant"/>
    <x v="2"/>
    <n v="45000"/>
    <n v="2"/>
    <x v="2"/>
    <n v="1"/>
    <x v="1"/>
    <x v="1"/>
    <s v="Married"/>
    <s v="Bangalore"/>
    <x v="0"/>
    <x v="1"/>
    <s v="Junior"/>
    <s v="High Performer"/>
    <s v="Dissatisfied"/>
  </r>
  <r>
    <s v="EMP555"/>
    <s v="Sneha Patel"/>
    <x v="1"/>
    <x v="16"/>
    <x v="4"/>
    <s v="Executive"/>
    <x v="0"/>
    <n v="102000"/>
    <n v="0"/>
    <x v="1"/>
    <n v="4"/>
    <x v="1"/>
    <x v="1"/>
    <s v="Single"/>
    <s v="Mumbai"/>
    <x v="2"/>
    <x v="2"/>
    <s v="Junior"/>
    <s v="High Performer"/>
    <s v="Satisfied"/>
  </r>
  <r>
    <s v="EMP556"/>
    <s v="Neha Raj"/>
    <x v="0"/>
    <x v="22"/>
    <x v="3"/>
    <s v="Manager"/>
    <x v="1"/>
    <n v="39000"/>
    <n v="12"/>
    <x v="0"/>
    <n v="1"/>
    <x v="1"/>
    <x v="1"/>
    <s v="Married"/>
    <s v="Bangalore"/>
    <x v="2"/>
    <x v="0"/>
    <s v="Senior"/>
    <s v="Needs Improvement"/>
    <s v="Dissatisfied"/>
  </r>
  <r>
    <s v="EMP557"/>
    <s v="Vivek Iyer"/>
    <x v="0"/>
    <x v="7"/>
    <x v="0"/>
    <s v="Recruiter"/>
    <x v="1"/>
    <n v="64000"/>
    <n v="16"/>
    <x v="0"/>
    <n v="5"/>
    <x v="0"/>
    <x v="1"/>
    <s v="Married"/>
    <s v="Coimbatore"/>
    <x v="0"/>
    <x v="1"/>
    <s v="Senior"/>
    <s v="Needs Improvement"/>
    <s v="Satisfied"/>
  </r>
  <r>
    <s v="EMP558"/>
    <s v="Amit Singh"/>
    <x v="1"/>
    <x v="32"/>
    <x v="5"/>
    <s v="Software Engineer"/>
    <x v="2"/>
    <n v="32000"/>
    <n v="15"/>
    <x v="3"/>
    <n v="3"/>
    <x v="0"/>
    <x v="1"/>
    <s v="Married"/>
    <s v="Bangalore"/>
    <x v="1"/>
    <x v="0"/>
    <s v="Senior"/>
    <s v="Needs Improvement"/>
    <s v="Neutral"/>
  </r>
  <r>
    <s v="EMP559"/>
    <s v="Priya Patel"/>
    <x v="1"/>
    <x v="11"/>
    <x v="2"/>
    <s v="Analyst"/>
    <x v="1"/>
    <n v="68000"/>
    <n v="9"/>
    <x v="1"/>
    <n v="1"/>
    <x v="0"/>
    <x v="0"/>
    <s v="Married"/>
    <s v="Kochi"/>
    <x v="0"/>
    <x v="1"/>
    <s v="Senior"/>
    <s v="High Performer"/>
    <s v="Dissatisfied"/>
  </r>
  <r>
    <s v="EMP560"/>
    <s v="Rohit Singh"/>
    <x v="0"/>
    <x v="12"/>
    <x v="3"/>
    <s v="Manager"/>
    <x v="2"/>
    <n v="101000"/>
    <n v="6"/>
    <x v="2"/>
    <n v="2"/>
    <x v="1"/>
    <x v="1"/>
    <s v="Single"/>
    <s v="Hyderabad"/>
    <x v="3"/>
    <x v="2"/>
    <s v="Mid-Level"/>
    <s v="High Performer"/>
    <s v="Dissatisfied"/>
  </r>
  <r>
    <s v="EMP561"/>
    <s v="Karthik Sharma"/>
    <x v="1"/>
    <x v="31"/>
    <x v="1"/>
    <s v="Executive"/>
    <x v="0"/>
    <n v="49000"/>
    <n v="2"/>
    <x v="3"/>
    <n v="4"/>
    <x v="0"/>
    <x v="0"/>
    <s v="Married"/>
    <s v="Coimbatore"/>
    <x v="3"/>
    <x v="1"/>
    <s v="Junior"/>
    <s v="Needs Improvement"/>
    <s v="Satisfied"/>
  </r>
  <r>
    <s v="EMP562"/>
    <s v="Arjun Singh"/>
    <x v="1"/>
    <x v="3"/>
    <x v="0"/>
    <s v="HR Executive"/>
    <x v="0"/>
    <n v="34000"/>
    <n v="2"/>
    <x v="1"/>
    <n v="1"/>
    <x v="0"/>
    <x v="0"/>
    <s v="Single"/>
    <s v="Coimbatore"/>
    <x v="2"/>
    <x v="0"/>
    <s v="Junior"/>
    <s v="High Performer"/>
    <s v="Dissatisfied"/>
  </r>
  <r>
    <s v="EMP563"/>
    <s v="Sanjay Nair"/>
    <x v="1"/>
    <x v="8"/>
    <x v="1"/>
    <s v="Manager"/>
    <x v="1"/>
    <n v="54000"/>
    <n v="3"/>
    <x v="2"/>
    <n v="3"/>
    <x v="1"/>
    <x v="1"/>
    <s v="Married"/>
    <s v="Delhi"/>
    <x v="1"/>
    <x v="1"/>
    <s v="Mid-Level"/>
    <s v="High Performer"/>
    <s v="Neutral"/>
  </r>
  <r>
    <s v="EMP564"/>
    <s v="Anjali Kumar"/>
    <x v="0"/>
    <x v="21"/>
    <x v="1"/>
    <s v="Manager"/>
    <x v="1"/>
    <n v="118000"/>
    <n v="5"/>
    <x v="1"/>
    <n v="5"/>
    <x v="1"/>
    <x v="1"/>
    <s v="Single"/>
    <s v="Chennai"/>
    <x v="3"/>
    <x v="2"/>
    <s v="Mid-Level"/>
    <s v="High Performer"/>
    <s v="Satisfied"/>
  </r>
  <r>
    <s v="EMP565"/>
    <s v="Divya Patel"/>
    <x v="0"/>
    <x v="8"/>
    <x v="5"/>
    <s v="Software Engineer"/>
    <x v="1"/>
    <n v="49000"/>
    <n v="0"/>
    <x v="1"/>
    <n v="4"/>
    <x v="1"/>
    <x v="1"/>
    <s v="Married"/>
    <s v="Hyderabad"/>
    <x v="1"/>
    <x v="1"/>
    <s v="Junior"/>
    <s v="High Performer"/>
    <s v="Satisfied"/>
  </r>
  <r>
    <s v="EMP566"/>
    <s v="Pooja Singh"/>
    <x v="0"/>
    <x v="23"/>
    <x v="0"/>
    <s v="HR Executive"/>
    <x v="1"/>
    <n v="31000"/>
    <n v="4"/>
    <x v="1"/>
    <n v="4"/>
    <x v="0"/>
    <x v="1"/>
    <s v="Single"/>
    <s v="Pune"/>
    <x v="3"/>
    <x v="0"/>
    <s v="Mid-Level"/>
    <s v="High Performer"/>
    <s v="Satisfied"/>
  </r>
  <r>
    <s v="EMP567"/>
    <s v="Divya Raj"/>
    <x v="0"/>
    <x v="31"/>
    <x v="2"/>
    <s v="Accountant"/>
    <x v="3"/>
    <n v="34000"/>
    <n v="2"/>
    <x v="3"/>
    <n v="2"/>
    <x v="1"/>
    <x v="1"/>
    <s v="Single"/>
    <s v="Delhi"/>
    <x v="3"/>
    <x v="0"/>
    <s v="Junior"/>
    <s v="Needs Improvement"/>
    <s v="Dissatisfied"/>
  </r>
  <r>
    <s v="EMP568"/>
    <s v="Ajay Iyer"/>
    <x v="0"/>
    <x v="19"/>
    <x v="0"/>
    <s v="Recruiter"/>
    <x v="2"/>
    <n v="27000"/>
    <n v="3"/>
    <x v="2"/>
    <n v="1"/>
    <x v="0"/>
    <x v="0"/>
    <s v="Married"/>
    <s v="Mumbai"/>
    <x v="2"/>
    <x v="0"/>
    <s v="Mid-Level"/>
    <s v="High Performer"/>
    <s v="Dissatisfied"/>
  </r>
  <r>
    <s v="EMP569"/>
    <s v="Ajay Kumar"/>
    <x v="1"/>
    <x v="25"/>
    <x v="5"/>
    <s v="Data Analyst"/>
    <x v="0"/>
    <n v="32000"/>
    <n v="11"/>
    <x v="3"/>
    <n v="5"/>
    <x v="0"/>
    <x v="0"/>
    <s v="Single"/>
    <s v="Coimbatore"/>
    <x v="0"/>
    <x v="0"/>
    <s v="Senior"/>
    <s v="Needs Improvement"/>
    <s v="Satisfied"/>
  </r>
  <r>
    <s v="EMP570"/>
    <s v="Ajay Iyer"/>
    <x v="1"/>
    <x v="32"/>
    <x v="3"/>
    <s v="Executive"/>
    <x v="2"/>
    <n v="116000"/>
    <n v="17"/>
    <x v="3"/>
    <n v="2"/>
    <x v="0"/>
    <x v="1"/>
    <s v="Single"/>
    <s v="Bangalore"/>
    <x v="1"/>
    <x v="2"/>
    <s v="Senior"/>
    <s v="Needs Improvement"/>
    <s v="Dissatisfied"/>
  </r>
  <r>
    <s v="EMP571"/>
    <s v="Pooja Patel"/>
    <x v="1"/>
    <x v="30"/>
    <x v="2"/>
    <s v="Accountant"/>
    <x v="1"/>
    <n v="40000"/>
    <n v="2"/>
    <x v="2"/>
    <n v="5"/>
    <x v="0"/>
    <x v="1"/>
    <s v="Single"/>
    <s v="Pune"/>
    <x v="3"/>
    <x v="1"/>
    <s v="Junior"/>
    <s v="High Performer"/>
    <s v="Satisfied"/>
  </r>
  <r>
    <s v="EMP572"/>
    <s v="Rohit Verma"/>
    <x v="1"/>
    <x v="33"/>
    <x v="2"/>
    <s v="Accountant"/>
    <x v="2"/>
    <n v="87000"/>
    <n v="18"/>
    <x v="3"/>
    <n v="1"/>
    <x v="0"/>
    <x v="0"/>
    <s v="Married"/>
    <s v="Coimbatore"/>
    <x v="0"/>
    <x v="2"/>
    <s v="Senior"/>
    <s v="Needs Improvement"/>
    <s v="Dissatisfied"/>
  </r>
  <r>
    <s v="EMP573"/>
    <s v="Sneha Kumar"/>
    <x v="0"/>
    <x v="11"/>
    <x v="2"/>
    <s v="Accountant"/>
    <x v="2"/>
    <n v="56000"/>
    <n v="4"/>
    <x v="1"/>
    <n v="3"/>
    <x v="0"/>
    <x v="1"/>
    <s v="Married"/>
    <s v="Coimbatore"/>
    <x v="0"/>
    <x v="1"/>
    <s v="Mid-Level"/>
    <s v="High Performer"/>
    <s v="Neutral"/>
  </r>
  <r>
    <s v="EMP574"/>
    <s v="Rohit Kumar"/>
    <x v="0"/>
    <x v="5"/>
    <x v="2"/>
    <s v="Accountant"/>
    <x v="3"/>
    <n v="68000"/>
    <n v="16"/>
    <x v="1"/>
    <n v="4"/>
    <x v="0"/>
    <x v="1"/>
    <s v="Single"/>
    <s v="Delhi"/>
    <x v="0"/>
    <x v="1"/>
    <s v="Senior"/>
    <s v="High Performer"/>
    <s v="Satisfied"/>
  </r>
  <r>
    <s v="EMP575"/>
    <s v="Anjali Verma"/>
    <x v="0"/>
    <x v="4"/>
    <x v="0"/>
    <s v="Recruiter"/>
    <x v="1"/>
    <n v="32000"/>
    <n v="6"/>
    <x v="0"/>
    <n v="5"/>
    <x v="1"/>
    <x v="1"/>
    <s v="Married"/>
    <s v="Pune"/>
    <x v="2"/>
    <x v="0"/>
    <s v="Mid-Level"/>
    <s v="Needs Improvement"/>
    <s v="Satisfied"/>
  </r>
  <r>
    <s v="EMP576"/>
    <s v="Pooja Singh"/>
    <x v="1"/>
    <x v="10"/>
    <x v="5"/>
    <s v="Data Analyst"/>
    <x v="0"/>
    <n v="103000"/>
    <n v="8"/>
    <x v="0"/>
    <n v="5"/>
    <x v="0"/>
    <x v="1"/>
    <s v="Married"/>
    <s v="Pune"/>
    <x v="1"/>
    <x v="2"/>
    <s v="Senior"/>
    <s v="Needs Improvement"/>
    <s v="Satisfied"/>
  </r>
  <r>
    <s v="EMP577"/>
    <s v="Divya Reddy"/>
    <x v="1"/>
    <x v="29"/>
    <x v="4"/>
    <s v="Executive"/>
    <x v="2"/>
    <n v="117000"/>
    <n v="1"/>
    <x v="3"/>
    <n v="3"/>
    <x v="0"/>
    <x v="0"/>
    <s v="Single"/>
    <s v="Chennai"/>
    <x v="2"/>
    <x v="2"/>
    <s v="Junior"/>
    <s v="Needs Improvement"/>
    <s v="Neutral"/>
  </r>
  <r>
    <s v="EMP578"/>
    <s v="Ajay Kumar"/>
    <x v="0"/>
    <x v="21"/>
    <x v="1"/>
    <s v="Manager"/>
    <x v="2"/>
    <n v="72000"/>
    <n v="5"/>
    <x v="2"/>
    <n v="4"/>
    <x v="0"/>
    <x v="1"/>
    <s v="Single"/>
    <s v="Hyderabad"/>
    <x v="3"/>
    <x v="2"/>
    <s v="Mid-Level"/>
    <s v="High Performer"/>
    <s v="Satisfied"/>
  </r>
  <r>
    <s v="EMP579"/>
    <s v="Karthik Reddy"/>
    <x v="0"/>
    <x v="19"/>
    <x v="4"/>
    <s v="Manager"/>
    <x v="0"/>
    <n v="117000"/>
    <n v="8"/>
    <x v="3"/>
    <n v="4"/>
    <x v="0"/>
    <x v="1"/>
    <s v="Married"/>
    <s v="Pune"/>
    <x v="2"/>
    <x v="2"/>
    <s v="Senior"/>
    <s v="Needs Improvement"/>
    <s v="Satisfied"/>
  </r>
  <r>
    <s v="EMP580"/>
    <s v="Anjali Nair"/>
    <x v="1"/>
    <x v="3"/>
    <x v="4"/>
    <s v="Executive"/>
    <x v="1"/>
    <n v="78000"/>
    <n v="9"/>
    <x v="3"/>
    <n v="5"/>
    <x v="1"/>
    <x v="1"/>
    <s v="Single"/>
    <s v="Pune"/>
    <x v="2"/>
    <x v="2"/>
    <s v="Senior"/>
    <s v="Needs Improvement"/>
    <s v="Satisfied"/>
  </r>
  <r>
    <s v="EMP581"/>
    <s v="Priya Menon"/>
    <x v="0"/>
    <x v="0"/>
    <x v="4"/>
    <s v="Executive"/>
    <x v="3"/>
    <n v="31000"/>
    <n v="1"/>
    <x v="1"/>
    <n v="4"/>
    <x v="1"/>
    <x v="1"/>
    <s v="Single"/>
    <s v="Hyderabad"/>
    <x v="0"/>
    <x v="0"/>
    <s v="Junior"/>
    <s v="High Performer"/>
    <s v="Satisfied"/>
  </r>
  <r>
    <s v="EMP582"/>
    <s v="Divya Kumar"/>
    <x v="1"/>
    <x v="0"/>
    <x v="0"/>
    <s v="HR Executive"/>
    <x v="2"/>
    <n v="99000"/>
    <n v="20"/>
    <x v="2"/>
    <n v="4"/>
    <x v="0"/>
    <x v="1"/>
    <s v="Single"/>
    <s v="Chennai"/>
    <x v="0"/>
    <x v="2"/>
    <s v="Senior"/>
    <s v="High Performer"/>
    <s v="Satisfied"/>
  </r>
  <r>
    <s v="EMP583"/>
    <s v="Ajay Reddy"/>
    <x v="0"/>
    <x v="7"/>
    <x v="4"/>
    <s v="Executive"/>
    <x v="0"/>
    <n v="109000"/>
    <n v="15"/>
    <x v="2"/>
    <n v="1"/>
    <x v="0"/>
    <x v="0"/>
    <s v="Single"/>
    <s v="Bangalore"/>
    <x v="0"/>
    <x v="2"/>
    <s v="Senior"/>
    <s v="High Performer"/>
    <s v="Dissatisfied"/>
  </r>
  <r>
    <s v="EMP584"/>
    <s v="Nisha Sharma"/>
    <x v="1"/>
    <x v="19"/>
    <x v="1"/>
    <s v="Executive"/>
    <x v="3"/>
    <n v="110000"/>
    <n v="17"/>
    <x v="3"/>
    <n v="2"/>
    <x v="1"/>
    <x v="1"/>
    <s v="Married"/>
    <s v="Mumbai"/>
    <x v="2"/>
    <x v="2"/>
    <s v="Senior"/>
    <s v="Needs Improvement"/>
    <s v="Dissatisfied"/>
  </r>
  <r>
    <s v="EMP585"/>
    <s v="Amit Reddy"/>
    <x v="0"/>
    <x v="11"/>
    <x v="4"/>
    <s v="Executive"/>
    <x v="0"/>
    <n v="69000"/>
    <n v="0"/>
    <x v="1"/>
    <n v="1"/>
    <x v="1"/>
    <x v="1"/>
    <s v="Single"/>
    <s v="Bangalore"/>
    <x v="0"/>
    <x v="1"/>
    <s v="Junior"/>
    <s v="High Performer"/>
    <s v="Dissatisfied"/>
  </r>
  <r>
    <s v="EMP586"/>
    <s v="Sneha Verma"/>
    <x v="0"/>
    <x v="9"/>
    <x v="1"/>
    <s v="Manager"/>
    <x v="2"/>
    <n v="95000"/>
    <n v="12"/>
    <x v="3"/>
    <n v="4"/>
    <x v="0"/>
    <x v="1"/>
    <s v="Married"/>
    <s v="Bangalore"/>
    <x v="0"/>
    <x v="2"/>
    <s v="Senior"/>
    <s v="Needs Improvement"/>
    <s v="Satisfied"/>
  </r>
  <r>
    <s v="EMP587"/>
    <s v="Arjun Raj"/>
    <x v="1"/>
    <x v="16"/>
    <x v="1"/>
    <s v="Manager"/>
    <x v="3"/>
    <n v="51000"/>
    <n v="5"/>
    <x v="2"/>
    <n v="5"/>
    <x v="0"/>
    <x v="1"/>
    <s v="Married"/>
    <s v="Pune"/>
    <x v="2"/>
    <x v="1"/>
    <s v="Mid-Level"/>
    <s v="High Performer"/>
    <s v="Satisfied"/>
  </r>
  <r>
    <s v="EMP588"/>
    <s v="Nisha Menon"/>
    <x v="1"/>
    <x v="13"/>
    <x v="3"/>
    <s v="Executive"/>
    <x v="3"/>
    <n v="29000"/>
    <n v="3"/>
    <x v="2"/>
    <n v="2"/>
    <x v="1"/>
    <x v="1"/>
    <s v="Single"/>
    <s v="Bangalore"/>
    <x v="0"/>
    <x v="0"/>
    <s v="Mid-Level"/>
    <s v="High Performer"/>
    <s v="Dissatisfied"/>
  </r>
  <r>
    <s v="EMP589"/>
    <s v="Amit Sharma"/>
    <x v="1"/>
    <x v="32"/>
    <x v="1"/>
    <s v="Manager"/>
    <x v="0"/>
    <n v="71000"/>
    <n v="5"/>
    <x v="1"/>
    <n v="2"/>
    <x v="1"/>
    <x v="1"/>
    <s v="Single"/>
    <s v="Chennai"/>
    <x v="1"/>
    <x v="2"/>
    <s v="Mid-Level"/>
    <s v="High Performer"/>
    <s v="Dissatisfied"/>
  </r>
  <r>
    <s v="EMP590"/>
    <s v="Meera Sharma"/>
    <x v="1"/>
    <x v="6"/>
    <x v="1"/>
    <s v="Manager"/>
    <x v="0"/>
    <n v="89000"/>
    <n v="9"/>
    <x v="3"/>
    <n v="3"/>
    <x v="1"/>
    <x v="1"/>
    <s v="Married"/>
    <s v="Mumbai"/>
    <x v="2"/>
    <x v="2"/>
    <s v="Senior"/>
    <s v="Needs Improvement"/>
    <s v="Neutral"/>
  </r>
  <r>
    <s v="EMP591"/>
    <s v="Ajay Menon"/>
    <x v="0"/>
    <x v="30"/>
    <x v="0"/>
    <s v="HR Executive"/>
    <x v="2"/>
    <n v="29000"/>
    <n v="8"/>
    <x v="2"/>
    <n v="4"/>
    <x v="0"/>
    <x v="1"/>
    <s v="Single"/>
    <s v="Mumbai"/>
    <x v="3"/>
    <x v="0"/>
    <s v="Senior"/>
    <s v="High Performer"/>
    <s v="Satisfied"/>
  </r>
  <r>
    <s v="EMP592"/>
    <s v="Anjali Verma"/>
    <x v="1"/>
    <x v="23"/>
    <x v="2"/>
    <s v="Analyst"/>
    <x v="0"/>
    <n v="111000"/>
    <n v="4"/>
    <x v="2"/>
    <n v="1"/>
    <x v="1"/>
    <x v="1"/>
    <s v="Married"/>
    <s v="Hyderabad"/>
    <x v="3"/>
    <x v="2"/>
    <s v="Mid-Level"/>
    <s v="High Performer"/>
    <s v="Dissatisfied"/>
  </r>
  <r>
    <s v="EMP593"/>
    <s v="Rohit Reddy"/>
    <x v="0"/>
    <x v="5"/>
    <x v="2"/>
    <s v="Accountant"/>
    <x v="2"/>
    <n v="55000"/>
    <n v="20"/>
    <x v="3"/>
    <n v="5"/>
    <x v="1"/>
    <x v="1"/>
    <s v="Single"/>
    <s v="Coimbatore"/>
    <x v="0"/>
    <x v="1"/>
    <s v="Senior"/>
    <s v="Needs Improvement"/>
    <s v="Satisfied"/>
  </r>
  <r>
    <s v="EMP594"/>
    <s v="Nisha Patel"/>
    <x v="0"/>
    <x v="30"/>
    <x v="4"/>
    <s v="Executive"/>
    <x v="0"/>
    <n v="69000"/>
    <n v="8"/>
    <x v="3"/>
    <n v="5"/>
    <x v="0"/>
    <x v="1"/>
    <s v="Married"/>
    <s v="Hyderabad"/>
    <x v="3"/>
    <x v="1"/>
    <s v="Senior"/>
    <s v="Needs Improvement"/>
    <s v="Satisfied"/>
  </r>
  <r>
    <s v="EMP595"/>
    <s v="Priya Sharma"/>
    <x v="1"/>
    <x v="22"/>
    <x v="4"/>
    <s v="Executive"/>
    <x v="1"/>
    <n v="100000"/>
    <n v="15"/>
    <x v="2"/>
    <n v="1"/>
    <x v="0"/>
    <x v="0"/>
    <s v="Married"/>
    <s v="Hyderabad"/>
    <x v="2"/>
    <x v="2"/>
    <s v="Senior"/>
    <s v="High Performer"/>
    <s v="Dissatisfied"/>
  </r>
  <r>
    <s v="EMP596"/>
    <s v="Pooja Nair"/>
    <x v="0"/>
    <x v="28"/>
    <x v="0"/>
    <s v="HR Executive"/>
    <x v="1"/>
    <n v="110000"/>
    <n v="4"/>
    <x v="0"/>
    <n v="3"/>
    <x v="1"/>
    <x v="1"/>
    <s v="Married"/>
    <s v="Mumbai"/>
    <x v="0"/>
    <x v="2"/>
    <s v="Mid-Level"/>
    <s v="Needs Improvement"/>
    <s v="Neutral"/>
  </r>
  <r>
    <s v="EMP597"/>
    <s v="Arjun Menon"/>
    <x v="1"/>
    <x v="23"/>
    <x v="0"/>
    <s v="Recruiter"/>
    <x v="3"/>
    <n v="74000"/>
    <n v="4"/>
    <x v="0"/>
    <n v="3"/>
    <x v="1"/>
    <x v="1"/>
    <s v="Single"/>
    <s v="Pune"/>
    <x v="3"/>
    <x v="2"/>
    <s v="Mid-Level"/>
    <s v="Needs Improvement"/>
    <s v="Neutral"/>
  </r>
  <r>
    <s v="EMP598"/>
    <s v="Sanjay Raj"/>
    <x v="0"/>
    <x v="32"/>
    <x v="1"/>
    <s v="Manager"/>
    <x v="3"/>
    <n v="74000"/>
    <n v="12"/>
    <x v="2"/>
    <n v="2"/>
    <x v="0"/>
    <x v="1"/>
    <s v="Single"/>
    <s v="Delhi"/>
    <x v="1"/>
    <x v="2"/>
    <s v="Senior"/>
    <s v="High Performer"/>
    <s v="Dissatisfied"/>
  </r>
  <r>
    <s v="EMP599"/>
    <s v="Vivek Iyer"/>
    <x v="0"/>
    <x v="6"/>
    <x v="2"/>
    <s v="Accountant"/>
    <x v="1"/>
    <n v="89000"/>
    <n v="5"/>
    <x v="1"/>
    <n v="3"/>
    <x v="0"/>
    <x v="1"/>
    <s v="Single"/>
    <s v="Chennai"/>
    <x v="2"/>
    <x v="2"/>
    <s v="Mid-Level"/>
    <s v="High Performer"/>
    <s v="Neutral"/>
  </r>
  <r>
    <s v="EMP600"/>
    <s v="Amit Reddy"/>
    <x v="1"/>
    <x v="27"/>
    <x v="0"/>
    <s v="Recruiter"/>
    <x v="0"/>
    <n v="59000"/>
    <n v="1"/>
    <x v="0"/>
    <n v="5"/>
    <x v="1"/>
    <x v="1"/>
    <s v="Single"/>
    <s v="Kochi"/>
    <x v="1"/>
    <x v="1"/>
    <s v="Junior"/>
    <s v="Needs Improvement"/>
    <s v="Satisfied"/>
  </r>
  <r>
    <s v="EMP601"/>
    <s v="Rohit Kumar"/>
    <x v="1"/>
    <x v="5"/>
    <x v="3"/>
    <s v="Manager"/>
    <x v="0"/>
    <n v="99000"/>
    <n v="16"/>
    <x v="3"/>
    <n v="3"/>
    <x v="1"/>
    <x v="1"/>
    <s v="Married"/>
    <s v="Pune"/>
    <x v="0"/>
    <x v="2"/>
    <s v="Senior"/>
    <s v="Needs Improvement"/>
    <s v="Neutral"/>
  </r>
  <r>
    <s v="EMP602"/>
    <s v="Nisha Kumar"/>
    <x v="0"/>
    <x v="8"/>
    <x v="3"/>
    <s v="Manager"/>
    <x v="3"/>
    <n v="72000"/>
    <n v="6"/>
    <x v="2"/>
    <n v="1"/>
    <x v="1"/>
    <x v="1"/>
    <s v="Married"/>
    <s v="Coimbatore"/>
    <x v="1"/>
    <x v="2"/>
    <s v="Mid-Level"/>
    <s v="High Performer"/>
    <s v="Dissatisfied"/>
  </r>
  <r>
    <s v="EMP603"/>
    <s v="Vivek Reddy"/>
    <x v="0"/>
    <x v="13"/>
    <x v="1"/>
    <s v="Manager"/>
    <x v="2"/>
    <n v="76000"/>
    <n v="18"/>
    <x v="0"/>
    <n v="3"/>
    <x v="1"/>
    <x v="0"/>
    <s v="Married"/>
    <s v="Pune"/>
    <x v="0"/>
    <x v="2"/>
    <s v="Senior"/>
    <s v="Needs Improvement"/>
    <s v="Neutral"/>
  </r>
  <r>
    <s v="EMP604"/>
    <s v="Karthik Patel"/>
    <x v="0"/>
    <x v="20"/>
    <x v="0"/>
    <s v="HR Executive"/>
    <x v="0"/>
    <n v="25000"/>
    <n v="13"/>
    <x v="2"/>
    <n v="5"/>
    <x v="0"/>
    <x v="1"/>
    <s v="Single"/>
    <s v="Coimbatore"/>
    <x v="0"/>
    <x v="0"/>
    <s v="Senior"/>
    <s v="High Performer"/>
    <s v="Satisfied"/>
  </r>
  <r>
    <s v="EMP605"/>
    <s v="Sneha Patel"/>
    <x v="0"/>
    <x v="1"/>
    <x v="2"/>
    <s v="Accountant"/>
    <x v="1"/>
    <n v="91000"/>
    <n v="20"/>
    <x v="3"/>
    <n v="4"/>
    <x v="1"/>
    <x v="1"/>
    <s v="Single"/>
    <s v="Delhi"/>
    <x v="1"/>
    <x v="2"/>
    <s v="Senior"/>
    <s v="Needs Improvement"/>
    <s v="Satisfied"/>
  </r>
  <r>
    <s v="EMP606"/>
    <s v="Pooja Reddy"/>
    <x v="1"/>
    <x v="33"/>
    <x v="5"/>
    <s v="Data Analyst"/>
    <x v="2"/>
    <n v="119000"/>
    <n v="6"/>
    <x v="2"/>
    <n v="3"/>
    <x v="1"/>
    <x v="1"/>
    <s v="Single"/>
    <s v="Hyderabad"/>
    <x v="0"/>
    <x v="2"/>
    <s v="Mid-Level"/>
    <s v="High Performer"/>
    <s v="Neutral"/>
  </r>
  <r>
    <s v="EMP607"/>
    <s v="Neha Reddy"/>
    <x v="0"/>
    <x v="20"/>
    <x v="0"/>
    <s v="HR Executive"/>
    <x v="3"/>
    <n v="42000"/>
    <n v="12"/>
    <x v="1"/>
    <n v="2"/>
    <x v="1"/>
    <x v="1"/>
    <s v="Married"/>
    <s v="Delhi"/>
    <x v="0"/>
    <x v="1"/>
    <s v="Senior"/>
    <s v="High Performer"/>
    <s v="Dissatisfied"/>
  </r>
  <r>
    <s v="EMP608"/>
    <s v="Nisha Raj"/>
    <x v="0"/>
    <x v="29"/>
    <x v="5"/>
    <s v="Software Engineer"/>
    <x v="0"/>
    <n v="57000"/>
    <n v="14"/>
    <x v="1"/>
    <n v="5"/>
    <x v="1"/>
    <x v="1"/>
    <s v="Married"/>
    <s v="Coimbatore"/>
    <x v="2"/>
    <x v="1"/>
    <s v="Senior"/>
    <s v="High Performer"/>
    <s v="Satisfied"/>
  </r>
  <r>
    <s v="EMP609"/>
    <s v="Ajay Nair"/>
    <x v="0"/>
    <x v="25"/>
    <x v="2"/>
    <s v="Accountant"/>
    <x v="1"/>
    <n v="83000"/>
    <n v="15"/>
    <x v="2"/>
    <n v="3"/>
    <x v="1"/>
    <x v="1"/>
    <s v="Single"/>
    <s v="Mumbai"/>
    <x v="0"/>
    <x v="2"/>
    <s v="Senior"/>
    <s v="High Performer"/>
    <s v="Neutral"/>
  </r>
  <r>
    <s v="EMP610"/>
    <s v="Amit Patel"/>
    <x v="1"/>
    <x v="9"/>
    <x v="1"/>
    <s v="Manager"/>
    <x v="2"/>
    <n v="49000"/>
    <n v="12"/>
    <x v="3"/>
    <n v="2"/>
    <x v="1"/>
    <x v="1"/>
    <s v="Single"/>
    <s v="Delhi"/>
    <x v="0"/>
    <x v="1"/>
    <s v="Senior"/>
    <s v="Needs Improvement"/>
    <s v="Dissatisfied"/>
  </r>
  <r>
    <s v="EMP611"/>
    <s v="Vivek Kumar"/>
    <x v="1"/>
    <x v="10"/>
    <x v="5"/>
    <s v="Data Analyst"/>
    <x v="3"/>
    <n v="29000"/>
    <n v="11"/>
    <x v="2"/>
    <n v="4"/>
    <x v="0"/>
    <x v="1"/>
    <s v="Married"/>
    <s v="Coimbatore"/>
    <x v="1"/>
    <x v="0"/>
    <s v="Senior"/>
    <s v="High Performer"/>
    <s v="Satisfied"/>
  </r>
  <r>
    <s v="EMP612"/>
    <s v="Rohit Iyer"/>
    <x v="1"/>
    <x v="31"/>
    <x v="2"/>
    <s v="Analyst"/>
    <x v="0"/>
    <n v="72000"/>
    <n v="2"/>
    <x v="2"/>
    <n v="1"/>
    <x v="1"/>
    <x v="1"/>
    <s v="Single"/>
    <s v="Hyderabad"/>
    <x v="3"/>
    <x v="2"/>
    <s v="Junior"/>
    <s v="High Performer"/>
    <s v="Dissatisfied"/>
  </r>
  <r>
    <s v="EMP613"/>
    <s v="Pooja Menon"/>
    <x v="1"/>
    <x v="12"/>
    <x v="2"/>
    <s v="Analyst"/>
    <x v="1"/>
    <n v="100000"/>
    <n v="5"/>
    <x v="2"/>
    <n v="5"/>
    <x v="0"/>
    <x v="0"/>
    <s v="Single"/>
    <s v="Delhi"/>
    <x v="3"/>
    <x v="2"/>
    <s v="Mid-Level"/>
    <s v="High Performer"/>
    <s v="Satisfied"/>
  </r>
  <r>
    <s v="EMP614"/>
    <s v="Amit Nair"/>
    <x v="0"/>
    <x v="26"/>
    <x v="2"/>
    <s v="Accountant"/>
    <x v="3"/>
    <n v="93000"/>
    <n v="11"/>
    <x v="3"/>
    <n v="1"/>
    <x v="1"/>
    <x v="1"/>
    <s v="Married"/>
    <s v="Hyderabad"/>
    <x v="2"/>
    <x v="2"/>
    <s v="Senior"/>
    <s v="Needs Improvement"/>
    <s v="Dissatisfied"/>
  </r>
  <r>
    <s v="EMP615"/>
    <s v="Arjun Raj"/>
    <x v="0"/>
    <x v="14"/>
    <x v="2"/>
    <s v="Accountant"/>
    <x v="1"/>
    <n v="33000"/>
    <n v="1"/>
    <x v="0"/>
    <n v="3"/>
    <x v="1"/>
    <x v="1"/>
    <s v="Single"/>
    <s v="Delhi"/>
    <x v="3"/>
    <x v="0"/>
    <s v="Junior"/>
    <s v="Needs Improvement"/>
    <s v="Neutral"/>
  </r>
  <r>
    <s v="EMP616"/>
    <s v="Pooja Patel"/>
    <x v="1"/>
    <x v="26"/>
    <x v="3"/>
    <s v="Manager"/>
    <x v="3"/>
    <n v="85000"/>
    <n v="3"/>
    <x v="3"/>
    <n v="4"/>
    <x v="1"/>
    <x v="1"/>
    <s v="Single"/>
    <s v="Pune"/>
    <x v="2"/>
    <x v="2"/>
    <s v="Mid-Level"/>
    <s v="Needs Improvement"/>
    <s v="Satisfied"/>
  </r>
  <r>
    <s v="EMP617"/>
    <s v="Pooja Patel"/>
    <x v="0"/>
    <x v="14"/>
    <x v="3"/>
    <s v="Executive"/>
    <x v="0"/>
    <n v="112000"/>
    <n v="3"/>
    <x v="3"/>
    <n v="4"/>
    <x v="1"/>
    <x v="1"/>
    <s v="Single"/>
    <s v="Mumbai"/>
    <x v="3"/>
    <x v="2"/>
    <s v="Mid-Level"/>
    <s v="Needs Improvement"/>
    <s v="Satisfied"/>
  </r>
  <r>
    <s v="EMP618"/>
    <s v="Priya Raj"/>
    <x v="1"/>
    <x v="7"/>
    <x v="0"/>
    <s v="Recruiter"/>
    <x v="0"/>
    <n v="73000"/>
    <n v="3"/>
    <x v="2"/>
    <n v="2"/>
    <x v="1"/>
    <x v="1"/>
    <s v="Single"/>
    <s v="Chennai"/>
    <x v="0"/>
    <x v="2"/>
    <s v="Mid-Level"/>
    <s v="High Performer"/>
    <s v="Dissatisfied"/>
  </r>
  <r>
    <s v="EMP619"/>
    <s v="Priya Sharma"/>
    <x v="0"/>
    <x v="6"/>
    <x v="1"/>
    <s v="Executive"/>
    <x v="3"/>
    <n v="74000"/>
    <n v="0"/>
    <x v="3"/>
    <n v="5"/>
    <x v="1"/>
    <x v="1"/>
    <s v="Single"/>
    <s v="Hyderabad"/>
    <x v="2"/>
    <x v="2"/>
    <s v="Junior"/>
    <s v="Needs Improvement"/>
    <s v="Satisfied"/>
  </r>
  <r>
    <s v="EMP620"/>
    <s v="Divya Verma"/>
    <x v="0"/>
    <x v="19"/>
    <x v="5"/>
    <s v="Software Engineer"/>
    <x v="2"/>
    <n v="73000"/>
    <n v="6"/>
    <x v="2"/>
    <n v="3"/>
    <x v="0"/>
    <x v="1"/>
    <s v="Married"/>
    <s v="Kochi"/>
    <x v="2"/>
    <x v="2"/>
    <s v="Mid-Level"/>
    <s v="High Performer"/>
    <s v="Neutral"/>
  </r>
  <r>
    <s v="EMP621"/>
    <s v="Rohit Patel"/>
    <x v="1"/>
    <x v="28"/>
    <x v="1"/>
    <s v="Manager"/>
    <x v="1"/>
    <n v="69000"/>
    <n v="14"/>
    <x v="2"/>
    <n v="4"/>
    <x v="0"/>
    <x v="0"/>
    <s v="Married"/>
    <s v="Chennai"/>
    <x v="0"/>
    <x v="1"/>
    <s v="Senior"/>
    <s v="High Performer"/>
    <s v="Satisfied"/>
  </r>
  <r>
    <s v="EMP622"/>
    <s v="Vivek Patel"/>
    <x v="1"/>
    <x v="23"/>
    <x v="3"/>
    <s v="Manager"/>
    <x v="2"/>
    <n v="85000"/>
    <n v="4"/>
    <x v="3"/>
    <n v="2"/>
    <x v="1"/>
    <x v="1"/>
    <s v="Married"/>
    <s v="Coimbatore"/>
    <x v="3"/>
    <x v="2"/>
    <s v="Mid-Level"/>
    <s v="Needs Improvement"/>
    <s v="Dissatisfied"/>
  </r>
  <r>
    <s v="EMP623"/>
    <s v="Pooja Menon"/>
    <x v="1"/>
    <x v="24"/>
    <x v="2"/>
    <s v="Accountant"/>
    <x v="3"/>
    <n v="43000"/>
    <n v="9"/>
    <x v="0"/>
    <n v="3"/>
    <x v="0"/>
    <x v="1"/>
    <s v="Single"/>
    <s v="Hyderabad"/>
    <x v="2"/>
    <x v="1"/>
    <s v="Senior"/>
    <s v="Needs Improvement"/>
    <s v="Neutral"/>
  </r>
  <r>
    <s v="EMP624"/>
    <s v="Anjali Kumar"/>
    <x v="1"/>
    <x v="24"/>
    <x v="2"/>
    <s v="Accountant"/>
    <x v="1"/>
    <n v="63000"/>
    <n v="10"/>
    <x v="1"/>
    <n v="1"/>
    <x v="0"/>
    <x v="1"/>
    <s v="Single"/>
    <s v="Chennai"/>
    <x v="2"/>
    <x v="1"/>
    <s v="Senior"/>
    <s v="High Performer"/>
    <s v="Dissatisfied"/>
  </r>
  <r>
    <s v="EMP625"/>
    <s v="Anjali Patel"/>
    <x v="0"/>
    <x v="16"/>
    <x v="3"/>
    <s v="Executive"/>
    <x v="0"/>
    <n v="44000"/>
    <n v="14"/>
    <x v="2"/>
    <n v="4"/>
    <x v="0"/>
    <x v="1"/>
    <s v="Married"/>
    <s v="Bangalore"/>
    <x v="2"/>
    <x v="1"/>
    <s v="Senior"/>
    <s v="High Performer"/>
    <s v="Satisfied"/>
  </r>
  <r>
    <s v="EMP626"/>
    <s v="Nisha Kumar"/>
    <x v="1"/>
    <x v="6"/>
    <x v="1"/>
    <s v="Manager"/>
    <x v="1"/>
    <n v="39000"/>
    <n v="9"/>
    <x v="0"/>
    <n v="1"/>
    <x v="1"/>
    <x v="1"/>
    <s v="Married"/>
    <s v="Bangalore"/>
    <x v="2"/>
    <x v="0"/>
    <s v="Senior"/>
    <s v="Needs Improvement"/>
    <s v="Dissatisfied"/>
  </r>
  <r>
    <s v="EMP627"/>
    <s v="Vivek Menon"/>
    <x v="1"/>
    <x v="32"/>
    <x v="0"/>
    <s v="HR Executive"/>
    <x v="1"/>
    <n v="63000"/>
    <n v="4"/>
    <x v="2"/>
    <n v="4"/>
    <x v="1"/>
    <x v="1"/>
    <s v="Married"/>
    <s v="Pune"/>
    <x v="1"/>
    <x v="1"/>
    <s v="Mid-Level"/>
    <s v="High Performer"/>
    <s v="Satisfied"/>
  </r>
  <r>
    <s v="EMP628"/>
    <s v="Vivek Menon"/>
    <x v="1"/>
    <x v="1"/>
    <x v="4"/>
    <s v="Manager"/>
    <x v="1"/>
    <n v="55000"/>
    <n v="8"/>
    <x v="3"/>
    <n v="1"/>
    <x v="0"/>
    <x v="0"/>
    <s v="Married"/>
    <s v="Pune"/>
    <x v="1"/>
    <x v="1"/>
    <s v="Senior"/>
    <s v="Needs Improvement"/>
    <s v="Dissatisfied"/>
  </r>
  <r>
    <s v="EMP629"/>
    <s v="Amit Menon"/>
    <x v="1"/>
    <x v="0"/>
    <x v="2"/>
    <s v="Analyst"/>
    <x v="0"/>
    <n v="72000"/>
    <n v="3"/>
    <x v="3"/>
    <n v="4"/>
    <x v="0"/>
    <x v="1"/>
    <s v="Single"/>
    <s v="Mumbai"/>
    <x v="0"/>
    <x v="2"/>
    <s v="Mid-Level"/>
    <s v="Needs Improvement"/>
    <s v="Satisfied"/>
  </r>
  <r>
    <s v="EMP630"/>
    <s v="Arjun Menon"/>
    <x v="0"/>
    <x v="28"/>
    <x v="5"/>
    <s v="Software Engineer"/>
    <x v="2"/>
    <n v="50000"/>
    <n v="6"/>
    <x v="1"/>
    <n v="5"/>
    <x v="1"/>
    <x v="1"/>
    <s v="Single"/>
    <s v="Pune"/>
    <x v="0"/>
    <x v="1"/>
    <s v="Mid-Level"/>
    <s v="High Performer"/>
    <s v="Satisfied"/>
  </r>
  <r>
    <s v="EMP631"/>
    <s v="Pooja Patel"/>
    <x v="1"/>
    <x v="9"/>
    <x v="4"/>
    <s v="Manager"/>
    <x v="3"/>
    <n v="91000"/>
    <n v="3"/>
    <x v="3"/>
    <n v="3"/>
    <x v="0"/>
    <x v="1"/>
    <s v="Married"/>
    <s v="Mumbai"/>
    <x v="0"/>
    <x v="2"/>
    <s v="Mid-Level"/>
    <s v="Needs Improvement"/>
    <s v="Neutral"/>
  </r>
  <r>
    <s v="EMP632"/>
    <s v="Rahul Sharma"/>
    <x v="0"/>
    <x v="6"/>
    <x v="5"/>
    <s v="Software Engineer"/>
    <x v="3"/>
    <n v="97000"/>
    <n v="6"/>
    <x v="3"/>
    <n v="4"/>
    <x v="0"/>
    <x v="1"/>
    <s v="Single"/>
    <s v="Pune"/>
    <x v="2"/>
    <x v="2"/>
    <s v="Mid-Level"/>
    <s v="Needs Improvement"/>
    <s v="Satisfied"/>
  </r>
  <r>
    <s v="EMP633"/>
    <s v="Priya Verma"/>
    <x v="0"/>
    <x v="23"/>
    <x v="5"/>
    <s v="Data Analyst"/>
    <x v="0"/>
    <n v="74000"/>
    <n v="4"/>
    <x v="0"/>
    <n v="4"/>
    <x v="0"/>
    <x v="1"/>
    <s v="Single"/>
    <s v="Chennai"/>
    <x v="3"/>
    <x v="2"/>
    <s v="Mid-Level"/>
    <s v="Needs Improvement"/>
    <s v="Satisfied"/>
  </r>
  <r>
    <s v="EMP634"/>
    <s v="Arjun Sharma"/>
    <x v="0"/>
    <x v="21"/>
    <x v="4"/>
    <s v="Executive"/>
    <x v="2"/>
    <n v="104000"/>
    <n v="5"/>
    <x v="0"/>
    <n v="2"/>
    <x v="0"/>
    <x v="0"/>
    <s v="Single"/>
    <s v="Chennai"/>
    <x v="3"/>
    <x v="2"/>
    <s v="Mid-Level"/>
    <s v="Needs Improvement"/>
    <s v="Dissatisfied"/>
  </r>
  <r>
    <s v="EMP635"/>
    <s v="Amit Nair"/>
    <x v="1"/>
    <x v="21"/>
    <x v="0"/>
    <s v="HR Executive"/>
    <x v="0"/>
    <n v="101000"/>
    <n v="5"/>
    <x v="2"/>
    <n v="3"/>
    <x v="1"/>
    <x v="1"/>
    <s v="Single"/>
    <s v="Hyderabad"/>
    <x v="3"/>
    <x v="2"/>
    <s v="Mid-Level"/>
    <s v="High Performer"/>
    <s v="Neutral"/>
  </r>
  <r>
    <s v="EMP636"/>
    <s v="Anjali Verma"/>
    <x v="0"/>
    <x v="33"/>
    <x v="2"/>
    <s v="Accountant"/>
    <x v="2"/>
    <n v="114000"/>
    <n v="19"/>
    <x v="1"/>
    <n v="1"/>
    <x v="1"/>
    <x v="1"/>
    <s v="Married"/>
    <s v="Bangalore"/>
    <x v="0"/>
    <x v="2"/>
    <s v="Senior"/>
    <s v="High Performer"/>
    <s v="Dissatisfied"/>
  </r>
  <r>
    <s v="EMP637"/>
    <s v="Meera Nair"/>
    <x v="0"/>
    <x v="3"/>
    <x v="2"/>
    <s v="Analyst"/>
    <x v="1"/>
    <n v="107000"/>
    <n v="0"/>
    <x v="3"/>
    <n v="3"/>
    <x v="0"/>
    <x v="1"/>
    <s v="Single"/>
    <s v="Mumbai"/>
    <x v="2"/>
    <x v="2"/>
    <s v="Junior"/>
    <s v="Needs Improvement"/>
    <s v="Neutral"/>
  </r>
  <r>
    <s v="EMP638"/>
    <s v="Divya Iyer"/>
    <x v="0"/>
    <x v="23"/>
    <x v="2"/>
    <s v="Analyst"/>
    <x v="1"/>
    <n v="116000"/>
    <n v="4"/>
    <x v="3"/>
    <n v="4"/>
    <x v="1"/>
    <x v="1"/>
    <s v="Married"/>
    <s v="Chennai"/>
    <x v="3"/>
    <x v="2"/>
    <s v="Mid-Level"/>
    <s v="Needs Improvement"/>
    <s v="Satisfied"/>
  </r>
  <r>
    <s v="EMP639"/>
    <s v="Sanjay Reddy"/>
    <x v="1"/>
    <x v="24"/>
    <x v="5"/>
    <s v="Software Engineer"/>
    <x v="3"/>
    <n v="116000"/>
    <n v="9"/>
    <x v="0"/>
    <n v="5"/>
    <x v="1"/>
    <x v="1"/>
    <s v="Single"/>
    <s v="Hyderabad"/>
    <x v="2"/>
    <x v="2"/>
    <s v="Senior"/>
    <s v="Needs Improvement"/>
    <s v="Satisfied"/>
  </r>
  <r>
    <s v="EMP640"/>
    <s v="Rohit Reddy"/>
    <x v="0"/>
    <x v="32"/>
    <x v="2"/>
    <s v="Accountant"/>
    <x v="3"/>
    <n v="76000"/>
    <n v="14"/>
    <x v="1"/>
    <n v="1"/>
    <x v="1"/>
    <x v="1"/>
    <s v="Single"/>
    <s v="Hyderabad"/>
    <x v="1"/>
    <x v="2"/>
    <s v="Senior"/>
    <s v="High Performer"/>
    <s v="Dissatisfied"/>
  </r>
  <r>
    <s v="EMP641"/>
    <s v="Pooja Menon"/>
    <x v="1"/>
    <x v="20"/>
    <x v="5"/>
    <s v="Data Analyst"/>
    <x v="0"/>
    <n v="64000"/>
    <n v="9"/>
    <x v="3"/>
    <n v="5"/>
    <x v="0"/>
    <x v="1"/>
    <s v="Single"/>
    <s v="Kochi"/>
    <x v="0"/>
    <x v="1"/>
    <s v="Senior"/>
    <s v="Needs Improvement"/>
    <s v="Satisfied"/>
  </r>
  <r>
    <s v="EMP642"/>
    <s v="Sneha Singh"/>
    <x v="0"/>
    <x v="32"/>
    <x v="1"/>
    <s v="Manager"/>
    <x v="0"/>
    <n v="100000"/>
    <n v="15"/>
    <x v="2"/>
    <n v="4"/>
    <x v="1"/>
    <x v="1"/>
    <s v="Married"/>
    <s v="Hyderabad"/>
    <x v="1"/>
    <x v="2"/>
    <s v="Senior"/>
    <s v="High Performer"/>
    <s v="Satisfied"/>
  </r>
  <r>
    <s v="EMP643"/>
    <s v="Amit Patel"/>
    <x v="1"/>
    <x v="28"/>
    <x v="0"/>
    <s v="HR Executive"/>
    <x v="3"/>
    <n v="26000"/>
    <n v="15"/>
    <x v="0"/>
    <n v="4"/>
    <x v="1"/>
    <x v="1"/>
    <s v="Married"/>
    <s v="Pune"/>
    <x v="0"/>
    <x v="0"/>
    <s v="Senior"/>
    <s v="Needs Improvement"/>
    <s v="Satisfied"/>
  </r>
  <r>
    <s v="EMP644"/>
    <s v="Karthik Reddy"/>
    <x v="0"/>
    <x v="5"/>
    <x v="5"/>
    <s v="Software Engineer"/>
    <x v="0"/>
    <n v="118000"/>
    <n v="18"/>
    <x v="2"/>
    <n v="3"/>
    <x v="0"/>
    <x v="1"/>
    <s v="Married"/>
    <s v="Pune"/>
    <x v="0"/>
    <x v="2"/>
    <s v="Senior"/>
    <s v="High Performer"/>
    <s v="Neutral"/>
  </r>
  <r>
    <s v="EMP645"/>
    <s v="Neha Singh"/>
    <x v="1"/>
    <x v="8"/>
    <x v="3"/>
    <s v="Manager"/>
    <x v="0"/>
    <n v="120000"/>
    <n v="4"/>
    <x v="1"/>
    <n v="4"/>
    <x v="1"/>
    <x v="1"/>
    <s v="Single"/>
    <s v="Mumbai"/>
    <x v="1"/>
    <x v="2"/>
    <s v="Mid-Level"/>
    <s v="High Performer"/>
    <s v="Satisfied"/>
  </r>
  <r>
    <s v="EMP646"/>
    <s v="Karthik Verma"/>
    <x v="1"/>
    <x v="18"/>
    <x v="3"/>
    <s v="Executive"/>
    <x v="3"/>
    <n v="89000"/>
    <n v="6"/>
    <x v="1"/>
    <n v="1"/>
    <x v="0"/>
    <x v="0"/>
    <s v="Single"/>
    <s v="Hyderabad"/>
    <x v="3"/>
    <x v="2"/>
    <s v="Mid-Level"/>
    <s v="High Performer"/>
    <s v="Dissatisfied"/>
  </r>
  <r>
    <s v="EMP647"/>
    <s v="Anjali Singh"/>
    <x v="1"/>
    <x v="32"/>
    <x v="1"/>
    <s v="Executive"/>
    <x v="2"/>
    <n v="89000"/>
    <n v="3"/>
    <x v="1"/>
    <n v="4"/>
    <x v="1"/>
    <x v="1"/>
    <s v="Married"/>
    <s v="Coimbatore"/>
    <x v="1"/>
    <x v="2"/>
    <s v="Mid-Level"/>
    <s v="High Performer"/>
    <s v="Satisfied"/>
  </r>
  <r>
    <s v="EMP648"/>
    <s v="Anjali Menon"/>
    <x v="1"/>
    <x v="18"/>
    <x v="5"/>
    <s v="Data Analyst"/>
    <x v="0"/>
    <n v="41000"/>
    <n v="5"/>
    <x v="1"/>
    <n v="3"/>
    <x v="0"/>
    <x v="0"/>
    <s v="Single"/>
    <s v="Mumbai"/>
    <x v="3"/>
    <x v="1"/>
    <s v="Mid-Level"/>
    <s v="High Performer"/>
    <s v="Neutral"/>
  </r>
  <r>
    <s v="EMP649"/>
    <s v="Karthik Reddy"/>
    <x v="1"/>
    <x v="30"/>
    <x v="4"/>
    <s v="Executive"/>
    <x v="0"/>
    <n v="66000"/>
    <n v="0"/>
    <x v="1"/>
    <n v="3"/>
    <x v="1"/>
    <x v="0"/>
    <s v="Married"/>
    <s v="Kochi"/>
    <x v="3"/>
    <x v="1"/>
    <s v="Junior"/>
    <s v="High Performer"/>
    <s v="Neutral"/>
  </r>
  <r>
    <s v="EMP650"/>
    <s v="Pooja Sharma"/>
    <x v="1"/>
    <x v="6"/>
    <x v="5"/>
    <s v="Software Engineer"/>
    <x v="2"/>
    <n v="28000"/>
    <n v="9"/>
    <x v="0"/>
    <n v="1"/>
    <x v="0"/>
    <x v="0"/>
    <s v="Single"/>
    <s v="Coimbatore"/>
    <x v="2"/>
    <x v="0"/>
    <s v="Senior"/>
    <s v="Needs Improvement"/>
    <s v="Dissatisfied"/>
  </r>
  <r>
    <s v="EMP651"/>
    <s v="Divya Raj"/>
    <x v="1"/>
    <x v="11"/>
    <x v="1"/>
    <s v="Manager"/>
    <x v="1"/>
    <n v="118000"/>
    <n v="19"/>
    <x v="3"/>
    <n v="5"/>
    <x v="0"/>
    <x v="1"/>
    <s v="Married"/>
    <s v="Pune"/>
    <x v="0"/>
    <x v="2"/>
    <s v="Senior"/>
    <s v="Needs Improvement"/>
    <s v="Satisfied"/>
  </r>
  <r>
    <s v="EMP652"/>
    <s v="Sneha Kumar"/>
    <x v="1"/>
    <x v="7"/>
    <x v="2"/>
    <s v="Analyst"/>
    <x v="0"/>
    <n v="90000"/>
    <n v="18"/>
    <x v="3"/>
    <n v="1"/>
    <x v="0"/>
    <x v="1"/>
    <s v="Single"/>
    <s v="Bangalore"/>
    <x v="0"/>
    <x v="2"/>
    <s v="Senior"/>
    <s v="Needs Improvement"/>
    <s v="Dissatisfied"/>
  </r>
  <r>
    <s v="EMP653"/>
    <s v="Neha Reddy"/>
    <x v="0"/>
    <x v="30"/>
    <x v="0"/>
    <s v="HR Executive"/>
    <x v="3"/>
    <n v="114000"/>
    <n v="6"/>
    <x v="2"/>
    <n v="1"/>
    <x v="1"/>
    <x v="0"/>
    <s v="Married"/>
    <s v="Bangalore"/>
    <x v="3"/>
    <x v="2"/>
    <s v="Mid-Level"/>
    <s v="High Performer"/>
    <s v="Dissatisfied"/>
  </r>
  <r>
    <s v="EMP654"/>
    <s v="Priya Kumar"/>
    <x v="0"/>
    <x v="4"/>
    <x v="2"/>
    <s v="Analyst"/>
    <x v="3"/>
    <n v="62000"/>
    <n v="0"/>
    <x v="1"/>
    <n v="4"/>
    <x v="1"/>
    <x v="1"/>
    <s v="Married"/>
    <s v="Hyderabad"/>
    <x v="2"/>
    <x v="1"/>
    <s v="Junior"/>
    <s v="High Performer"/>
    <s v="Satisfied"/>
  </r>
  <r>
    <s v="EMP655"/>
    <s v="Neha Nair"/>
    <x v="1"/>
    <x v="26"/>
    <x v="2"/>
    <s v="Analyst"/>
    <x v="3"/>
    <n v="69000"/>
    <n v="11"/>
    <x v="1"/>
    <n v="3"/>
    <x v="0"/>
    <x v="0"/>
    <s v="Married"/>
    <s v="Hyderabad"/>
    <x v="2"/>
    <x v="1"/>
    <s v="Senior"/>
    <s v="High Performer"/>
    <s v="Neutral"/>
  </r>
  <r>
    <s v="EMP656"/>
    <s v="Divya Verma"/>
    <x v="0"/>
    <x v="21"/>
    <x v="5"/>
    <s v="Software Engineer"/>
    <x v="3"/>
    <n v="86000"/>
    <n v="5"/>
    <x v="1"/>
    <n v="2"/>
    <x v="0"/>
    <x v="0"/>
    <s v="Single"/>
    <s v="Delhi"/>
    <x v="3"/>
    <x v="2"/>
    <s v="Mid-Level"/>
    <s v="High Performer"/>
    <s v="Dissatisfied"/>
  </r>
  <r>
    <s v="EMP657"/>
    <s v="Divya Patel"/>
    <x v="0"/>
    <x v="6"/>
    <x v="4"/>
    <s v="Executive"/>
    <x v="1"/>
    <n v="109000"/>
    <n v="3"/>
    <x v="3"/>
    <n v="5"/>
    <x v="1"/>
    <x v="1"/>
    <s v="Married"/>
    <s v="Kochi"/>
    <x v="2"/>
    <x v="2"/>
    <s v="Mid-Level"/>
    <s v="Needs Improvement"/>
    <s v="Satisfied"/>
  </r>
  <r>
    <s v="EMP658"/>
    <s v="Anjali Iyer"/>
    <x v="0"/>
    <x v="25"/>
    <x v="1"/>
    <s v="Manager"/>
    <x v="2"/>
    <n v="39000"/>
    <n v="3"/>
    <x v="0"/>
    <n v="2"/>
    <x v="0"/>
    <x v="0"/>
    <s v="Married"/>
    <s v="Hyderabad"/>
    <x v="0"/>
    <x v="0"/>
    <s v="Mid-Level"/>
    <s v="Needs Improvement"/>
    <s v="Dissatisfied"/>
  </r>
  <r>
    <s v="EMP659"/>
    <s v="Nisha Kumar"/>
    <x v="0"/>
    <x v="10"/>
    <x v="3"/>
    <s v="Executive"/>
    <x v="2"/>
    <n v="46000"/>
    <n v="2"/>
    <x v="0"/>
    <n v="1"/>
    <x v="1"/>
    <x v="1"/>
    <s v="Married"/>
    <s v="Chennai"/>
    <x v="1"/>
    <x v="1"/>
    <s v="Junior"/>
    <s v="Needs Improvement"/>
    <s v="Dissatisfied"/>
  </r>
  <r>
    <s v="EMP660"/>
    <s v="Vivek Singh"/>
    <x v="1"/>
    <x v="9"/>
    <x v="4"/>
    <s v="Manager"/>
    <x v="1"/>
    <n v="109000"/>
    <n v="14"/>
    <x v="1"/>
    <n v="1"/>
    <x v="0"/>
    <x v="0"/>
    <s v="Married"/>
    <s v="Mumbai"/>
    <x v="0"/>
    <x v="2"/>
    <s v="Senior"/>
    <s v="High Performer"/>
    <s v="Dissatisfied"/>
  </r>
  <r>
    <s v="EMP661"/>
    <s v="Vivek Nair"/>
    <x v="0"/>
    <x v="6"/>
    <x v="2"/>
    <s v="Analyst"/>
    <x v="3"/>
    <n v="97000"/>
    <n v="3"/>
    <x v="2"/>
    <n v="5"/>
    <x v="0"/>
    <x v="1"/>
    <s v="Married"/>
    <s v="Delhi"/>
    <x v="2"/>
    <x v="2"/>
    <s v="Mid-Level"/>
    <s v="High Performer"/>
    <s v="Satisfied"/>
  </r>
  <r>
    <s v="EMP662"/>
    <s v="Sanjay Reddy"/>
    <x v="0"/>
    <x v="30"/>
    <x v="4"/>
    <s v="Manager"/>
    <x v="0"/>
    <n v="71000"/>
    <n v="3"/>
    <x v="1"/>
    <n v="5"/>
    <x v="0"/>
    <x v="1"/>
    <s v="Married"/>
    <s v="Coimbatore"/>
    <x v="3"/>
    <x v="2"/>
    <s v="Mid-Level"/>
    <s v="High Performer"/>
    <s v="Satisfied"/>
  </r>
  <r>
    <s v="EMP663"/>
    <s v="Rohit Iyer"/>
    <x v="0"/>
    <x v="18"/>
    <x v="1"/>
    <s v="Manager"/>
    <x v="3"/>
    <n v="25000"/>
    <n v="4"/>
    <x v="0"/>
    <n v="3"/>
    <x v="0"/>
    <x v="0"/>
    <s v="Single"/>
    <s v="Hyderabad"/>
    <x v="3"/>
    <x v="0"/>
    <s v="Mid-Level"/>
    <s v="Needs Improvement"/>
    <s v="Neutral"/>
  </r>
  <r>
    <s v="EMP664"/>
    <s v="Meera Menon"/>
    <x v="1"/>
    <x v="29"/>
    <x v="1"/>
    <s v="Executive"/>
    <x v="2"/>
    <n v="107000"/>
    <n v="2"/>
    <x v="3"/>
    <n v="2"/>
    <x v="1"/>
    <x v="1"/>
    <s v="Single"/>
    <s v="Chennai"/>
    <x v="2"/>
    <x v="2"/>
    <s v="Junior"/>
    <s v="Needs Improvement"/>
    <s v="Dissatisfied"/>
  </r>
  <r>
    <s v="EMP665"/>
    <s v="Ajay Sharma"/>
    <x v="1"/>
    <x v="8"/>
    <x v="4"/>
    <s v="Executive"/>
    <x v="0"/>
    <n v="37000"/>
    <n v="20"/>
    <x v="0"/>
    <n v="2"/>
    <x v="1"/>
    <x v="0"/>
    <s v="Single"/>
    <s v="Delhi"/>
    <x v="1"/>
    <x v="0"/>
    <s v="Senior"/>
    <s v="Needs Improvement"/>
    <s v="Dissatisfied"/>
  </r>
  <r>
    <s v="EMP666"/>
    <s v="Sneha Singh"/>
    <x v="1"/>
    <x v="1"/>
    <x v="4"/>
    <s v="Executive"/>
    <x v="3"/>
    <n v="31000"/>
    <n v="20"/>
    <x v="1"/>
    <n v="4"/>
    <x v="0"/>
    <x v="1"/>
    <s v="Single"/>
    <s v="Hyderabad"/>
    <x v="1"/>
    <x v="0"/>
    <s v="Senior"/>
    <s v="High Performer"/>
    <s v="Satisfied"/>
  </r>
  <r>
    <s v="EMP667"/>
    <s v="Priya Kumar"/>
    <x v="1"/>
    <x v="27"/>
    <x v="4"/>
    <s v="Manager"/>
    <x v="0"/>
    <n v="98000"/>
    <n v="18"/>
    <x v="1"/>
    <n v="4"/>
    <x v="0"/>
    <x v="0"/>
    <s v="Married"/>
    <s v="Kochi"/>
    <x v="1"/>
    <x v="2"/>
    <s v="Senior"/>
    <s v="High Performer"/>
    <s v="Satisfied"/>
  </r>
  <r>
    <s v="EMP668"/>
    <s v="Nisha Patel"/>
    <x v="1"/>
    <x v="30"/>
    <x v="3"/>
    <s v="Manager"/>
    <x v="3"/>
    <n v="91000"/>
    <n v="8"/>
    <x v="0"/>
    <n v="5"/>
    <x v="1"/>
    <x v="1"/>
    <s v="Married"/>
    <s v="Kochi"/>
    <x v="3"/>
    <x v="2"/>
    <s v="Senior"/>
    <s v="Needs Improvement"/>
    <s v="Satisfied"/>
  </r>
  <r>
    <s v="EMP669"/>
    <s v="Arjun Kumar"/>
    <x v="1"/>
    <x v="8"/>
    <x v="4"/>
    <s v="Executive"/>
    <x v="0"/>
    <n v="57000"/>
    <n v="4"/>
    <x v="2"/>
    <n v="1"/>
    <x v="1"/>
    <x v="1"/>
    <s v="Married"/>
    <s v="Hyderabad"/>
    <x v="1"/>
    <x v="1"/>
    <s v="Mid-Level"/>
    <s v="High Performer"/>
    <s v="Dissatisfied"/>
  </r>
  <r>
    <s v="EMP670"/>
    <s v="Rohit Patel"/>
    <x v="1"/>
    <x v="32"/>
    <x v="0"/>
    <s v="Recruiter"/>
    <x v="0"/>
    <n v="60000"/>
    <n v="19"/>
    <x v="0"/>
    <n v="2"/>
    <x v="0"/>
    <x v="1"/>
    <s v="Married"/>
    <s v="Bangalore"/>
    <x v="1"/>
    <x v="1"/>
    <s v="Senior"/>
    <s v="Needs Improvement"/>
    <s v="Dissatisfied"/>
  </r>
  <r>
    <s v="EMP671"/>
    <s v="Nisha Menon"/>
    <x v="0"/>
    <x v="28"/>
    <x v="0"/>
    <s v="HR Executive"/>
    <x v="0"/>
    <n v="119000"/>
    <n v="3"/>
    <x v="2"/>
    <n v="2"/>
    <x v="0"/>
    <x v="0"/>
    <s v="Married"/>
    <s v="Pune"/>
    <x v="0"/>
    <x v="2"/>
    <s v="Mid-Level"/>
    <s v="High Performer"/>
    <s v="Dissatisfied"/>
  </r>
  <r>
    <s v="EMP672"/>
    <s v="Arjun Patel"/>
    <x v="1"/>
    <x v="25"/>
    <x v="4"/>
    <s v="Executive"/>
    <x v="1"/>
    <n v="91000"/>
    <n v="9"/>
    <x v="3"/>
    <n v="2"/>
    <x v="0"/>
    <x v="0"/>
    <s v="Married"/>
    <s v="Kochi"/>
    <x v="0"/>
    <x v="2"/>
    <s v="Senior"/>
    <s v="Needs Improvement"/>
    <s v="Dissatisfied"/>
  </r>
  <r>
    <s v="EMP673"/>
    <s v="Karthik Nair"/>
    <x v="1"/>
    <x v="20"/>
    <x v="4"/>
    <s v="Executive"/>
    <x v="2"/>
    <n v="59000"/>
    <n v="5"/>
    <x v="1"/>
    <n v="4"/>
    <x v="1"/>
    <x v="1"/>
    <s v="Single"/>
    <s v="Bangalore"/>
    <x v="0"/>
    <x v="1"/>
    <s v="Mid-Level"/>
    <s v="High Performer"/>
    <s v="Satisfied"/>
  </r>
  <r>
    <s v="EMP674"/>
    <s v="Rahul Nair"/>
    <x v="1"/>
    <x v="30"/>
    <x v="3"/>
    <s v="Executive"/>
    <x v="3"/>
    <n v="52000"/>
    <n v="8"/>
    <x v="3"/>
    <n v="4"/>
    <x v="1"/>
    <x v="1"/>
    <s v="Single"/>
    <s v="Hyderabad"/>
    <x v="3"/>
    <x v="1"/>
    <s v="Senior"/>
    <s v="Needs Improvement"/>
    <s v="Satisfied"/>
  </r>
  <r>
    <s v="EMP675"/>
    <s v="Anjali Iyer"/>
    <x v="0"/>
    <x v="17"/>
    <x v="5"/>
    <s v="Software Engineer"/>
    <x v="2"/>
    <n v="113000"/>
    <n v="1"/>
    <x v="3"/>
    <n v="1"/>
    <x v="1"/>
    <x v="1"/>
    <s v="Married"/>
    <s v="Kochi"/>
    <x v="3"/>
    <x v="2"/>
    <s v="Junior"/>
    <s v="Needs Improvement"/>
    <s v="Dissatisfied"/>
  </r>
  <r>
    <s v="EMP676"/>
    <s v="Priya Menon"/>
    <x v="0"/>
    <x v="30"/>
    <x v="1"/>
    <s v="Manager"/>
    <x v="1"/>
    <n v="31000"/>
    <n v="8"/>
    <x v="3"/>
    <n v="4"/>
    <x v="0"/>
    <x v="1"/>
    <s v="Married"/>
    <s v="Chennai"/>
    <x v="3"/>
    <x v="0"/>
    <s v="Senior"/>
    <s v="Needs Improvement"/>
    <s v="Satisfied"/>
  </r>
  <r>
    <s v="EMP677"/>
    <s v="Amit Kumar"/>
    <x v="0"/>
    <x v="4"/>
    <x v="2"/>
    <s v="Accountant"/>
    <x v="0"/>
    <n v="104000"/>
    <n v="10"/>
    <x v="3"/>
    <n v="4"/>
    <x v="1"/>
    <x v="1"/>
    <s v="Married"/>
    <s v="Bangalore"/>
    <x v="2"/>
    <x v="2"/>
    <s v="Senior"/>
    <s v="Needs Improvement"/>
    <s v="Satisfied"/>
  </r>
  <r>
    <s v="EMP678"/>
    <s v="Amit Raj"/>
    <x v="1"/>
    <x v="15"/>
    <x v="1"/>
    <s v="Executive"/>
    <x v="2"/>
    <n v="27000"/>
    <n v="3"/>
    <x v="3"/>
    <n v="1"/>
    <x v="0"/>
    <x v="1"/>
    <s v="Married"/>
    <s v="Kochi"/>
    <x v="1"/>
    <x v="0"/>
    <s v="Mid-Level"/>
    <s v="Needs Improvement"/>
    <s v="Dissatisfied"/>
  </r>
  <r>
    <s v="EMP679"/>
    <s v="Meera Raj"/>
    <x v="0"/>
    <x v="29"/>
    <x v="2"/>
    <s v="Analyst"/>
    <x v="2"/>
    <n v="40000"/>
    <n v="10"/>
    <x v="1"/>
    <n v="3"/>
    <x v="1"/>
    <x v="1"/>
    <s v="Single"/>
    <s v="Bangalore"/>
    <x v="2"/>
    <x v="1"/>
    <s v="Senior"/>
    <s v="High Performer"/>
    <s v="Neutral"/>
  </r>
  <r>
    <s v="EMP680"/>
    <s v="Arjun Nair"/>
    <x v="0"/>
    <x v="33"/>
    <x v="3"/>
    <s v="Manager"/>
    <x v="1"/>
    <n v="115000"/>
    <n v="16"/>
    <x v="2"/>
    <n v="1"/>
    <x v="0"/>
    <x v="1"/>
    <s v="Single"/>
    <s v="Pune"/>
    <x v="0"/>
    <x v="2"/>
    <s v="Senior"/>
    <s v="High Performer"/>
    <s v="Dissatisfied"/>
  </r>
  <r>
    <s v="EMP681"/>
    <s v="Sanjay Reddy"/>
    <x v="1"/>
    <x v="25"/>
    <x v="1"/>
    <s v="Executive"/>
    <x v="2"/>
    <n v="105000"/>
    <n v="6"/>
    <x v="0"/>
    <n v="4"/>
    <x v="0"/>
    <x v="0"/>
    <s v="Single"/>
    <s v="Hyderabad"/>
    <x v="0"/>
    <x v="2"/>
    <s v="Mid-Level"/>
    <s v="Needs Improvement"/>
    <s v="Satisfied"/>
  </r>
  <r>
    <s v="EMP682"/>
    <s v="Arjun Singh"/>
    <x v="0"/>
    <x v="25"/>
    <x v="1"/>
    <s v="Executive"/>
    <x v="0"/>
    <n v="26000"/>
    <n v="12"/>
    <x v="2"/>
    <n v="4"/>
    <x v="0"/>
    <x v="1"/>
    <s v="Married"/>
    <s v="Kochi"/>
    <x v="0"/>
    <x v="0"/>
    <s v="Senior"/>
    <s v="High Performer"/>
    <s v="Satisfied"/>
  </r>
  <r>
    <s v="EMP683"/>
    <s v="Nisha Verma"/>
    <x v="0"/>
    <x v="2"/>
    <x v="4"/>
    <s v="Manager"/>
    <x v="2"/>
    <n v="26000"/>
    <n v="12"/>
    <x v="3"/>
    <n v="2"/>
    <x v="1"/>
    <x v="1"/>
    <s v="Married"/>
    <s v="Delhi"/>
    <x v="2"/>
    <x v="0"/>
    <s v="Senior"/>
    <s v="Needs Improvement"/>
    <s v="Dissatisfied"/>
  </r>
  <r>
    <s v="EMP684"/>
    <s v="Rohit Patel"/>
    <x v="0"/>
    <x v="19"/>
    <x v="4"/>
    <s v="Manager"/>
    <x v="3"/>
    <n v="73000"/>
    <n v="5"/>
    <x v="1"/>
    <n v="1"/>
    <x v="0"/>
    <x v="0"/>
    <s v="Married"/>
    <s v="Pune"/>
    <x v="2"/>
    <x v="2"/>
    <s v="Mid-Level"/>
    <s v="High Performer"/>
    <s v="Dissatisfied"/>
  </r>
  <r>
    <s v="EMP685"/>
    <s v="Pooja Reddy"/>
    <x v="0"/>
    <x v="29"/>
    <x v="5"/>
    <s v="Data Analyst"/>
    <x v="1"/>
    <n v="30000"/>
    <n v="2"/>
    <x v="2"/>
    <n v="2"/>
    <x v="0"/>
    <x v="1"/>
    <s v="Single"/>
    <s v="Coimbatore"/>
    <x v="2"/>
    <x v="0"/>
    <s v="Junior"/>
    <s v="High Performer"/>
    <s v="Dissatisfied"/>
  </r>
  <r>
    <s v="EMP686"/>
    <s v="Amit Reddy"/>
    <x v="0"/>
    <x v="18"/>
    <x v="2"/>
    <s v="Accountant"/>
    <x v="1"/>
    <n v="53000"/>
    <n v="7"/>
    <x v="3"/>
    <n v="3"/>
    <x v="0"/>
    <x v="1"/>
    <s v="Married"/>
    <s v="Delhi"/>
    <x v="3"/>
    <x v="1"/>
    <s v="Senior"/>
    <s v="Needs Improvement"/>
    <s v="Neutral"/>
  </r>
  <r>
    <s v="EMP687"/>
    <s v="Anjali Nair"/>
    <x v="1"/>
    <x v="18"/>
    <x v="4"/>
    <s v="Executive"/>
    <x v="2"/>
    <n v="75000"/>
    <n v="7"/>
    <x v="2"/>
    <n v="3"/>
    <x v="1"/>
    <x v="1"/>
    <s v="Single"/>
    <s v="Kochi"/>
    <x v="3"/>
    <x v="2"/>
    <s v="Senior"/>
    <s v="High Performer"/>
    <s v="Neutral"/>
  </r>
  <r>
    <s v="EMP688"/>
    <s v="Divya Kumar"/>
    <x v="1"/>
    <x v="17"/>
    <x v="0"/>
    <s v="HR Executive"/>
    <x v="2"/>
    <n v="85000"/>
    <n v="1"/>
    <x v="3"/>
    <n v="4"/>
    <x v="1"/>
    <x v="1"/>
    <s v="Married"/>
    <s v="Delhi"/>
    <x v="3"/>
    <x v="2"/>
    <s v="Junior"/>
    <s v="Needs Improvement"/>
    <s v="Satisfied"/>
  </r>
  <r>
    <s v="EMP689"/>
    <s v="Meera Reddy"/>
    <x v="0"/>
    <x v="15"/>
    <x v="5"/>
    <s v="Software Engineer"/>
    <x v="0"/>
    <n v="108000"/>
    <n v="4"/>
    <x v="0"/>
    <n v="2"/>
    <x v="1"/>
    <x v="1"/>
    <s v="Married"/>
    <s v="Coimbatore"/>
    <x v="1"/>
    <x v="2"/>
    <s v="Mid-Level"/>
    <s v="Needs Improvement"/>
    <s v="Dissatisfied"/>
  </r>
  <r>
    <s v="EMP690"/>
    <s v="Nisha Kumar"/>
    <x v="1"/>
    <x v="5"/>
    <x v="2"/>
    <s v="Accountant"/>
    <x v="1"/>
    <n v="34000"/>
    <n v="3"/>
    <x v="2"/>
    <n v="3"/>
    <x v="0"/>
    <x v="1"/>
    <s v="Married"/>
    <s v="Chennai"/>
    <x v="0"/>
    <x v="0"/>
    <s v="Mid-Level"/>
    <s v="High Performer"/>
    <s v="Neutral"/>
  </r>
  <r>
    <s v="EMP691"/>
    <s v="Neha Iyer"/>
    <x v="0"/>
    <x v="0"/>
    <x v="4"/>
    <s v="Executive"/>
    <x v="2"/>
    <n v="85000"/>
    <n v="5"/>
    <x v="1"/>
    <n v="2"/>
    <x v="0"/>
    <x v="0"/>
    <s v="Single"/>
    <s v="Bangalore"/>
    <x v="0"/>
    <x v="2"/>
    <s v="Mid-Level"/>
    <s v="High Performer"/>
    <s v="Dissatisfied"/>
  </r>
  <r>
    <s v="EMP692"/>
    <s v="Neha Kumar"/>
    <x v="0"/>
    <x v="16"/>
    <x v="1"/>
    <s v="Manager"/>
    <x v="0"/>
    <n v="113000"/>
    <n v="5"/>
    <x v="3"/>
    <n v="3"/>
    <x v="0"/>
    <x v="1"/>
    <s v="Single"/>
    <s v="Hyderabad"/>
    <x v="2"/>
    <x v="2"/>
    <s v="Mid-Level"/>
    <s v="Needs Improvement"/>
    <s v="Neutral"/>
  </r>
  <r>
    <s v="EMP693"/>
    <s v="Rohit Singh"/>
    <x v="1"/>
    <x v="0"/>
    <x v="0"/>
    <s v="HR Executive"/>
    <x v="1"/>
    <n v="42000"/>
    <n v="10"/>
    <x v="3"/>
    <n v="1"/>
    <x v="1"/>
    <x v="1"/>
    <s v="Single"/>
    <s v="Pune"/>
    <x v="0"/>
    <x v="1"/>
    <s v="Senior"/>
    <s v="Needs Improvement"/>
    <s v="Dissatisfied"/>
  </r>
  <r>
    <s v="EMP694"/>
    <s v="Vivek Reddy"/>
    <x v="1"/>
    <x v="0"/>
    <x v="2"/>
    <s v="Accountant"/>
    <x v="2"/>
    <n v="35000"/>
    <n v="4"/>
    <x v="0"/>
    <n v="5"/>
    <x v="1"/>
    <x v="1"/>
    <s v="Single"/>
    <s v="Bangalore"/>
    <x v="0"/>
    <x v="0"/>
    <s v="Mid-Level"/>
    <s v="Needs Improvement"/>
    <s v="Satisfied"/>
  </r>
  <r>
    <s v="EMP695"/>
    <s v="Rohit Reddy"/>
    <x v="1"/>
    <x v="11"/>
    <x v="4"/>
    <s v="Manager"/>
    <x v="3"/>
    <n v="87000"/>
    <n v="20"/>
    <x v="0"/>
    <n v="3"/>
    <x v="0"/>
    <x v="1"/>
    <s v="Married"/>
    <s v="Pune"/>
    <x v="0"/>
    <x v="2"/>
    <s v="Senior"/>
    <s v="Needs Improvement"/>
    <s v="Neutral"/>
  </r>
  <r>
    <s v="EMP696"/>
    <s v="Sanjay Patel"/>
    <x v="0"/>
    <x v="4"/>
    <x v="3"/>
    <s v="Executive"/>
    <x v="0"/>
    <n v="109000"/>
    <n v="13"/>
    <x v="3"/>
    <n v="1"/>
    <x v="0"/>
    <x v="0"/>
    <s v="Single"/>
    <s v="Hyderabad"/>
    <x v="2"/>
    <x v="2"/>
    <s v="Senior"/>
    <s v="Needs Improvement"/>
    <s v="Dissatisfied"/>
  </r>
  <r>
    <s v="EMP697"/>
    <s v="Rahul Sharma"/>
    <x v="1"/>
    <x v="25"/>
    <x v="1"/>
    <s v="Manager"/>
    <x v="1"/>
    <n v="112000"/>
    <n v="9"/>
    <x v="0"/>
    <n v="2"/>
    <x v="0"/>
    <x v="0"/>
    <s v="Single"/>
    <s v="Kochi"/>
    <x v="0"/>
    <x v="2"/>
    <s v="Senior"/>
    <s v="Needs Improvement"/>
    <s v="Dissatisfied"/>
  </r>
  <r>
    <s v="EMP698"/>
    <s v="Amit Menon"/>
    <x v="1"/>
    <x v="32"/>
    <x v="5"/>
    <s v="Data Analyst"/>
    <x v="3"/>
    <n v="28000"/>
    <n v="2"/>
    <x v="1"/>
    <n v="1"/>
    <x v="1"/>
    <x v="1"/>
    <s v="Single"/>
    <s v="Bangalore"/>
    <x v="1"/>
    <x v="0"/>
    <s v="Junior"/>
    <s v="High Performer"/>
    <s v="Dissatisfied"/>
  </r>
  <r>
    <s v="EMP699"/>
    <s v="Pooja Reddy"/>
    <x v="0"/>
    <x v="10"/>
    <x v="1"/>
    <s v="Manager"/>
    <x v="1"/>
    <n v="60000"/>
    <n v="3"/>
    <x v="0"/>
    <n v="5"/>
    <x v="0"/>
    <x v="1"/>
    <s v="Married"/>
    <s v="Hyderabad"/>
    <x v="1"/>
    <x v="1"/>
    <s v="Mid-Level"/>
    <s v="Needs Improvement"/>
    <s v="Satisfied"/>
  </r>
  <r>
    <s v="EMP700"/>
    <s v="Karthik Reddy"/>
    <x v="1"/>
    <x v="4"/>
    <x v="1"/>
    <s v="Manager"/>
    <x v="3"/>
    <n v="95000"/>
    <n v="12"/>
    <x v="1"/>
    <n v="4"/>
    <x v="0"/>
    <x v="1"/>
    <s v="Single"/>
    <s v="Delhi"/>
    <x v="2"/>
    <x v="2"/>
    <s v="Senior"/>
    <s v="High Performer"/>
    <s v="Satisfied"/>
  </r>
  <r>
    <s v="EMP701"/>
    <s v="Anjali Verma"/>
    <x v="0"/>
    <x v="17"/>
    <x v="0"/>
    <s v="Recruiter"/>
    <x v="0"/>
    <n v="38000"/>
    <n v="1"/>
    <x v="3"/>
    <n v="4"/>
    <x v="1"/>
    <x v="1"/>
    <s v="Married"/>
    <s v="Hyderabad"/>
    <x v="3"/>
    <x v="0"/>
    <s v="Junior"/>
    <s v="Needs Improvement"/>
    <s v="Satisfied"/>
  </r>
  <r>
    <s v="EMP702"/>
    <s v="Sanjay Menon"/>
    <x v="0"/>
    <x v="14"/>
    <x v="2"/>
    <s v="Analyst"/>
    <x v="3"/>
    <n v="86000"/>
    <n v="3"/>
    <x v="3"/>
    <n v="2"/>
    <x v="0"/>
    <x v="1"/>
    <s v="Married"/>
    <s v="Chennai"/>
    <x v="3"/>
    <x v="2"/>
    <s v="Mid-Level"/>
    <s v="Needs Improvement"/>
    <s v="Dissatisfied"/>
  </r>
  <r>
    <s v="EMP703"/>
    <s v="Divya Menon"/>
    <x v="1"/>
    <x v="18"/>
    <x v="4"/>
    <s v="Manager"/>
    <x v="2"/>
    <n v="111000"/>
    <n v="7"/>
    <x v="2"/>
    <n v="4"/>
    <x v="1"/>
    <x v="1"/>
    <s v="Single"/>
    <s v="Hyderabad"/>
    <x v="3"/>
    <x v="2"/>
    <s v="Senior"/>
    <s v="High Performer"/>
    <s v="Satisfied"/>
  </r>
  <r>
    <s v="EMP704"/>
    <s v="Anjali Verma"/>
    <x v="0"/>
    <x v="4"/>
    <x v="3"/>
    <s v="Executive"/>
    <x v="2"/>
    <n v="42000"/>
    <n v="13"/>
    <x v="3"/>
    <n v="5"/>
    <x v="1"/>
    <x v="1"/>
    <s v="Married"/>
    <s v="Coimbatore"/>
    <x v="2"/>
    <x v="1"/>
    <s v="Senior"/>
    <s v="Needs Improvement"/>
    <s v="Satisfied"/>
  </r>
  <r>
    <s v="EMP705"/>
    <s v="Vivek Menon"/>
    <x v="1"/>
    <x v="32"/>
    <x v="3"/>
    <s v="Executive"/>
    <x v="0"/>
    <n v="103000"/>
    <n v="4"/>
    <x v="3"/>
    <n v="3"/>
    <x v="0"/>
    <x v="1"/>
    <s v="Single"/>
    <s v="Pune"/>
    <x v="1"/>
    <x v="2"/>
    <s v="Mid-Level"/>
    <s v="Needs Improvement"/>
    <s v="Neutral"/>
  </r>
  <r>
    <s v="EMP706"/>
    <s v="Nisha Raj"/>
    <x v="0"/>
    <x v="4"/>
    <x v="2"/>
    <s v="Accountant"/>
    <x v="1"/>
    <n v="49000"/>
    <n v="12"/>
    <x v="3"/>
    <n v="4"/>
    <x v="0"/>
    <x v="1"/>
    <s v="Married"/>
    <s v="Kochi"/>
    <x v="2"/>
    <x v="1"/>
    <s v="Senior"/>
    <s v="Needs Improvement"/>
    <s v="Satisfied"/>
  </r>
  <r>
    <s v="EMP707"/>
    <s v="Nisha Patel"/>
    <x v="0"/>
    <x v="21"/>
    <x v="5"/>
    <s v="Software Engineer"/>
    <x v="2"/>
    <n v="92000"/>
    <n v="2"/>
    <x v="2"/>
    <n v="5"/>
    <x v="1"/>
    <x v="1"/>
    <s v="Married"/>
    <s v="Hyderabad"/>
    <x v="3"/>
    <x v="2"/>
    <s v="Junior"/>
    <s v="High Performer"/>
    <s v="Satisfied"/>
  </r>
  <r>
    <s v="EMP708"/>
    <s v="Vivek Raj"/>
    <x v="0"/>
    <x v="17"/>
    <x v="1"/>
    <s v="Executive"/>
    <x v="2"/>
    <n v="112000"/>
    <n v="1"/>
    <x v="3"/>
    <n v="3"/>
    <x v="1"/>
    <x v="1"/>
    <s v="Single"/>
    <s v="Bangalore"/>
    <x v="3"/>
    <x v="2"/>
    <s v="Junior"/>
    <s v="Needs Improvement"/>
    <s v="Neutral"/>
  </r>
  <r>
    <s v="EMP709"/>
    <s v="Anjali Reddy"/>
    <x v="0"/>
    <x v="25"/>
    <x v="5"/>
    <s v="Data Analyst"/>
    <x v="1"/>
    <n v="68000"/>
    <n v="10"/>
    <x v="1"/>
    <n v="5"/>
    <x v="0"/>
    <x v="1"/>
    <s v="Single"/>
    <s v="Pune"/>
    <x v="0"/>
    <x v="1"/>
    <s v="Senior"/>
    <s v="High Performer"/>
    <s v="Satisfied"/>
  </r>
  <r>
    <s v="EMP710"/>
    <s v="Nisha Menon"/>
    <x v="0"/>
    <x v="6"/>
    <x v="1"/>
    <s v="Manager"/>
    <x v="2"/>
    <n v="90000"/>
    <n v="9"/>
    <x v="3"/>
    <n v="2"/>
    <x v="1"/>
    <x v="1"/>
    <s v="Married"/>
    <s v="Delhi"/>
    <x v="2"/>
    <x v="2"/>
    <s v="Senior"/>
    <s v="Needs Improvement"/>
    <s v="Dissatisfied"/>
  </r>
  <r>
    <s v="EMP711"/>
    <s v="Meera Reddy"/>
    <x v="0"/>
    <x v="3"/>
    <x v="0"/>
    <s v="Recruiter"/>
    <x v="3"/>
    <n v="64000"/>
    <n v="17"/>
    <x v="0"/>
    <n v="4"/>
    <x v="0"/>
    <x v="1"/>
    <s v="Single"/>
    <s v="Delhi"/>
    <x v="2"/>
    <x v="1"/>
    <s v="Senior"/>
    <s v="Needs Improvement"/>
    <s v="Satisfied"/>
  </r>
  <r>
    <s v="EMP712"/>
    <s v="Karthik Nair"/>
    <x v="1"/>
    <x v="20"/>
    <x v="0"/>
    <s v="Recruiter"/>
    <x v="1"/>
    <n v="66000"/>
    <n v="20"/>
    <x v="3"/>
    <n v="5"/>
    <x v="0"/>
    <x v="0"/>
    <s v="Single"/>
    <s v="Pune"/>
    <x v="0"/>
    <x v="1"/>
    <s v="Senior"/>
    <s v="Needs Improvement"/>
    <s v="Satisfied"/>
  </r>
  <r>
    <s v="EMP713"/>
    <s v="Amit Verma"/>
    <x v="0"/>
    <x v="1"/>
    <x v="2"/>
    <s v="Accountant"/>
    <x v="2"/>
    <n v="36000"/>
    <n v="11"/>
    <x v="3"/>
    <n v="3"/>
    <x v="1"/>
    <x v="1"/>
    <s v="Married"/>
    <s v="Coimbatore"/>
    <x v="1"/>
    <x v="0"/>
    <s v="Senior"/>
    <s v="Needs Improvement"/>
    <s v="Neutral"/>
  </r>
  <r>
    <s v="EMP714"/>
    <s v="Arjun Nair"/>
    <x v="1"/>
    <x v="3"/>
    <x v="2"/>
    <s v="Analyst"/>
    <x v="0"/>
    <n v="51000"/>
    <n v="7"/>
    <x v="1"/>
    <n v="4"/>
    <x v="0"/>
    <x v="1"/>
    <s v="Single"/>
    <s v="Delhi"/>
    <x v="2"/>
    <x v="1"/>
    <s v="Senior"/>
    <s v="High Performer"/>
    <s v="Satisfied"/>
  </r>
  <r>
    <s v="EMP715"/>
    <s v="Anjali Verma"/>
    <x v="0"/>
    <x v="29"/>
    <x v="1"/>
    <s v="Manager"/>
    <x v="3"/>
    <n v="36000"/>
    <n v="14"/>
    <x v="3"/>
    <n v="4"/>
    <x v="1"/>
    <x v="1"/>
    <s v="Married"/>
    <s v="Delhi"/>
    <x v="2"/>
    <x v="0"/>
    <s v="Senior"/>
    <s v="Needs Improvement"/>
    <s v="Satisfied"/>
  </r>
  <r>
    <s v="EMP716"/>
    <s v="Vivek Nair"/>
    <x v="1"/>
    <x v="2"/>
    <x v="3"/>
    <s v="Executive"/>
    <x v="0"/>
    <n v="95000"/>
    <n v="1"/>
    <x v="2"/>
    <n v="2"/>
    <x v="1"/>
    <x v="1"/>
    <s v="Married"/>
    <s v="Pune"/>
    <x v="2"/>
    <x v="2"/>
    <s v="Junior"/>
    <s v="High Performer"/>
    <s v="Dissatisfied"/>
  </r>
  <r>
    <s v="EMP717"/>
    <s v="Ajay Singh"/>
    <x v="1"/>
    <x v="15"/>
    <x v="0"/>
    <s v="HR Executive"/>
    <x v="3"/>
    <n v="26000"/>
    <n v="9"/>
    <x v="2"/>
    <n v="5"/>
    <x v="0"/>
    <x v="1"/>
    <s v="Married"/>
    <s v="Coimbatore"/>
    <x v="1"/>
    <x v="0"/>
    <s v="Senior"/>
    <s v="High Performer"/>
    <s v="Satisfied"/>
  </r>
  <r>
    <s v="EMP718"/>
    <s v="Nisha Sharma"/>
    <x v="0"/>
    <x v="15"/>
    <x v="3"/>
    <s v="Executive"/>
    <x v="3"/>
    <n v="97000"/>
    <n v="17"/>
    <x v="3"/>
    <n v="2"/>
    <x v="1"/>
    <x v="1"/>
    <s v="Married"/>
    <s v="Bangalore"/>
    <x v="1"/>
    <x v="2"/>
    <s v="Senior"/>
    <s v="Needs Improvement"/>
    <s v="Dissatisfied"/>
  </r>
  <r>
    <s v="EMP719"/>
    <s v="Vivek Reddy"/>
    <x v="0"/>
    <x v="11"/>
    <x v="3"/>
    <s v="Executive"/>
    <x v="3"/>
    <n v="98000"/>
    <n v="14"/>
    <x v="1"/>
    <n v="5"/>
    <x v="0"/>
    <x v="1"/>
    <s v="Single"/>
    <s v="Bangalore"/>
    <x v="0"/>
    <x v="2"/>
    <s v="Senior"/>
    <s v="High Performer"/>
    <s v="Satisfied"/>
  </r>
  <r>
    <s v="EMP720"/>
    <s v="Nisha Patel"/>
    <x v="1"/>
    <x v="2"/>
    <x v="0"/>
    <s v="Recruiter"/>
    <x v="3"/>
    <n v="65000"/>
    <n v="5"/>
    <x v="0"/>
    <n v="4"/>
    <x v="1"/>
    <x v="0"/>
    <s v="Single"/>
    <s v="Bangalore"/>
    <x v="2"/>
    <x v="1"/>
    <s v="Mid-Level"/>
    <s v="Needs Improvement"/>
    <s v="Satisfied"/>
  </r>
  <r>
    <s v="EMP721"/>
    <s v="Neha Iyer"/>
    <x v="1"/>
    <x v="4"/>
    <x v="0"/>
    <s v="HR Executive"/>
    <x v="3"/>
    <n v="112000"/>
    <n v="6"/>
    <x v="2"/>
    <n v="3"/>
    <x v="1"/>
    <x v="1"/>
    <s v="Single"/>
    <s v="Mumbai"/>
    <x v="2"/>
    <x v="2"/>
    <s v="Mid-Level"/>
    <s v="High Performer"/>
    <s v="Neutral"/>
  </r>
  <r>
    <s v="EMP722"/>
    <s v="Nisha Sharma"/>
    <x v="0"/>
    <x v="26"/>
    <x v="4"/>
    <s v="Manager"/>
    <x v="3"/>
    <n v="57000"/>
    <n v="11"/>
    <x v="1"/>
    <n v="4"/>
    <x v="0"/>
    <x v="1"/>
    <s v="Single"/>
    <s v="Kochi"/>
    <x v="2"/>
    <x v="1"/>
    <s v="Senior"/>
    <s v="High Performer"/>
    <s v="Satisfied"/>
  </r>
  <r>
    <s v="EMP723"/>
    <s v="Neha Verma"/>
    <x v="1"/>
    <x v="9"/>
    <x v="0"/>
    <s v="HR Executive"/>
    <x v="3"/>
    <n v="108000"/>
    <n v="14"/>
    <x v="1"/>
    <n v="2"/>
    <x v="0"/>
    <x v="1"/>
    <s v="Single"/>
    <s v="Bangalore"/>
    <x v="0"/>
    <x v="2"/>
    <s v="Senior"/>
    <s v="High Performer"/>
    <s v="Dissatisfied"/>
  </r>
  <r>
    <s v="EMP724"/>
    <s v="Sneha Iyer"/>
    <x v="0"/>
    <x v="24"/>
    <x v="2"/>
    <s v="Analyst"/>
    <x v="1"/>
    <n v="73000"/>
    <n v="9"/>
    <x v="0"/>
    <n v="4"/>
    <x v="0"/>
    <x v="1"/>
    <s v="Single"/>
    <s v="Delhi"/>
    <x v="2"/>
    <x v="2"/>
    <s v="Senior"/>
    <s v="Needs Improvement"/>
    <s v="Satisfied"/>
  </r>
  <r>
    <s v="EMP725"/>
    <s v="Vivek Verma"/>
    <x v="1"/>
    <x v="12"/>
    <x v="4"/>
    <s v="Executive"/>
    <x v="1"/>
    <n v="115000"/>
    <n v="6"/>
    <x v="1"/>
    <n v="5"/>
    <x v="0"/>
    <x v="1"/>
    <s v="Married"/>
    <s v="Chennai"/>
    <x v="3"/>
    <x v="2"/>
    <s v="Mid-Level"/>
    <s v="High Performer"/>
    <s v="Satisfied"/>
  </r>
  <r>
    <s v="EMP726"/>
    <s v="Nisha Singh"/>
    <x v="0"/>
    <x v="5"/>
    <x v="3"/>
    <s v="Executive"/>
    <x v="1"/>
    <n v="62000"/>
    <n v="3"/>
    <x v="1"/>
    <n v="5"/>
    <x v="0"/>
    <x v="1"/>
    <s v="Single"/>
    <s v="Chennai"/>
    <x v="0"/>
    <x v="1"/>
    <s v="Mid-Level"/>
    <s v="High Performer"/>
    <s v="Satisfied"/>
  </r>
  <r>
    <s v="EMP727"/>
    <s v="Karthik Nair"/>
    <x v="1"/>
    <x v="3"/>
    <x v="3"/>
    <s v="Manager"/>
    <x v="1"/>
    <n v="92000"/>
    <n v="8"/>
    <x v="2"/>
    <n v="4"/>
    <x v="1"/>
    <x v="1"/>
    <s v="Married"/>
    <s v="Coimbatore"/>
    <x v="2"/>
    <x v="2"/>
    <s v="Senior"/>
    <s v="High Performer"/>
    <s v="Satisfied"/>
  </r>
  <r>
    <s v="EMP728"/>
    <s v="Karthik Raj"/>
    <x v="1"/>
    <x v="29"/>
    <x v="3"/>
    <s v="Manager"/>
    <x v="0"/>
    <n v="61000"/>
    <n v="1"/>
    <x v="0"/>
    <n v="2"/>
    <x v="0"/>
    <x v="0"/>
    <s v="Single"/>
    <s v="Chennai"/>
    <x v="2"/>
    <x v="1"/>
    <s v="Junior"/>
    <s v="Needs Improvement"/>
    <s v="Dissatisfied"/>
  </r>
  <r>
    <s v="EMP729"/>
    <s v="Ajay Kumar"/>
    <x v="1"/>
    <x v="8"/>
    <x v="5"/>
    <s v="Data Analyst"/>
    <x v="0"/>
    <n v="91000"/>
    <n v="12"/>
    <x v="3"/>
    <n v="2"/>
    <x v="1"/>
    <x v="1"/>
    <s v="Single"/>
    <s v="Coimbatore"/>
    <x v="1"/>
    <x v="2"/>
    <s v="Senior"/>
    <s v="Needs Improvement"/>
    <s v="Dissatisfied"/>
  </r>
  <r>
    <s v="EMP730"/>
    <s v="Ajay Nair"/>
    <x v="0"/>
    <x v="18"/>
    <x v="2"/>
    <s v="Accountant"/>
    <x v="1"/>
    <n v="30000"/>
    <n v="7"/>
    <x v="1"/>
    <n v="5"/>
    <x v="0"/>
    <x v="1"/>
    <s v="Married"/>
    <s v="Mumbai"/>
    <x v="3"/>
    <x v="0"/>
    <s v="Senior"/>
    <s v="High Performer"/>
    <s v="Satisfied"/>
  </r>
  <r>
    <s v="EMP731"/>
    <s v="Arjun Iyer"/>
    <x v="0"/>
    <x v="32"/>
    <x v="5"/>
    <s v="Data Analyst"/>
    <x v="0"/>
    <n v="39000"/>
    <n v="19"/>
    <x v="0"/>
    <n v="3"/>
    <x v="1"/>
    <x v="1"/>
    <s v="Single"/>
    <s v="Bangalore"/>
    <x v="1"/>
    <x v="0"/>
    <s v="Senior"/>
    <s v="Needs Improvement"/>
    <s v="Neutral"/>
  </r>
  <r>
    <s v="EMP732"/>
    <s v="Sneha Verma"/>
    <x v="0"/>
    <x v="33"/>
    <x v="1"/>
    <s v="Manager"/>
    <x v="2"/>
    <n v="117000"/>
    <n v="14"/>
    <x v="0"/>
    <n v="4"/>
    <x v="1"/>
    <x v="1"/>
    <s v="Married"/>
    <s v="Mumbai"/>
    <x v="0"/>
    <x v="2"/>
    <s v="Senior"/>
    <s v="Needs Improvement"/>
    <s v="Satisfied"/>
  </r>
  <r>
    <s v="EMP733"/>
    <s v="Sanjay Nair"/>
    <x v="0"/>
    <x v="22"/>
    <x v="3"/>
    <s v="Executive"/>
    <x v="1"/>
    <n v="33000"/>
    <n v="5"/>
    <x v="1"/>
    <n v="4"/>
    <x v="1"/>
    <x v="1"/>
    <s v="Married"/>
    <s v="Kochi"/>
    <x v="2"/>
    <x v="0"/>
    <s v="Mid-Level"/>
    <s v="High Performer"/>
    <s v="Satisfied"/>
  </r>
  <r>
    <s v="EMP734"/>
    <s v="Amit Iyer"/>
    <x v="1"/>
    <x v="30"/>
    <x v="1"/>
    <s v="Executive"/>
    <x v="1"/>
    <n v="106000"/>
    <n v="4"/>
    <x v="0"/>
    <n v="2"/>
    <x v="0"/>
    <x v="1"/>
    <s v="Married"/>
    <s v="Mumbai"/>
    <x v="3"/>
    <x v="2"/>
    <s v="Mid-Level"/>
    <s v="Needs Improvement"/>
    <s v="Dissatisfied"/>
  </r>
  <r>
    <s v="EMP735"/>
    <s v="Ajay Iyer"/>
    <x v="0"/>
    <x v="19"/>
    <x v="0"/>
    <s v="HR Executive"/>
    <x v="0"/>
    <n v="98000"/>
    <n v="3"/>
    <x v="3"/>
    <n v="2"/>
    <x v="0"/>
    <x v="0"/>
    <s v="Married"/>
    <s v="Mumbai"/>
    <x v="2"/>
    <x v="2"/>
    <s v="Mid-Level"/>
    <s v="Needs Improvement"/>
    <s v="Dissatisfied"/>
  </r>
  <r>
    <s v="EMP736"/>
    <s v="Meera Sharma"/>
    <x v="1"/>
    <x v="1"/>
    <x v="1"/>
    <s v="Manager"/>
    <x v="0"/>
    <n v="67000"/>
    <n v="1"/>
    <x v="1"/>
    <n v="2"/>
    <x v="1"/>
    <x v="1"/>
    <s v="Single"/>
    <s v="Hyderabad"/>
    <x v="1"/>
    <x v="1"/>
    <s v="Junior"/>
    <s v="High Performer"/>
    <s v="Dissatisfied"/>
  </r>
  <r>
    <s v="EMP737"/>
    <s v="Rahul Verma"/>
    <x v="0"/>
    <x v="3"/>
    <x v="1"/>
    <s v="Executive"/>
    <x v="1"/>
    <n v="88000"/>
    <n v="14"/>
    <x v="3"/>
    <n v="4"/>
    <x v="1"/>
    <x v="1"/>
    <s v="Married"/>
    <s v="Hyderabad"/>
    <x v="2"/>
    <x v="2"/>
    <s v="Senior"/>
    <s v="Needs Improvement"/>
    <s v="Satisfied"/>
  </r>
  <r>
    <s v="EMP738"/>
    <s v="Pooja Sharma"/>
    <x v="1"/>
    <x v="32"/>
    <x v="1"/>
    <s v="Executive"/>
    <x v="1"/>
    <n v="28000"/>
    <n v="2"/>
    <x v="2"/>
    <n v="3"/>
    <x v="0"/>
    <x v="1"/>
    <s v="Married"/>
    <s v="Bangalore"/>
    <x v="1"/>
    <x v="0"/>
    <s v="Junior"/>
    <s v="High Performer"/>
    <s v="Neutral"/>
  </r>
  <r>
    <s v="EMP739"/>
    <s v="Priya Raj"/>
    <x v="0"/>
    <x v="20"/>
    <x v="1"/>
    <s v="Manager"/>
    <x v="2"/>
    <n v="73000"/>
    <n v="6"/>
    <x v="2"/>
    <n v="3"/>
    <x v="0"/>
    <x v="1"/>
    <s v="Married"/>
    <s v="Delhi"/>
    <x v="0"/>
    <x v="2"/>
    <s v="Mid-Level"/>
    <s v="High Performer"/>
    <s v="Neutral"/>
  </r>
  <r>
    <s v="EMP740"/>
    <s v="Sneha Nair"/>
    <x v="0"/>
    <x v="9"/>
    <x v="3"/>
    <s v="Executive"/>
    <x v="2"/>
    <n v="83000"/>
    <n v="4"/>
    <x v="0"/>
    <n v="2"/>
    <x v="1"/>
    <x v="1"/>
    <s v="Married"/>
    <s v="Bangalore"/>
    <x v="0"/>
    <x v="2"/>
    <s v="Mid-Level"/>
    <s v="Needs Improvement"/>
    <s v="Dissatisfied"/>
  </r>
  <r>
    <s v="EMP741"/>
    <s v="Pooja Verma"/>
    <x v="1"/>
    <x v="22"/>
    <x v="3"/>
    <s v="Manager"/>
    <x v="2"/>
    <n v="43000"/>
    <n v="10"/>
    <x v="1"/>
    <n v="3"/>
    <x v="1"/>
    <x v="1"/>
    <s v="Married"/>
    <s v="Bangalore"/>
    <x v="2"/>
    <x v="1"/>
    <s v="Senior"/>
    <s v="High Performer"/>
    <s v="Neutral"/>
  </r>
  <r>
    <s v="EMP742"/>
    <s v="Anjali Iyer"/>
    <x v="1"/>
    <x v="29"/>
    <x v="5"/>
    <s v="Software Engineer"/>
    <x v="1"/>
    <n v="73000"/>
    <n v="11"/>
    <x v="2"/>
    <n v="3"/>
    <x v="0"/>
    <x v="1"/>
    <s v="Married"/>
    <s v="Hyderabad"/>
    <x v="2"/>
    <x v="2"/>
    <s v="Senior"/>
    <s v="High Performer"/>
    <s v="Neutral"/>
  </r>
  <r>
    <s v="EMP743"/>
    <s v="Neha Raj"/>
    <x v="0"/>
    <x v="22"/>
    <x v="3"/>
    <s v="Executive"/>
    <x v="2"/>
    <n v="105000"/>
    <n v="6"/>
    <x v="3"/>
    <n v="2"/>
    <x v="0"/>
    <x v="1"/>
    <s v="Single"/>
    <s v="Coimbatore"/>
    <x v="2"/>
    <x v="2"/>
    <s v="Mid-Level"/>
    <s v="Needs Improvement"/>
    <s v="Dissatisfied"/>
  </r>
  <r>
    <s v="EMP744"/>
    <s v="Meera Verma"/>
    <x v="0"/>
    <x v="2"/>
    <x v="5"/>
    <s v="Software Engineer"/>
    <x v="2"/>
    <n v="79000"/>
    <n v="0"/>
    <x v="2"/>
    <n v="3"/>
    <x v="1"/>
    <x v="1"/>
    <s v="Married"/>
    <s v="Delhi"/>
    <x v="2"/>
    <x v="2"/>
    <s v="Junior"/>
    <s v="High Performer"/>
    <s v="Neutral"/>
  </r>
  <r>
    <s v="EMP745"/>
    <s v="Neha Iyer"/>
    <x v="0"/>
    <x v="23"/>
    <x v="0"/>
    <s v="HR Executive"/>
    <x v="3"/>
    <n v="100000"/>
    <n v="4"/>
    <x v="1"/>
    <n v="2"/>
    <x v="1"/>
    <x v="1"/>
    <s v="Single"/>
    <s v="Delhi"/>
    <x v="3"/>
    <x v="2"/>
    <s v="Mid-Level"/>
    <s v="High Performer"/>
    <s v="Dissatisfied"/>
  </r>
  <r>
    <s v="EMP746"/>
    <s v="Pooja Iyer"/>
    <x v="1"/>
    <x v="11"/>
    <x v="2"/>
    <s v="Analyst"/>
    <x v="2"/>
    <n v="78000"/>
    <n v="13"/>
    <x v="0"/>
    <n v="2"/>
    <x v="0"/>
    <x v="0"/>
    <s v="Married"/>
    <s v="Kochi"/>
    <x v="0"/>
    <x v="2"/>
    <s v="Senior"/>
    <s v="Needs Improvement"/>
    <s v="Dissatisfied"/>
  </r>
  <r>
    <s v="EMP747"/>
    <s v="Amit Kumar"/>
    <x v="1"/>
    <x v="3"/>
    <x v="0"/>
    <s v="Recruiter"/>
    <x v="3"/>
    <n v="90000"/>
    <n v="16"/>
    <x v="0"/>
    <n v="2"/>
    <x v="1"/>
    <x v="1"/>
    <s v="Married"/>
    <s v="Kochi"/>
    <x v="2"/>
    <x v="2"/>
    <s v="Senior"/>
    <s v="Needs Improvement"/>
    <s v="Dissatisfied"/>
  </r>
  <r>
    <s v="EMP748"/>
    <s v="Pooja Reddy"/>
    <x v="1"/>
    <x v="6"/>
    <x v="3"/>
    <s v="Manager"/>
    <x v="1"/>
    <n v="78000"/>
    <n v="5"/>
    <x v="3"/>
    <n v="3"/>
    <x v="1"/>
    <x v="1"/>
    <s v="Single"/>
    <s v="Hyderabad"/>
    <x v="2"/>
    <x v="2"/>
    <s v="Mid-Level"/>
    <s v="Needs Improvement"/>
    <s v="Neutral"/>
  </r>
  <r>
    <s v="EMP749"/>
    <s v="Divya Raj"/>
    <x v="0"/>
    <x v="26"/>
    <x v="1"/>
    <s v="Manager"/>
    <x v="1"/>
    <n v="71000"/>
    <n v="7"/>
    <x v="2"/>
    <n v="3"/>
    <x v="0"/>
    <x v="1"/>
    <s v="Married"/>
    <s v="Hyderabad"/>
    <x v="2"/>
    <x v="2"/>
    <s v="Senior"/>
    <s v="High Performer"/>
    <s v="Neutral"/>
  </r>
  <r>
    <s v="EMP750"/>
    <s v="Vivek Singh"/>
    <x v="1"/>
    <x v="6"/>
    <x v="5"/>
    <s v="Data Analyst"/>
    <x v="2"/>
    <n v="34000"/>
    <n v="9"/>
    <x v="3"/>
    <n v="3"/>
    <x v="0"/>
    <x v="1"/>
    <s v="Married"/>
    <s v="Bangalore"/>
    <x v="2"/>
    <x v="0"/>
    <s v="Senior"/>
    <s v="Needs Improvement"/>
    <s v="Neutral"/>
  </r>
  <r>
    <s v="EMP751"/>
    <s v="Sneha Raj"/>
    <x v="0"/>
    <x v="17"/>
    <x v="3"/>
    <s v="Executive"/>
    <x v="1"/>
    <n v="31000"/>
    <n v="1"/>
    <x v="2"/>
    <n v="4"/>
    <x v="1"/>
    <x v="1"/>
    <s v="Married"/>
    <s v="Delhi"/>
    <x v="3"/>
    <x v="0"/>
    <s v="Junior"/>
    <s v="High Performer"/>
    <s v="Satisfied"/>
  </r>
  <r>
    <s v="EMP752"/>
    <s v="Nisha Kumar"/>
    <x v="1"/>
    <x v="10"/>
    <x v="1"/>
    <s v="Manager"/>
    <x v="3"/>
    <n v="81000"/>
    <n v="6"/>
    <x v="3"/>
    <n v="5"/>
    <x v="1"/>
    <x v="1"/>
    <s v="Married"/>
    <s v="Coimbatore"/>
    <x v="1"/>
    <x v="2"/>
    <s v="Mid-Level"/>
    <s v="Needs Improvement"/>
    <s v="Satisfied"/>
  </r>
  <r>
    <s v="EMP753"/>
    <s v="Karthik Sharma"/>
    <x v="0"/>
    <x v="14"/>
    <x v="5"/>
    <s v="Software Engineer"/>
    <x v="0"/>
    <n v="80000"/>
    <n v="3"/>
    <x v="1"/>
    <n v="4"/>
    <x v="0"/>
    <x v="1"/>
    <s v="Single"/>
    <s v="Delhi"/>
    <x v="3"/>
    <x v="2"/>
    <s v="Mid-Level"/>
    <s v="High Performer"/>
    <s v="Satisfied"/>
  </r>
  <r>
    <s v="EMP754"/>
    <s v="Rahul Raj"/>
    <x v="1"/>
    <x v="33"/>
    <x v="3"/>
    <s v="Manager"/>
    <x v="1"/>
    <n v="73000"/>
    <n v="10"/>
    <x v="1"/>
    <n v="3"/>
    <x v="0"/>
    <x v="1"/>
    <s v="Single"/>
    <s v="Hyderabad"/>
    <x v="0"/>
    <x v="2"/>
    <s v="Senior"/>
    <s v="High Performer"/>
    <s v="Neutral"/>
  </r>
  <r>
    <s v="EMP755"/>
    <s v="Meera Iyer"/>
    <x v="1"/>
    <x v="21"/>
    <x v="0"/>
    <s v="Recruiter"/>
    <x v="1"/>
    <n v="40000"/>
    <n v="5"/>
    <x v="2"/>
    <n v="3"/>
    <x v="1"/>
    <x v="1"/>
    <s v="Married"/>
    <s v="Kochi"/>
    <x v="3"/>
    <x v="1"/>
    <s v="Mid-Level"/>
    <s v="High Performer"/>
    <s v="Neutral"/>
  </r>
  <r>
    <s v="EMP756"/>
    <s v="Rahul Patel"/>
    <x v="1"/>
    <x v="7"/>
    <x v="2"/>
    <s v="Accountant"/>
    <x v="1"/>
    <n v="108000"/>
    <n v="3"/>
    <x v="3"/>
    <n v="5"/>
    <x v="1"/>
    <x v="1"/>
    <s v="Married"/>
    <s v="Coimbatore"/>
    <x v="0"/>
    <x v="2"/>
    <s v="Mid-Level"/>
    <s v="Needs Improvement"/>
    <s v="Satisfied"/>
  </r>
  <r>
    <s v="EMP757"/>
    <s v="Pooja Verma"/>
    <x v="0"/>
    <x v="17"/>
    <x v="1"/>
    <s v="Manager"/>
    <x v="2"/>
    <n v="89000"/>
    <n v="1"/>
    <x v="3"/>
    <n v="2"/>
    <x v="0"/>
    <x v="0"/>
    <s v="Single"/>
    <s v="Kochi"/>
    <x v="3"/>
    <x v="2"/>
    <s v="Junior"/>
    <s v="Needs Improvement"/>
    <s v="Dissatisfied"/>
  </r>
  <r>
    <s v="EMP758"/>
    <s v="Rahul Raj"/>
    <x v="0"/>
    <x v="23"/>
    <x v="0"/>
    <s v="HR Executive"/>
    <x v="1"/>
    <n v="43000"/>
    <n v="4"/>
    <x v="2"/>
    <n v="1"/>
    <x v="0"/>
    <x v="0"/>
    <s v="Single"/>
    <s v="Hyderabad"/>
    <x v="3"/>
    <x v="1"/>
    <s v="Mid-Level"/>
    <s v="High Performer"/>
    <s v="Dissatisfied"/>
  </r>
  <r>
    <s v="EMP759"/>
    <s v="Priya Singh"/>
    <x v="1"/>
    <x v="3"/>
    <x v="0"/>
    <s v="Recruiter"/>
    <x v="1"/>
    <n v="48000"/>
    <n v="12"/>
    <x v="0"/>
    <n v="5"/>
    <x v="0"/>
    <x v="1"/>
    <s v="Single"/>
    <s v="Coimbatore"/>
    <x v="2"/>
    <x v="1"/>
    <s v="Senior"/>
    <s v="Needs Improvement"/>
    <s v="Satisfied"/>
  </r>
  <r>
    <s v="EMP760"/>
    <s v="Meera Patel"/>
    <x v="1"/>
    <x v="3"/>
    <x v="5"/>
    <s v="Data Analyst"/>
    <x v="1"/>
    <n v="61000"/>
    <n v="11"/>
    <x v="0"/>
    <n v="3"/>
    <x v="0"/>
    <x v="1"/>
    <s v="Married"/>
    <s v="Bangalore"/>
    <x v="2"/>
    <x v="1"/>
    <s v="Senior"/>
    <s v="Needs Improvement"/>
    <s v="Neutral"/>
  </r>
  <r>
    <s v="EMP761"/>
    <s v="Pooja Raj"/>
    <x v="1"/>
    <x v="32"/>
    <x v="4"/>
    <s v="Executive"/>
    <x v="2"/>
    <n v="103000"/>
    <n v="13"/>
    <x v="0"/>
    <n v="2"/>
    <x v="0"/>
    <x v="0"/>
    <s v="Single"/>
    <s v="Chennai"/>
    <x v="1"/>
    <x v="2"/>
    <s v="Senior"/>
    <s v="Needs Improvement"/>
    <s v="Dissatisfied"/>
  </r>
  <r>
    <s v="EMP762"/>
    <s v="Priya Reddy"/>
    <x v="1"/>
    <x v="11"/>
    <x v="4"/>
    <s v="Executive"/>
    <x v="1"/>
    <n v="31000"/>
    <n v="10"/>
    <x v="0"/>
    <n v="2"/>
    <x v="1"/>
    <x v="0"/>
    <s v="Single"/>
    <s v="Coimbatore"/>
    <x v="0"/>
    <x v="0"/>
    <s v="Senior"/>
    <s v="Needs Improvement"/>
    <s v="Dissatisfied"/>
  </r>
  <r>
    <s v="EMP763"/>
    <s v="Anjali Kumar"/>
    <x v="0"/>
    <x v="1"/>
    <x v="1"/>
    <s v="Manager"/>
    <x v="3"/>
    <n v="46000"/>
    <n v="13"/>
    <x v="2"/>
    <n v="3"/>
    <x v="0"/>
    <x v="1"/>
    <s v="Married"/>
    <s v="Delhi"/>
    <x v="1"/>
    <x v="1"/>
    <s v="Senior"/>
    <s v="High Performer"/>
    <s v="Neutral"/>
  </r>
  <r>
    <s v="EMP764"/>
    <s v="Anjali Patel"/>
    <x v="0"/>
    <x v="22"/>
    <x v="4"/>
    <s v="Executive"/>
    <x v="3"/>
    <n v="36000"/>
    <n v="15"/>
    <x v="2"/>
    <n v="2"/>
    <x v="0"/>
    <x v="0"/>
    <s v="Single"/>
    <s v="Mumbai"/>
    <x v="2"/>
    <x v="0"/>
    <s v="Senior"/>
    <s v="High Performer"/>
    <s v="Dissatisfied"/>
  </r>
  <r>
    <s v="EMP765"/>
    <s v="Vivek Iyer"/>
    <x v="0"/>
    <x v="10"/>
    <x v="3"/>
    <s v="Manager"/>
    <x v="1"/>
    <n v="119000"/>
    <n v="9"/>
    <x v="2"/>
    <n v="3"/>
    <x v="0"/>
    <x v="1"/>
    <s v="Married"/>
    <s v="Pune"/>
    <x v="1"/>
    <x v="2"/>
    <s v="Senior"/>
    <s v="High Performer"/>
    <s v="Neutral"/>
  </r>
  <r>
    <s v="EMP766"/>
    <s v="Sanjay Singh"/>
    <x v="0"/>
    <x v="8"/>
    <x v="5"/>
    <s v="Data Analyst"/>
    <x v="1"/>
    <n v="51000"/>
    <n v="1"/>
    <x v="2"/>
    <n v="5"/>
    <x v="1"/>
    <x v="1"/>
    <s v="Single"/>
    <s v="Hyderabad"/>
    <x v="1"/>
    <x v="1"/>
    <s v="Junior"/>
    <s v="High Performer"/>
    <s v="Satisfied"/>
  </r>
  <r>
    <s v="EMP767"/>
    <s v="Vivek Kumar"/>
    <x v="0"/>
    <x v="14"/>
    <x v="5"/>
    <s v="Data Analyst"/>
    <x v="1"/>
    <n v="84000"/>
    <n v="1"/>
    <x v="2"/>
    <n v="1"/>
    <x v="0"/>
    <x v="0"/>
    <s v="Single"/>
    <s v="Mumbai"/>
    <x v="3"/>
    <x v="2"/>
    <s v="Junior"/>
    <s v="High Performer"/>
    <s v="Dissatisfied"/>
  </r>
  <r>
    <s v="EMP768"/>
    <s v="Pooja Sharma"/>
    <x v="1"/>
    <x v="6"/>
    <x v="1"/>
    <s v="Executive"/>
    <x v="2"/>
    <n v="96000"/>
    <n v="1"/>
    <x v="0"/>
    <n v="3"/>
    <x v="0"/>
    <x v="0"/>
    <s v="Single"/>
    <s v="Coimbatore"/>
    <x v="2"/>
    <x v="2"/>
    <s v="Junior"/>
    <s v="Needs Improvement"/>
    <s v="Neutral"/>
  </r>
  <r>
    <s v="EMP769"/>
    <s v="Anjali Reddy"/>
    <x v="0"/>
    <x v="26"/>
    <x v="1"/>
    <s v="Executive"/>
    <x v="3"/>
    <n v="69000"/>
    <n v="3"/>
    <x v="3"/>
    <n v="5"/>
    <x v="1"/>
    <x v="1"/>
    <s v="Married"/>
    <s v="Kochi"/>
    <x v="2"/>
    <x v="1"/>
    <s v="Mid-Level"/>
    <s v="Needs Improvement"/>
    <s v="Satisfied"/>
  </r>
  <r>
    <s v="EMP770"/>
    <s v="Ajay Sharma"/>
    <x v="1"/>
    <x v="7"/>
    <x v="0"/>
    <s v="Recruiter"/>
    <x v="3"/>
    <n v="102000"/>
    <n v="4"/>
    <x v="2"/>
    <n v="2"/>
    <x v="0"/>
    <x v="0"/>
    <s v="Single"/>
    <s v="Hyderabad"/>
    <x v="0"/>
    <x v="2"/>
    <s v="Mid-Level"/>
    <s v="High Performer"/>
    <s v="Dissatisfied"/>
  </r>
  <r>
    <s v="EMP771"/>
    <s v="Ajay Nair"/>
    <x v="0"/>
    <x v="8"/>
    <x v="5"/>
    <s v="Data Analyst"/>
    <x v="2"/>
    <n v="32000"/>
    <n v="8"/>
    <x v="1"/>
    <n v="1"/>
    <x v="0"/>
    <x v="0"/>
    <s v="Married"/>
    <s v="Hyderabad"/>
    <x v="1"/>
    <x v="0"/>
    <s v="Senior"/>
    <s v="High Performer"/>
    <s v="Dissatisfied"/>
  </r>
  <r>
    <s v="EMP772"/>
    <s v="Nisha Iyer"/>
    <x v="0"/>
    <x v="25"/>
    <x v="1"/>
    <s v="Executive"/>
    <x v="2"/>
    <n v="36000"/>
    <n v="9"/>
    <x v="0"/>
    <n v="2"/>
    <x v="0"/>
    <x v="1"/>
    <s v="Married"/>
    <s v="Kochi"/>
    <x v="0"/>
    <x v="0"/>
    <s v="Senior"/>
    <s v="Needs Improvement"/>
    <s v="Dissatisfied"/>
  </r>
  <r>
    <s v="EMP773"/>
    <s v="Meera Menon"/>
    <x v="1"/>
    <x v="26"/>
    <x v="5"/>
    <s v="Software Engineer"/>
    <x v="3"/>
    <n v="42000"/>
    <n v="11"/>
    <x v="0"/>
    <n v="3"/>
    <x v="1"/>
    <x v="1"/>
    <s v="Married"/>
    <s v="Kochi"/>
    <x v="2"/>
    <x v="1"/>
    <s v="Senior"/>
    <s v="Needs Improvement"/>
    <s v="Neutral"/>
  </r>
  <r>
    <s v="EMP774"/>
    <s v="Sanjay Verma"/>
    <x v="0"/>
    <x v="6"/>
    <x v="2"/>
    <s v="Analyst"/>
    <x v="3"/>
    <n v="32000"/>
    <n v="9"/>
    <x v="0"/>
    <n v="4"/>
    <x v="0"/>
    <x v="1"/>
    <s v="Single"/>
    <s v="Coimbatore"/>
    <x v="2"/>
    <x v="0"/>
    <s v="Senior"/>
    <s v="Needs Improvement"/>
    <s v="Satisfied"/>
  </r>
  <r>
    <s v="EMP775"/>
    <s v="Anjali Raj"/>
    <x v="0"/>
    <x v="27"/>
    <x v="3"/>
    <s v="Executive"/>
    <x v="0"/>
    <n v="32000"/>
    <n v="1"/>
    <x v="1"/>
    <n v="1"/>
    <x v="1"/>
    <x v="1"/>
    <s v="Single"/>
    <s v="Pune"/>
    <x v="1"/>
    <x v="0"/>
    <s v="Junior"/>
    <s v="High Performer"/>
    <s v="Dissatisfied"/>
  </r>
  <r>
    <s v="EMP776"/>
    <s v="Pooja Singh"/>
    <x v="0"/>
    <x v="32"/>
    <x v="1"/>
    <s v="Manager"/>
    <x v="1"/>
    <n v="70000"/>
    <n v="1"/>
    <x v="2"/>
    <n v="4"/>
    <x v="0"/>
    <x v="1"/>
    <s v="Single"/>
    <s v="Delhi"/>
    <x v="1"/>
    <x v="2"/>
    <s v="Junior"/>
    <s v="High Performer"/>
    <s v="Satisfied"/>
  </r>
  <r>
    <s v="EMP777"/>
    <s v="Neha Kumar"/>
    <x v="1"/>
    <x v="19"/>
    <x v="3"/>
    <s v="Manager"/>
    <x v="0"/>
    <n v="100000"/>
    <n v="16"/>
    <x v="3"/>
    <n v="2"/>
    <x v="0"/>
    <x v="1"/>
    <s v="Married"/>
    <s v="Delhi"/>
    <x v="2"/>
    <x v="2"/>
    <s v="Senior"/>
    <s v="Needs Improvement"/>
    <s v="Dissatisfied"/>
  </r>
  <r>
    <s v="EMP778"/>
    <s v="Ajay Patel"/>
    <x v="0"/>
    <x v="32"/>
    <x v="1"/>
    <s v="Manager"/>
    <x v="2"/>
    <n v="63000"/>
    <n v="7"/>
    <x v="1"/>
    <n v="4"/>
    <x v="0"/>
    <x v="1"/>
    <s v="Married"/>
    <s v="Coimbatore"/>
    <x v="1"/>
    <x v="1"/>
    <s v="Senior"/>
    <s v="High Performer"/>
    <s v="Satisfied"/>
  </r>
  <r>
    <s v="EMP779"/>
    <s v="Amit Sharma"/>
    <x v="0"/>
    <x v="32"/>
    <x v="2"/>
    <s v="Analyst"/>
    <x v="1"/>
    <n v="28000"/>
    <n v="3"/>
    <x v="1"/>
    <n v="3"/>
    <x v="0"/>
    <x v="1"/>
    <s v="Married"/>
    <s v="Chennai"/>
    <x v="1"/>
    <x v="0"/>
    <s v="Mid-Level"/>
    <s v="High Performer"/>
    <s v="Neutral"/>
  </r>
  <r>
    <s v="EMP780"/>
    <s v="Pooja Kumar"/>
    <x v="0"/>
    <x v="22"/>
    <x v="4"/>
    <s v="Executive"/>
    <x v="1"/>
    <n v="40000"/>
    <n v="11"/>
    <x v="1"/>
    <n v="2"/>
    <x v="0"/>
    <x v="0"/>
    <s v="Single"/>
    <s v="Kochi"/>
    <x v="2"/>
    <x v="1"/>
    <s v="Senior"/>
    <s v="High Performer"/>
    <s v="Dissatisfied"/>
  </r>
  <r>
    <s v="EMP781"/>
    <s v="Divya Verma"/>
    <x v="0"/>
    <x v="29"/>
    <x v="4"/>
    <s v="Manager"/>
    <x v="2"/>
    <n v="50000"/>
    <n v="14"/>
    <x v="0"/>
    <n v="3"/>
    <x v="1"/>
    <x v="1"/>
    <s v="Single"/>
    <s v="Pune"/>
    <x v="2"/>
    <x v="1"/>
    <s v="Senior"/>
    <s v="Needs Improvement"/>
    <s v="Neutral"/>
  </r>
  <r>
    <s v="EMP782"/>
    <s v="Sneha Raj"/>
    <x v="1"/>
    <x v="13"/>
    <x v="3"/>
    <s v="Executive"/>
    <x v="1"/>
    <n v="115000"/>
    <n v="2"/>
    <x v="0"/>
    <n v="4"/>
    <x v="0"/>
    <x v="1"/>
    <s v="Single"/>
    <s v="Bangalore"/>
    <x v="0"/>
    <x v="2"/>
    <s v="Junior"/>
    <s v="Needs Improvement"/>
    <s v="Satisfied"/>
  </r>
  <r>
    <s v="EMP783"/>
    <s v="Sneha Raj"/>
    <x v="0"/>
    <x v="2"/>
    <x v="5"/>
    <s v="Software Engineer"/>
    <x v="2"/>
    <n v="39000"/>
    <n v="4"/>
    <x v="2"/>
    <n v="2"/>
    <x v="1"/>
    <x v="1"/>
    <s v="Single"/>
    <s v="Mumbai"/>
    <x v="2"/>
    <x v="0"/>
    <s v="Mid-Level"/>
    <s v="High Performer"/>
    <s v="Dissatisfied"/>
  </r>
  <r>
    <s v="EMP784"/>
    <s v="Karthik Nair"/>
    <x v="0"/>
    <x v="9"/>
    <x v="2"/>
    <s v="Analyst"/>
    <x v="0"/>
    <n v="74000"/>
    <n v="7"/>
    <x v="3"/>
    <n v="5"/>
    <x v="1"/>
    <x v="1"/>
    <s v="Single"/>
    <s v="Coimbatore"/>
    <x v="0"/>
    <x v="2"/>
    <s v="Senior"/>
    <s v="Needs Improvement"/>
    <s v="Satisfied"/>
  </r>
  <r>
    <s v="EMP785"/>
    <s v="Rahul Reddy"/>
    <x v="1"/>
    <x v="17"/>
    <x v="4"/>
    <s v="Executive"/>
    <x v="3"/>
    <n v="27000"/>
    <n v="1"/>
    <x v="0"/>
    <n v="4"/>
    <x v="1"/>
    <x v="1"/>
    <s v="Single"/>
    <s v="Bangalore"/>
    <x v="3"/>
    <x v="0"/>
    <s v="Junior"/>
    <s v="Needs Improvement"/>
    <s v="Satisfied"/>
  </r>
  <r>
    <s v="EMP786"/>
    <s v="Pooja Kumar"/>
    <x v="1"/>
    <x v="1"/>
    <x v="0"/>
    <s v="HR Executive"/>
    <x v="0"/>
    <n v="94000"/>
    <n v="14"/>
    <x v="3"/>
    <n v="2"/>
    <x v="1"/>
    <x v="1"/>
    <s v="Married"/>
    <s v="Pune"/>
    <x v="1"/>
    <x v="2"/>
    <s v="Senior"/>
    <s v="Needs Improvement"/>
    <s v="Dissatisfied"/>
  </r>
  <r>
    <s v="EMP787"/>
    <s v="Rahul Iyer"/>
    <x v="0"/>
    <x v="11"/>
    <x v="4"/>
    <s v="Manager"/>
    <x v="2"/>
    <n v="83000"/>
    <n v="18"/>
    <x v="2"/>
    <n v="5"/>
    <x v="0"/>
    <x v="1"/>
    <s v="Married"/>
    <s v="Pune"/>
    <x v="0"/>
    <x v="2"/>
    <s v="Senior"/>
    <s v="High Performer"/>
    <s v="Satisfied"/>
  </r>
  <r>
    <s v="EMP788"/>
    <s v="Neha Raj"/>
    <x v="1"/>
    <x v="2"/>
    <x v="0"/>
    <s v="HR Executive"/>
    <x v="3"/>
    <n v="62000"/>
    <n v="8"/>
    <x v="1"/>
    <n v="5"/>
    <x v="1"/>
    <x v="1"/>
    <s v="Single"/>
    <s v="Delhi"/>
    <x v="2"/>
    <x v="1"/>
    <s v="Senior"/>
    <s v="High Performer"/>
    <s v="Satisfied"/>
  </r>
  <r>
    <s v="EMP789"/>
    <s v="Divya Verma"/>
    <x v="0"/>
    <x v="22"/>
    <x v="0"/>
    <s v="HR Executive"/>
    <x v="0"/>
    <n v="120000"/>
    <n v="0"/>
    <x v="3"/>
    <n v="5"/>
    <x v="0"/>
    <x v="1"/>
    <s v="Married"/>
    <s v="Mumbai"/>
    <x v="2"/>
    <x v="2"/>
    <s v="Junior"/>
    <s v="Needs Improvement"/>
    <s v="Satisfied"/>
  </r>
  <r>
    <s v="EMP790"/>
    <s v="Divya Nair"/>
    <x v="1"/>
    <x v="29"/>
    <x v="1"/>
    <s v="Executive"/>
    <x v="1"/>
    <n v="93000"/>
    <n v="10"/>
    <x v="2"/>
    <n v="3"/>
    <x v="1"/>
    <x v="1"/>
    <s v="Single"/>
    <s v="Bangalore"/>
    <x v="2"/>
    <x v="2"/>
    <s v="Senior"/>
    <s v="High Performer"/>
    <s v="Neutral"/>
  </r>
  <r>
    <s v="EMP791"/>
    <s v="Pooja Singh"/>
    <x v="0"/>
    <x v="14"/>
    <x v="2"/>
    <s v="Analyst"/>
    <x v="2"/>
    <n v="120000"/>
    <n v="3"/>
    <x v="2"/>
    <n v="3"/>
    <x v="1"/>
    <x v="0"/>
    <s v="Married"/>
    <s v="Kochi"/>
    <x v="3"/>
    <x v="2"/>
    <s v="Mid-Level"/>
    <s v="High Performer"/>
    <s v="Neutral"/>
  </r>
  <r>
    <s v="EMP792"/>
    <s v="Ajay Verma"/>
    <x v="0"/>
    <x v="2"/>
    <x v="3"/>
    <s v="Executive"/>
    <x v="2"/>
    <n v="32000"/>
    <n v="12"/>
    <x v="0"/>
    <n v="4"/>
    <x v="1"/>
    <x v="1"/>
    <s v="Married"/>
    <s v="Delhi"/>
    <x v="2"/>
    <x v="0"/>
    <s v="Senior"/>
    <s v="Needs Improvement"/>
    <s v="Satisfied"/>
  </r>
  <r>
    <s v="EMP793"/>
    <s v="Priya Singh"/>
    <x v="1"/>
    <x v="10"/>
    <x v="5"/>
    <s v="Software Engineer"/>
    <x v="0"/>
    <n v="50000"/>
    <n v="8"/>
    <x v="1"/>
    <n v="1"/>
    <x v="1"/>
    <x v="1"/>
    <s v="Married"/>
    <s v="Kochi"/>
    <x v="1"/>
    <x v="1"/>
    <s v="Senior"/>
    <s v="High Performer"/>
    <s v="Dissatisfied"/>
  </r>
  <r>
    <s v="EMP794"/>
    <s v="Anjali Kumar"/>
    <x v="1"/>
    <x v="18"/>
    <x v="0"/>
    <s v="Recruiter"/>
    <x v="3"/>
    <n v="45000"/>
    <n v="0"/>
    <x v="3"/>
    <n v="4"/>
    <x v="1"/>
    <x v="1"/>
    <s v="Married"/>
    <s v="Coimbatore"/>
    <x v="3"/>
    <x v="1"/>
    <s v="Junior"/>
    <s v="Needs Improvement"/>
    <s v="Satisfied"/>
  </r>
  <r>
    <s v="EMP795"/>
    <s v="Priya Patel"/>
    <x v="0"/>
    <x v="3"/>
    <x v="3"/>
    <s v="Manager"/>
    <x v="0"/>
    <n v="34000"/>
    <n v="9"/>
    <x v="3"/>
    <n v="1"/>
    <x v="1"/>
    <x v="1"/>
    <s v="Single"/>
    <s v="Hyderabad"/>
    <x v="2"/>
    <x v="0"/>
    <s v="Senior"/>
    <s v="Needs Improvement"/>
    <s v="Dissatisfied"/>
  </r>
  <r>
    <s v="EMP796"/>
    <s v="Meera Nair"/>
    <x v="0"/>
    <x v="4"/>
    <x v="0"/>
    <s v="Recruiter"/>
    <x v="3"/>
    <n v="50000"/>
    <n v="1"/>
    <x v="0"/>
    <n v="5"/>
    <x v="1"/>
    <x v="1"/>
    <s v="Married"/>
    <s v="Pune"/>
    <x v="2"/>
    <x v="1"/>
    <s v="Junior"/>
    <s v="Needs Improvement"/>
    <s v="Satisfied"/>
  </r>
  <r>
    <s v="EMP797"/>
    <s v="Meera Patel"/>
    <x v="1"/>
    <x v="0"/>
    <x v="0"/>
    <s v="HR Executive"/>
    <x v="1"/>
    <n v="65000"/>
    <n v="11"/>
    <x v="1"/>
    <n v="5"/>
    <x v="1"/>
    <x v="1"/>
    <s v="Married"/>
    <s v="Delhi"/>
    <x v="0"/>
    <x v="1"/>
    <s v="Senior"/>
    <s v="High Performer"/>
    <s v="Satisfied"/>
  </r>
  <r>
    <s v="EMP798"/>
    <s v="Karthik Iyer"/>
    <x v="0"/>
    <x v="24"/>
    <x v="0"/>
    <s v="HR Executive"/>
    <x v="1"/>
    <n v="93000"/>
    <n v="10"/>
    <x v="1"/>
    <n v="5"/>
    <x v="1"/>
    <x v="1"/>
    <s v="Single"/>
    <s v="Coimbatore"/>
    <x v="2"/>
    <x v="2"/>
    <s v="Senior"/>
    <s v="High Performer"/>
    <s v="Satisfied"/>
  </r>
  <r>
    <s v="EMP799"/>
    <s v="Vivek Singh"/>
    <x v="1"/>
    <x v="17"/>
    <x v="1"/>
    <s v="Manager"/>
    <x v="2"/>
    <n v="96000"/>
    <n v="1"/>
    <x v="2"/>
    <n v="4"/>
    <x v="0"/>
    <x v="1"/>
    <s v="Single"/>
    <s v="Bangalore"/>
    <x v="3"/>
    <x v="2"/>
    <s v="Junior"/>
    <s v="High Performer"/>
    <s v="Satisfied"/>
  </r>
  <r>
    <s v="EMP800"/>
    <s v="Pooja Raj"/>
    <x v="1"/>
    <x v="23"/>
    <x v="0"/>
    <s v="Recruiter"/>
    <x v="3"/>
    <n v="44000"/>
    <n v="4"/>
    <x v="2"/>
    <n v="2"/>
    <x v="0"/>
    <x v="0"/>
    <s v="Single"/>
    <s v="Kochi"/>
    <x v="3"/>
    <x v="1"/>
    <s v="Mid-Level"/>
    <s v="High Performer"/>
    <s v="Dissatisfied"/>
  </r>
  <r>
    <s v="EMP801"/>
    <s v="Ajay Patel"/>
    <x v="1"/>
    <x v="15"/>
    <x v="1"/>
    <s v="Manager"/>
    <x v="0"/>
    <n v="75000"/>
    <n v="2"/>
    <x v="1"/>
    <n v="5"/>
    <x v="1"/>
    <x v="1"/>
    <s v="Single"/>
    <s v="Mumbai"/>
    <x v="1"/>
    <x v="2"/>
    <s v="Junior"/>
    <s v="High Performer"/>
    <s v="Satisfied"/>
  </r>
  <r>
    <s v="EMP802"/>
    <s v="Amit Reddy"/>
    <x v="1"/>
    <x v="31"/>
    <x v="5"/>
    <s v="Data Analyst"/>
    <x v="2"/>
    <n v="91000"/>
    <n v="2"/>
    <x v="2"/>
    <n v="5"/>
    <x v="0"/>
    <x v="1"/>
    <s v="Single"/>
    <s v="Coimbatore"/>
    <x v="3"/>
    <x v="2"/>
    <s v="Junior"/>
    <s v="High Performer"/>
    <s v="Satisfied"/>
  </r>
  <r>
    <s v="EMP803"/>
    <s v="Anjali Patel"/>
    <x v="1"/>
    <x v="33"/>
    <x v="4"/>
    <s v="Manager"/>
    <x v="3"/>
    <n v="112000"/>
    <n v="13"/>
    <x v="0"/>
    <n v="5"/>
    <x v="1"/>
    <x v="1"/>
    <s v="Married"/>
    <s v="Hyderabad"/>
    <x v="0"/>
    <x v="2"/>
    <s v="Senior"/>
    <s v="Needs Improvement"/>
    <s v="Satisfied"/>
  </r>
  <r>
    <s v="EMP804"/>
    <s v="Karthik Nair"/>
    <x v="1"/>
    <x v="0"/>
    <x v="0"/>
    <s v="Recruiter"/>
    <x v="3"/>
    <n v="35000"/>
    <n v="7"/>
    <x v="3"/>
    <n v="1"/>
    <x v="0"/>
    <x v="0"/>
    <s v="Single"/>
    <s v="Mumbai"/>
    <x v="0"/>
    <x v="0"/>
    <s v="Senior"/>
    <s v="Needs Improvement"/>
    <s v="Dissatisfied"/>
  </r>
  <r>
    <s v="EMP805"/>
    <s v="Arjun Raj"/>
    <x v="1"/>
    <x v="27"/>
    <x v="5"/>
    <s v="Software Engineer"/>
    <x v="3"/>
    <n v="88000"/>
    <n v="5"/>
    <x v="2"/>
    <n v="1"/>
    <x v="1"/>
    <x v="1"/>
    <s v="Single"/>
    <s v="Kochi"/>
    <x v="1"/>
    <x v="2"/>
    <s v="Mid-Level"/>
    <s v="High Performer"/>
    <s v="Dissatisfied"/>
  </r>
  <r>
    <s v="EMP806"/>
    <s v="Meera Menon"/>
    <x v="0"/>
    <x v="4"/>
    <x v="4"/>
    <s v="Manager"/>
    <x v="0"/>
    <n v="52000"/>
    <n v="5"/>
    <x v="3"/>
    <n v="2"/>
    <x v="0"/>
    <x v="1"/>
    <s v="Single"/>
    <s v="Bangalore"/>
    <x v="2"/>
    <x v="1"/>
    <s v="Mid-Level"/>
    <s v="Needs Improvement"/>
    <s v="Dissatisfied"/>
  </r>
  <r>
    <s v="EMP807"/>
    <s v="Meera Sharma"/>
    <x v="1"/>
    <x v="13"/>
    <x v="3"/>
    <s v="Executive"/>
    <x v="1"/>
    <n v="98000"/>
    <n v="20"/>
    <x v="2"/>
    <n v="4"/>
    <x v="0"/>
    <x v="1"/>
    <s v="Married"/>
    <s v="Coimbatore"/>
    <x v="0"/>
    <x v="2"/>
    <s v="Senior"/>
    <s v="High Performer"/>
    <s v="Satisfied"/>
  </r>
  <r>
    <s v="EMP808"/>
    <s v="Neha Singh"/>
    <x v="1"/>
    <x v="12"/>
    <x v="2"/>
    <s v="Analyst"/>
    <x v="3"/>
    <n v="47000"/>
    <n v="6"/>
    <x v="2"/>
    <n v="5"/>
    <x v="1"/>
    <x v="1"/>
    <s v="Married"/>
    <s v="Delhi"/>
    <x v="3"/>
    <x v="1"/>
    <s v="Mid-Level"/>
    <s v="High Performer"/>
    <s v="Satisfied"/>
  </r>
  <r>
    <s v="EMP809"/>
    <s v="Divya Patel"/>
    <x v="0"/>
    <x v="1"/>
    <x v="2"/>
    <s v="Analyst"/>
    <x v="0"/>
    <n v="28000"/>
    <n v="5"/>
    <x v="1"/>
    <n v="5"/>
    <x v="1"/>
    <x v="1"/>
    <s v="Married"/>
    <s v="Bangalore"/>
    <x v="1"/>
    <x v="0"/>
    <s v="Mid-Level"/>
    <s v="High Performer"/>
    <s v="Satisfied"/>
  </r>
  <r>
    <s v="EMP810"/>
    <s v="Vivek Sharma"/>
    <x v="0"/>
    <x v="13"/>
    <x v="0"/>
    <s v="Recruiter"/>
    <x v="1"/>
    <n v="88000"/>
    <n v="15"/>
    <x v="0"/>
    <n v="4"/>
    <x v="1"/>
    <x v="1"/>
    <s v="Single"/>
    <s v="Hyderabad"/>
    <x v="0"/>
    <x v="2"/>
    <s v="Senior"/>
    <s v="Needs Improvement"/>
    <s v="Satisfied"/>
  </r>
  <r>
    <s v="EMP811"/>
    <s v="Arjun Nair"/>
    <x v="0"/>
    <x v="27"/>
    <x v="4"/>
    <s v="Executive"/>
    <x v="2"/>
    <n v="46000"/>
    <n v="4"/>
    <x v="2"/>
    <n v="4"/>
    <x v="0"/>
    <x v="1"/>
    <s v="Married"/>
    <s v="Mumbai"/>
    <x v="1"/>
    <x v="1"/>
    <s v="Mid-Level"/>
    <s v="High Performer"/>
    <s v="Satisfied"/>
  </r>
  <r>
    <s v="EMP812"/>
    <s v="Priya Singh"/>
    <x v="1"/>
    <x v="10"/>
    <x v="1"/>
    <s v="Executive"/>
    <x v="2"/>
    <n v="57000"/>
    <n v="9"/>
    <x v="3"/>
    <n v="3"/>
    <x v="1"/>
    <x v="1"/>
    <s v="Married"/>
    <s v="Mumbai"/>
    <x v="1"/>
    <x v="1"/>
    <s v="Senior"/>
    <s v="Needs Improvement"/>
    <s v="Neutral"/>
  </r>
  <r>
    <s v="EMP813"/>
    <s v="Pooja Reddy"/>
    <x v="1"/>
    <x v="8"/>
    <x v="1"/>
    <s v="Executive"/>
    <x v="2"/>
    <n v="27000"/>
    <n v="5"/>
    <x v="1"/>
    <n v="3"/>
    <x v="1"/>
    <x v="1"/>
    <s v="Single"/>
    <s v="Mumbai"/>
    <x v="1"/>
    <x v="0"/>
    <s v="Mid-Level"/>
    <s v="High Performer"/>
    <s v="Neutral"/>
  </r>
  <r>
    <s v="EMP814"/>
    <s v="Pooja Kumar"/>
    <x v="1"/>
    <x v="17"/>
    <x v="1"/>
    <s v="Manager"/>
    <x v="0"/>
    <n v="52000"/>
    <n v="1"/>
    <x v="0"/>
    <n v="2"/>
    <x v="1"/>
    <x v="1"/>
    <s v="Married"/>
    <s v="Kochi"/>
    <x v="3"/>
    <x v="1"/>
    <s v="Junior"/>
    <s v="Needs Improvement"/>
    <s v="Dissatisfied"/>
  </r>
  <r>
    <s v="EMP815"/>
    <s v="Sanjay Raj"/>
    <x v="1"/>
    <x v="3"/>
    <x v="2"/>
    <s v="Accountant"/>
    <x v="2"/>
    <n v="98000"/>
    <n v="18"/>
    <x v="0"/>
    <n v="1"/>
    <x v="1"/>
    <x v="1"/>
    <s v="Married"/>
    <s v="Coimbatore"/>
    <x v="2"/>
    <x v="2"/>
    <s v="Senior"/>
    <s v="Needs Improvement"/>
    <s v="Dissatisfied"/>
  </r>
  <r>
    <s v="EMP816"/>
    <s v="Karthik Raj"/>
    <x v="1"/>
    <x v="28"/>
    <x v="1"/>
    <s v="Manager"/>
    <x v="0"/>
    <n v="118000"/>
    <n v="9"/>
    <x v="3"/>
    <n v="4"/>
    <x v="1"/>
    <x v="1"/>
    <s v="Married"/>
    <s v="Chennai"/>
    <x v="0"/>
    <x v="2"/>
    <s v="Senior"/>
    <s v="Needs Improvement"/>
    <s v="Satisfied"/>
  </r>
  <r>
    <s v="EMP817"/>
    <s v="Amit Menon"/>
    <x v="0"/>
    <x v="3"/>
    <x v="2"/>
    <s v="Analyst"/>
    <x v="2"/>
    <n v="92000"/>
    <n v="6"/>
    <x v="0"/>
    <n v="1"/>
    <x v="1"/>
    <x v="1"/>
    <s v="Married"/>
    <s v="Delhi"/>
    <x v="2"/>
    <x v="2"/>
    <s v="Mid-Level"/>
    <s v="Needs Improvement"/>
    <s v="Dissatisfied"/>
  </r>
  <r>
    <s v="EMP818"/>
    <s v="Divya Iyer"/>
    <x v="1"/>
    <x v="0"/>
    <x v="4"/>
    <s v="Executive"/>
    <x v="1"/>
    <n v="111000"/>
    <n v="17"/>
    <x v="3"/>
    <n v="4"/>
    <x v="0"/>
    <x v="1"/>
    <s v="Married"/>
    <s v="Pune"/>
    <x v="0"/>
    <x v="2"/>
    <s v="Senior"/>
    <s v="Needs Improvement"/>
    <s v="Satisfied"/>
  </r>
  <r>
    <s v="EMP819"/>
    <s v="Divya Verma"/>
    <x v="1"/>
    <x v="0"/>
    <x v="1"/>
    <s v="Executive"/>
    <x v="3"/>
    <n v="95000"/>
    <n v="8"/>
    <x v="3"/>
    <n v="5"/>
    <x v="0"/>
    <x v="1"/>
    <s v="Married"/>
    <s v="Bangalore"/>
    <x v="0"/>
    <x v="2"/>
    <s v="Senior"/>
    <s v="Needs Improvement"/>
    <s v="Satisfied"/>
  </r>
  <r>
    <s v="EMP820"/>
    <s v="Rahul Menon"/>
    <x v="1"/>
    <x v="25"/>
    <x v="5"/>
    <s v="Data Analyst"/>
    <x v="1"/>
    <n v="72000"/>
    <n v="10"/>
    <x v="3"/>
    <n v="3"/>
    <x v="1"/>
    <x v="1"/>
    <s v="Married"/>
    <s v="Kochi"/>
    <x v="0"/>
    <x v="2"/>
    <s v="Senior"/>
    <s v="Needs Improvement"/>
    <s v="Neutral"/>
  </r>
  <r>
    <s v="EMP821"/>
    <s v="Vivek Iyer"/>
    <x v="0"/>
    <x v="29"/>
    <x v="0"/>
    <s v="HR Executive"/>
    <x v="2"/>
    <n v="28000"/>
    <n v="13"/>
    <x v="2"/>
    <n v="3"/>
    <x v="0"/>
    <x v="1"/>
    <s v="Single"/>
    <s v="Delhi"/>
    <x v="2"/>
    <x v="0"/>
    <s v="Senior"/>
    <s v="High Performer"/>
    <s v="Neutral"/>
  </r>
  <r>
    <s v="EMP822"/>
    <s v="Vivek Sharma"/>
    <x v="0"/>
    <x v="32"/>
    <x v="3"/>
    <s v="Manager"/>
    <x v="0"/>
    <n v="76000"/>
    <n v="7"/>
    <x v="2"/>
    <n v="1"/>
    <x v="0"/>
    <x v="0"/>
    <s v="Single"/>
    <s v="Kochi"/>
    <x v="1"/>
    <x v="2"/>
    <s v="Senior"/>
    <s v="High Performer"/>
    <s v="Dissatisfied"/>
  </r>
  <r>
    <s v="EMP823"/>
    <s v="Priya Kumar"/>
    <x v="0"/>
    <x v="6"/>
    <x v="5"/>
    <s v="Software Engineer"/>
    <x v="0"/>
    <n v="108000"/>
    <n v="5"/>
    <x v="0"/>
    <n v="2"/>
    <x v="0"/>
    <x v="0"/>
    <s v="Single"/>
    <s v="Hyderabad"/>
    <x v="2"/>
    <x v="2"/>
    <s v="Mid-Level"/>
    <s v="Needs Improvement"/>
    <s v="Dissatisfied"/>
  </r>
  <r>
    <s v="EMP824"/>
    <s v="Rohit Iyer"/>
    <x v="1"/>
    <x v="17"/>
    <x v="3"/>
    <s v="Manager"/>
    <x v="0"/>
    <n v="32000"/>
    <n v="1"/>
    <x v="1"/>
    <n v="1"/>
    <x v="1"/>
    <x v="1"/>
    <s v="Single"/>
    <s v="Delhi"/>
    <x v="3"/>
    <x v="0"/>
    <s v="Junior"/>
    <s v="High Performer"/>
    <s v="Dissatisfied"/>
  </r>
  <r>
    <s v="EMP825"/>
    <s v="Neha Reddy"/>
    <x v="1"/>
    <x v="6"/>
    <x v="1"/>
    <s v="Manager"/>
    <x v="1"/>
    <n v="59000"/>
    <n v="9"/>
    <x v="3"/>
    <n v="3"/>
    <x v="0"/>
    <x v="1"/>
    <s v="Single"/>
    <s v="Hyderabad"/>
    <x v="2"/>
    <x v="1"/>
    <s v="Senior"/>
    <s v="Needs Improvement"/>
    <s v="Neutral"/>
  </r>
  <r>
    <s v="EMP826"/>
    <s v="Neha Raj"/>
    <x v="1"/>
    <x v="11"/>
    <x v="0"/>
    <s v="HR Executive"/>
    <x v="2"/>
    <n v="77000"/>
    <n v="17"/>
    <x v="2"/>
    <n v="3"/>
    <x v="0"/>
    <x v="1"/>
    <s v="Single"/>
    <s v="Hyderabad"/>
    <x v="0"/>
    <x v="2"/>
    <s v="Senior"/>
    <s v="High Performer"/>
    <s v="Neutral"/>
  </r>
  <r>
    <s v="EMP827"/>
    <s v="Priya Kumar"/>
    <x v="0"/>
    <x v="2"/>
    <x v="0"/>
    <s v="HR Executive"/>
    <x v="1"/>
    <n v="67000"/>
    <n v="12"/>
    <x v="0"/>
    <n v="5"/>
    <x v="0"/>
    <x v="1"/>
    <s v="Married"/>
    <s v="Kochi"/>
    <x v="2"/>
    <x v="1"/>
    <s v="Senior"/>
    <s v="Needs Improvement"/>
    <s v="Satisfied"/>
  </r>
  <r>
    <s v="EMP828"/>
    <s v="Rahul Iyer"/>
    <x v="0"/>
    <x v="4"/>
    <x v="1"/>
    <s v="Executive"/>
    <x v="2"/>
    <n v="69000"/>
    <n v="13"/>
    <x v="0"/>
    <n v="2"/>
    <x v="0"/>
    <x v="0"/>
    <s v="Single"/>
    <s v="Coimbatore"/>
    <x v="2"/>
    <x v="1"/>
    <s v="Senior"/>
    <s v="Needs Improvement"/>
    <s v="Dissatisfied"/>
  </r>
  <r>
    <s v="EMP829"/>
    <s v="Meera Verma"/>
    <x v="0"/>
    <x v="27"/>
    <x v="3"/>
    <s v="Executive"/>
    <x v="3"/>
    <n v="80000"/>
    <n v="19"/>
    <x v="0"/>
    <n v="3"/>
    <x v="1"/>
    <x v="1"/>
    <s v="Married"/>
    <s v="Kochi"/>
    <x v="1"/>
    <x v="2"/>
    <s v="Senior"/>
    <s v="Needs Improvement"/>
    <s v="Neutral"/>
  </r>
  <r>
    <s v="EMP830"/>
    <s v="Pooja Patel"/>
    <x v="0"/>
    <x v="1"/>
    <x v="0"/>
    <s v="HR Executive"/>
    <x v="0"/>
    <n v="50000"/>
    <n v="8"/>
    <x v="1"/>
    <n v="2"/>
    <x v="0"/>
    <x v="0"/>
    <s v="Married"/>
    <s v="Bangalore"/>
    <x v="1"/>
    <x v="1"/>
    <s v="Senior"/>
    <s v="High Performer"/>
    <s v="Dissatisfied"/>
  </r>
  <r>
    <s v="EMP831"/>
    <s v="Vivek Sharma"/>
    <x v="1"/>
    <x v="31"/>
    <x v="2"/>
    <s v="Accountant"/>
    <x v="2"/>
    <n v="48000"/>
    <n v="2"/>
    <x v="0"/>
    <n v="2"/>
    <x v="0"/>
    <x v="0"/>
    <s v="Single"/>
    <s v="Delhi"/>
    <x v="3"/>
    <x v="1"/>
    <s v="Junior"/>
    <s v="Needs Improvement"/>
    <s v="Dissatisfied"/>
  </r>
  <r>
    <s v="EMP832"/>
    <s v="Anjali Kumar"/>
    <x v="0"/>
    <x v="8"/>
    <x v="1"/>
    <s v="Executive"/>
    <x v="1"/>
    <n v="116000"/>
    <n v="12"/>
    <x v="2"/>
    <n v="3"/>
    <x v="1"/>
    <x v="1"/>
    <s v="Single"/>
    <s v="Bangalore"/>
    <x v="1"/>
    <x v="2"/>
    <s v="Senior"/>
    <s v="High Performer"/>
    <s v="Neutral"/>
  </r>
  <r>
    <s v="EMP833"/>
    <s v="Divya Iyer"/>
    <x v="1"/>
    <x v="18"/>
    <x v="5"/>
    <s v="Software Engineer"/>
    <x v="2"/>
    <n v="79000"/>
    <n v="7"/>
    <x v="3"/>
    <n v="3"/>
    <x v="0"/>
    <x v="1"/>
    <s v="Married"/>
    <s v="Bangalore"/>
    <x v="3"/>
    <x v="2"/>
    <s v="Senior"/>
    <s v="Needs Improvement"/>
    <s v="Neutral"/>
  </r>
  <r>
    <s v="EMP834"/>
    <s v="Amit Raj"/>
    <x v="1"/>
    <x v="12"/>
    <x v="1"/>
    <s v="Executive"/>
    <x v="0"/>
    <n v="66000"/>
    <n v="6"/>
    <x v="0"/>
    <n v="4"/>
    <x v="1"/>
    <x v="1"/>
    <s v="Married"/>
    <s v="Pune"/>
    <x v="3"/>
    <x v="1"/>
    <s v="Mid-Level"/>
    <s v="Needs Improvement"/>
    <s v="Satisfied"/>
  </r>
  <r>
    <s v="EMP835"/>
    <s v="Karthik Menon"/>
    <x v="0"/>
    <x v="18"/>
    <x v="0"/>
    <s v="Recruiter"/>
    <x v="2"/>
    <n v="39000"/>
    <n v="7"/>
    <x v="3"/>
    <n v="3"/>
    <x v="0"/>
    <x v="1"/>
    <s v="Married"/>
    <s v="Pune"/>
    <x v="3"/>
    <x v="0"/>
    <s v="Senior"/>
    <s v="Needs Improvement"/>
    <s v="Neutral"/>
  </r>
  <r>
    <s v="EMP836"/>
    <s v="Arjun Sharma"/>
    <x v="0"/>
    <x v="26"/>
    <x v="3"/>
    <s v="Executive"/>
    <x v="3"/>
    <n v="117000"/>
    <n v="10"/>
    <x v="1"/>
    <n v="5"/>
    <x v="0"/>
    <x v="1"/>
    <s v="Married"/>
    <s v="Coimbatore"/>
    <x v="2"/>
    <x v="2"/>
    <s v="Senior"/>
    <s v="High Performer"/>
    <s v="Satisfied"/>
  </r>
  <r>
    <s v="EMP837"/>
    <s v="Karthik Patel"/>
    <x v="0"/>
    <x v="12"/>
    <x v="2"/>
    <s v="Accountant"/>
    <x v="0"/>
    <n v="31000"/>
    <n v="6"/>
    <x v="1"/>
    <n v="5"/>
    <x v="0"/>
    <x v="1"/>
    <s v="Single"/>
    <s v="Mumbai"/>
    <x v="3"/>
    <x v="0"/>
    <s v="Mid-Level"/>
    <s v="High Performer"/>
    <s v="Satisfied"/>
  </r>
  <r>
    <s v="EMP838"/>
    <s v="Priya Nair"/>
    <x v="1"/>
    <x v="17"/>
    <x v="4"/>
    <s v="Manager"/>
    <x v="3"/>
    <n v="36000"/>
    <n v="1"/>
    <x v="2"/>
    <n v="3"/>
    <x v="0"/>
    <x v="1"/>
    <s v="Single"/>
    <s v="Delhi"/>
    <x v="3"/>
    <x v="0"/>
    <s v="Junior"/>
    <s v="High Performer"/>
    <s v="Neutral"/>
  </r>
  <r>
    <s v="EMP839"/>
    <s v="Neha Reddy"/>
    <x v="0"/>
    <x v="8"/>
    <x v="0"/>
    <s v="HR Executive"/>
    <x v="1"/>
    <n v="85000"/>
    <n v="12"/>
    <x v="0"/>
    <n v="5"/>
    <x v="1"/>
    <x v="1"/>
    <s v="Married"/>
    <s v="Kochi"/>
    <x v="1"/>
    <x v="2"/>
    <s v="Senior"/>
    <s v="Needs Improvement"/>
    <s v="Satisfied"/>
  </r>
  <r>
    <s v="EMP840"/>
    <s v="Rohit Menon"/>
    <x v="0"/>
    <x v="15"/>
    <x v="3"/>
    <s v="Manager"/>
    <x v="2"/>
    <n v="110000"/>
    <n v="8"/>
    <x v="2"/>
    <n v="3"/>
    <x v="1"/>
    <x v="1"/>
    <s v="Married"/>
    <s v="Mumbai"/>
    <x v="1"/>
    <x v="2"/>
    <s v="Senior"/>
    <s v="High Performer"/>
    <s v="Neutral"/>
  </r>
  <r>
    <s v="EMP841"/>
    <s v="Anjali Raj"/>
    <x v="0"/>
    <x v="18"/>
    <x v="0"/>
    <s v="Recruiter"/>
    <x v="3"/>
    <n v="109000"/>
    <n v="7"/>
    <x v="3"/>
    <n v="3"/>
    <x v="1"/>
    <x v="1"/>
    <s v="Single"/>
    <s v="Hyderabad"/>
    <x v="3"/>
    <x v="2"/>
    <s v="Senior"/>
    <s v="Needs Improvement"/>
    <s v="Neutral"/>
  </r>
  <r>
    <s v="EMP842"/>
    <s v="Ajay Verma"/>
    <x v="0"/>
    <x v="18"/>
    <x v="5"/>
    <s v="Software Engineer"/>
    <x v="1"/>
    <n v="50000"/>
    <n v="0"/>
    <x v="0"/>
    <n v="2"/>
    <x v="1"/>
    <x v="1"/>
    <s v="Married"/>
    <s v="Delhi"/>
    <x v="3"/>
    <x v="1"/>
    <s v="Junior"/>
    <s v="Needs Improvement"/>
    <s v="Dissatisfied"/>
  </r>
  <r>
    <s v="EMP843"/>
    <s v="Rohit Patel"/>
    <x v="1"/>
    <x v="20"/>
    <x v="3"/>
    <s v="Manager"/>
    <x v="3"/>
    <n v="110000"/>
    <n v="18"/>
    <x v="2"/>
    <n v="3"/>
    <x v="1"/>
    <x v="1"/>
    <s v="Married"/>
    <s v="Kochi"/>
    <x v="0"/>
    <x v="2"/>
    <s v="Senior"/>
    <s v="High Performer"/>
    <s v="Neutral"/>
  </r>
  <r>
    <s v="EMP844"/>
    <s v="Nisha Reddy"/>
    <x v="1"/>
    <x v="14"/>
    <x v="2"/>
    <s v="Accountant"/>
    <x v="3"/>
    <n v="34000"/>
    <n v="3"/>
    <x v="0"/>
    <n v="1"/>
    <x v="0"/>
    <x v="1"/>
    <s v="Married"/>
    <s v="Mumbai"/>
    <x v="3"/>
    <x v="0"/>
    <s v="Mid-Level"/>
    <s v="Needs Improvement"/>
    <s v="Dissatisfied"/>
  </r>
  <r>
    <s v="EMP845"/>
    <s v="Pooja Patel"/>
    <x v="0"/>
    <x v="6"/>
    <x v="3"/>
    <s v="Executive"/>
    <x v="2"/>
    <n v="43000"/>
    <n v="9"/>
    <x v="0"/>
    <n v="2"/>
    <x v="1"/>
    <x v="1"/>
    <s v="Married"/>
    <s v="Delhi"/>
    <x v="2"/>
    <x v="1"/>
    <s v="Senior"/>
    <s v="Needs Improvement"/>
    <s v="Dissatisfied"/>
  </r>
  <r>
    <s v="EMP846"/>
    <s v="Nisha Iyer"/>
    <x v="0"/>
    <x v="20"/>
    <x v="2"/>
    <s v="Analyst"/>
    <x v="0"/>
    <n v="87000"/>
    <n v="5"/>
    <x v="3"/>
    <n v="3"/>
    <x v="0"/>
    <x v="1"/>
    <s v="Single"/>
    <s v="Coimbatore"/>
    <x v="0"/>
    <x v="2"/>
    <s v="Mid-Level"/>
    <s v="Needs Improvement"/>
    <s v="Neutral"/>
  </r>
  <r>
    <s v="EMP847"/>
    <s v="Priya Patel"/>
    <x v="0"/>
    <x v="19"/>
    <x v="3"/>
    <s v="Executive"/>
    <x v="1"/>
    <n v="75000"/>
    <n v="2"/>
    <x v="3"/>
    <n v="5"/>
    <x v="1"/>
    <x v="1"/>
    <s v="Single"/>
    <s v="Mumbai"/>
    <x v="2"/>
    <x v="2"/>
    <s v="Junior"/>
    <s v="Needs Improvement"/>
    <s v="Satisfied"/>
  </r>
  <r>
    <s v="EMP848"/>
    <s v="Priya Verma"/>
    <x v="1"/>
    <x v="25"/>
    <x v="5"/>
    <s v="Data Analyst"/>
    <x v="0"/>
    <n v="58000"/>
    <n v="17"/>
    <x v="3"/>
    <n v="3"/>
    <x v="1"/>
    <x v="1"/>
    <s v="Married"/>
    <s v="Kochi"/>
    <x v="0"/>
    <x v="1"/>
    <s v="Senior"/>
    <s v="Needs Improvement"/>
    <s v="Neutral"/>
  </r>
  <r>
    <s v="EMP849"/>
    <s v="Pooja Reddy"/>
    <x v="1"/>
    <x v="22"/>
    <x v="5"/>
    <s v="Data Analyst"/>
    <x v="1"/>
    <n v="102000"/>
    <n v="10"/>
    <x v="2"/>
    <n v="5"/>
    <x v="0"/>
    <x v="1"/>
    <s v="Married"/>
    <s v="Kochi"/>
    <x v="2"/>
    <x v="2"/>
    <s v="Senior"/>
    <s v="High Performer"/>
    <s v="Satisfied"/>
  </r>
  <r>
    <s v="EMP850"/>
    <s v="Pooja Kumar"/>
    <x v="1"/>
    <x v="32"/>
    <x v="4"/>
    <s v="Manager"/>
    <x v="3"/>
    <n v="78000"/>
    <n v="6"/>
    <x v="3"/>
    <n v="4"/>
    <x v="1"/>
    <x v="1"/>
    <s v="Married"/>
    <s v="Chennai"/>
    <x v="1"/>
    <x v="2"/>
    <s v="Mid-Level"/>
    <s v="Needs Improvement"/>
    <s v="Satisfied"/>
  </r>
  <r>
    <s v="EMP851"/>
    <s v="Ajay Raj"/>
    <x v="0"/>
    <x v="13"/>
    <x v="2"/>
    <s v="Accountant"/>
    <x v="2"/>
    <n v="117000"/>
    <n v="3"/>
    <x v="3"/>
    <n v="5"/>
    <x v="0"/>
    <x v="1"/>
    <s v="Married"/>
    <s v="Kochi"/>
    <x v="0"/>
    <x v="2"/>
    <s v="Mid-Level"/>
    <s v="Needs Improvement"/>
    <s v="Satisfied"/>
  </r>
  <r>
    <s v="EMP852"/>
    <s v="Meera Patel"/>
    <x v="0"/>
    <x v="16"/>
    <x v="0"/>
    <s v="HR Executive"/>
    <x v="1"/>
    <n v="47000"/>
    <n v="16"/>
    <x v="3"/>
    <n v="3"/>
    <x v="1"/>
    <x v="1"/>
    <s v="Single"/>
    <s v="Delhi"/>
    <x v="2"/>
    <x v="1"/>
    <s v="Senior"/>
    <s v="Needs Improvement"/>
    <s v="Neutral"/>
  </r>
  <r>
    <s v="EMP853"/>
    <s v="Nisha Nair"/>
    <x v="1"/>
    <x v="21"/>
    <x v="5"/>
    <s v="Software Engineer"/>
    <x v="3"/>
    <n v="36000"/>
    <n v="5"/>
    <x v="0"/>
    <n v="5"/>
    <x v="1"/>
    <x v="1"/>
    <s v="Single"/>
    <s v="Pune"/>
    <x v="3"/>
    <x v="0"/>
    <s v="Mid-Level"/>
    <s v="Needs Improvement"/>
    <s v="Satisfied"/>
  </r>
  <r>
    <s v="EMP854"/>
    <s v="Sneha Kumar"/>
    <x v="0"/>
    <x v="17"/>
    <x v="0"/>
    <s v="Recruiter"/>
    <x v="2"/>
    <n v="54000"/>
    <n v="1"/>
    <x v="3"/>
    <n v="1"/>
    <x v="1"/>
    <x v="1"/>
    <s v="Married"/>
    <s v="Mumbai"/>
    <x v="3"/>
    <x v="1"/>
    <s v="Junior"/>
    <s v="Needs Improvement"/>
    <s v="Dissatisfied"/>
  </r>
  <r>
    <s v="EMP855"/>
    <s v="Anjali Iyer"/>
    <x v="1"/>
    <x v="26"/>
    <x v="3"/>
    <s v="Manager"/>
    <x v="1"/>
    <n v="56000"/>
    <n v="3"/>
    <x v="3"/>
    <n v="3"/>
    <x v="0"/>
    <x v="1"/>
    <s v="Married"/>
    <s v="Hyderabad"/>
    <x v="2"/>
    <x v="1"/>
    <s v="Mid-Level"/>
    <s v="Needs Improvement"/>
    <s v="Neutral"/>
  </r>
  <r>
    <s v="EMP856"/>
    <s v="Priya Nair"/>
    <x v="1"/>
    <x v="30"/>
    <x v="1"/>
    <s v="Executive"/>
    <x v="1"/>
    <n v="106000"/>
    <n v="8"/>
    <x v="2"/>
    <n v="2"/>
    <x v="1"/>
    <x v="1"/>
    <s v="Married"/>
    <s v="Kochi"/>
    <x v="3"/>
    <x v="2"/>
    <s v="Senior"/>
    <s v="High Performer"/>
    <s v="Dissatisfied"/>
  </r>
  <r>
    <s v="EMP857"/>
    <s v="Nisha Singh"/>
    <x v="1"/>
    <x v="20"/>
    <x v="2"/>
    <s v="Analyst"/>
    <x v="1"/>
    <n v="112000"/>
    <n v="8"/>
    <x v="2"/>
    <n v="1"/>
    <x v="0"/>
    <x v="1"/>
    <s v="Married"/>
    <s v="Chennai"/>
    <x v="0"/>
    <x v="2"/>
    <s v="Senior"/>
    <s v="High Performer"/>
    <s v="Dissatisfied"/>
  </r>
  <r>
    <s v="EMP858"/>
    <s v="Rahul Singh"/>
    <x v="0"/>
    <x v="22"/>
    <x v="3"/>
    <s v="Executive"/>
    <x v="1"/>
    <n v="68000"/>
    <n v="4"/>
    <x v="1"/>
    <n v="4"/>
    <x v="1"/>
    <x v="1"/>
    <s v="Married"/>
    <s v="Chennai"/>
    <x v="2"/>
    <x v="1"/>
    <s v="Mid-Level"/>
    <s v="High Performer"/>
    <s v="Satisfied"/>
  </r>
  <r>
    <s v="EMP859"/>
    <s v="Neha Nair"/>
    <x v="0"/>
    <x v="21"/>
    <x v="5"/>
    <s v="Data Analyst"/>
    <x v="3"/>
    <n v="66000"/>
    <n v="5"/>
    <x v="3"/>
    <n v="3"/>
    <x v="1"/>
    <x v="1"/>
    <s v="Single"/>
    <s v="Delhi"/>
    <x v="3"/>
    <x v="1"/>
    <s v="Mid-Level"/>
    <s v="Needs Improvement"/>
    <s v="Neutral"/>
  </r>
  <r>
    <s v="EMP860"/>
    <s v="Divya Patel"/>
    <x v="0"/>
    <x v="19"/>
    <x v="0"/>
    <s v="Recruiter"/>
    <x v="1"/>
    <n v="34000"/>
    <n v="4"/>
    <x v="2"/>
    <n v="5"/>
    <x v="0"/>
    <x v="1"/>
    <s v="Married"/>
    <s v="Mumbai"/>
    <x v="2"/>
    <x v="0"/>
    <s v="Mid-Level"/>
    <s v="High Performer"/>
    <s v="Satisfied"/>
  </r>
  <r>
    <s v="EMP861"/>
    <s v="Divya Iyer"/>
    <x v="1"/>
    <x v="4"/>
    <x v="3"/>
    <s v="Executive"/>
    <x v="3"/>
    <n v="89000"/>
    <n v="11"/>
    <x v="1"/>
    <n v="4"/>
    <x v="0"/>
    <x v="1"/>
    <s v="Single"/>
    <s v="Pune"/>
    <x v="2"/>
    <x v="2"/>
    <s v="Senior"/>
    <s v="High Performer"/>
    <s v="Satisfied"/>
  </r>
  <r>
    <s v="EMP862"/>
    <s v="Nisha Iyer"/>
    <x v="1"/>
    <x v="31"/>
    <x v="4"/>
    <s v="Manager"/>
    <x v="3"/>
    <n v="26000"/>
    <n v="2"/>
    <x v="1"/>
    <n v="3"/>
    <x v="0"/>
    <x v="1"/>
    <s v="Single"/>
    <s v="Delhi"/>
    <x v="3"/>
    <x v="0"/>
    <s v="Junior"/>
    <s v="High Performer"/>
    <s v="Neutral"/>
  </r>
  <r>
    <s v="EMP863"/>
    <s v="Divya Singh"/>
    <x v="1"/>
    <x v="24"/>
    <x v="2"/>
    <s v="Analyst"/>
    <x v="1"/>
    <n v="86000"/>
    <n v="9"/>
    <x v="2"/>
    <n v="2"/>
    <x v="1"/>
    <x v="1"/>
    <s v="Married"/>
    <s v="Delhi"/>
    <x v="2"/>
    <x v="2"/>
    <s v="Senior"/>
    <s v="High Performer"/>
    <s v="Dissatisfied"/>
  </r>
  <r>
    <s v="EMP864"/>
    <s v="Neha Patel"/>
    <x v="0"/>
    <x v="6"/>
    <x v="2"/>
    <s v="Analyst"/>
    <x v="3"/>
    <n v="92000"/>
    <n v="8"/>
    <x v="1"/>
    <n v="3"/>
    <x v="0"/>
    <x v="1"/>
    <s v="Single"/>
    <s v="Kochi"/>
    <x v="2"/>
    <x v="2"/>
    <s v="Senior"/>
    <s v="High Performer"/>
    <s v="Neutral"/>
  </r>
  <r>
    <s v="EMP865"/>
    <s v="Karthik Iyer"/>
    <x v="1"/>
    <x v="30"/>
    <x v="2"/>
    <s v="Accountant"/>
    <x v="1"/>
    <n v="26000"/>
    <n v="8"/>
    <x v="1"/>
    <n v="3"/>
    <x v="0"/>
    <x v="1"/>
    <s v="Single"/>
    <s v="Chennai"/>
    <x v="3"/>
    <x v="0"/>
    <s v="Senior"/>
    <s v="High Performer"/>
    <s v="Neutral"/>
  </r>
  <r>
    <s v="EMP866"/>
    <s v="Amit Raj"/>
    <x v="1"/>
    <x v="20"/>
    <x v="4"/>
    <s v="Executive"/>
    <x v="1"/>
    <n v="35000"/>
    <n v="7"/>
    <x v="0"/>
    <n v="5"/>
    <x v="1"/>
    <x v="1"/>
    <s v="Married"/>
    <s v="Pune"/>
    <x v="0"/>
    <x v="0"/>
    <s v="Senior"/>
    <s v="Needs Improvement"/>
    <s v="Satisfied"/>
  </r>
  <r>
    <s v="EMP867"/>
    <s v="Pooja Nair"/>
    <x v="1"/>
    <x v="9"/>
    <x v="5"/>
    <s v="Software Engineer"/>
    <x v="2"/>
    <n v="101000"/>
    <n v="4"/>
    <x v="1"/>
    <n v="2"/>
    <x v="1"/>
    <x v="1"/>
    <s v="Single"/>
    <s v="Delhi"/>
    <x v="0"/>
    <x v="2"/>
    <s v="Mid-Level"/>
    <s v="High Performer"/>
    <s v="Dissatisfied"/>
  </r>
  <r>
    <s v="EMP868"/>
    <s v="Rohit Kumar"/>
    <x v="0"/>
    <x v="5"/>
    <x v="4"/>
    <s v="Manager"/>
    <x v="0"/>
    <n v="54000"/>
    <n v="11"/>
    <x v="2"/>
    <n v="2"/>
    <x v="1"/>
    <x v="1"/>
    <s v="Single"/>
    <s v="Coimbatore"/>
    <x v="0"/>
    <x v="1"/>
    <s v="Senior"/>
    <s v="High Performer"/>
    <s v="Dissatisfied"/>
  </r>
  <r>
    <s v="EMP869"/>
    <s v="Sanjay Patel"/>
    <x v="0"/>
    <x v="31"/>
    <x v="3"/>
    <s v="Manager"/>
    <x v="0"/>
    <n v="100000"/>
    <n v="2"/>
    <x v="1"/>
    <n v="1"/>
    <x v="0"/>
    <x v="0"/>
    <s v="Single"/>
    <s v="Chennai"/>
    <x v="3"/>
    <x v="2"/>
    <s v="Junior"/>
    <s v="High Performer"/>
    <s v="Dissatisfied"/>
  </r>
  <r>
    <s v="EMP870"/>
    <s v="Ajay Kumar"/>
    <x v="1"/>
    <x v="32"/>
    <x v="2"/>
    <s v="Accountant"/>
    <x v="0"/>
    <n v="90000"/>
    <n v="11"/>
    <x v="2"/>
    <n v="2"/>
    <x v="1"/>
    <x v="1"/>
    <s v="Married"/>
    <s v="Bangalore"/>
    <x v="1"/>
    <x v="2"/>
    <s v="Senior"/>
    <s v="High Performer"/>
    <s v="Dissatisfied"/>
  </r>
  <r>
    <s v="EMP871"/>
    <s v="Neha Raj"/>
    <x v="0"/>
    <x v="9"/>
    <x v="0"/>
    <s v="HR Executive"/>
    <x v="2"/>
    <n v="79000"/>
    <n v="4"/>
    <x v="1"/>
    <n v="2"/>
    <x v="0"/>
    <x v="1"/>
    <s v="Married"/>
    <s v="Chennai"/>
    <x v="0"/>
    <x v="2"/>
    <s v="Mid-Level"/>
    <s v="High Performer"/>
    <s v="Dissatisfied"/>
  </r>
  <r>
    <s v="EMP872"/>
    <s v="Amit Raj"/>
    <x v="1"/>
    <x v="16"/>
    <x v="0"/>
    <s v="Recruiter"/>
    <x v="0"/>
    <n v="65000"/>
    <n v="14"/>
    <x v="0"/>
    <n v="2"/>
    <x v="1"/>
    <x v="1"/>
    <s v="Married"/>
    <s v="Bangalore"/>
    <x v="2"/>
    <x v="1"/>
    <s v="Senior"/>
    <s v="Needs Improvement"/>
    <s v="Dissatisfied"/>
  </r>
  <r>
    <s v="EMP873"/>
    <s v="Sanjay Raj"/>
    <x v="1"/>
    <x v="1"/>
    <x v="2"/>
    <s v="Analyst"/>
    <x v="3"/>
    <n v="44000"/>
    <n v="4"/>
    <x v="3"/>
    <n v="4"/>
    <x v="1"/>
    <x v="1"/>
    <s v="Married"/>
    <s v="Delhi"/>
    <x v="1"/>
    <x v="1"/>
    <s v="Mid-Level"/>
    <s v="Needs Improvement"/>
    <s v="Satisfied"/>
  </r>
  <r>
    <s v="EMP874"/>
    <s v="Rahul Sharma"/>
    <x v="1"/>
    <x v="8"/>
    <x v="2"/>
    <s v="Accountant"/>
    <x v="1"/>
    <n v="100000"/>
    <n v="6"/>
    <x v="2"/>
    <n v="3"/>
    <x v="1"/>
    <x v="1"/>
    <s v="Married"/>
    <s v="Bangalore"/>
    <x v="1"/>
    <x v="2"/>
    <s v="Mid-Level"/>
    <s v="High Performer"/>
    <s v="Neutral"/>
  </r>
  <r>
    <s v="EMP875"/>
    <s v="Karthik Menon"/>
    <x v="0"/>
    <x v="18"/>
    <x v="2"/>
    <s v="Accountant"/>
    <x v="2"/>
    <n v="62000"/>
    <n v="7"/>
    <x v="0"/>
    <n v="1"/>
    <x v="1"/>
    <x v="1"/>
    <s v="Married"/>
    <s v="Chennai"/>
    <x v="3"/>
    <x v="1"/>
    <s v="Senior"/>
    <s v="Needs Improvement"/>
    <s v="Dissatisfied"/>
  </r>
  <r>
    <s v="EMP876"/>
    <s v="Anjali Kumar"/>
    <x v="0"/>
    <x v="8"/>
    <x v="1"/>
    <s v="Executive"/>
    <x v="2"/>
    <n v="67000"/>
    <n v="0"/>
    <x v="1"/>
    <n v="5"/>
    <x v="1"/>
    <x v="1"/>
    <s v="Single"/>
    <s v="Mumbai"/>
    <x v="1"/>
    <x v="1"/>
    <s v="Junior"/>
    <s v="High Performer"/>
    <s v="Satisfied"/>
  </r>
  <r>
    <s v="EMP877"/>
    <s v="Rohit Menon"/>
    <x v="0"/>
    <x v="2"/>
    <x v="2"/>
    <s v="Analyst"/>
    <x v="3"/>
    <n v="51000"/>
    <n v="12"/>
    <x v="1"/>
    <n v="4"/>
    <x v="1"/>
    <x v="0"/>
    <s v="Single"/>
    <s v="Mumbai"/>
    <x v="2"/>
    <x v="1"/>
    <s v="Senior"/>
    <s v="High Performer"/>
    <s v="Satisfied"/>
  </r>
  <r>
    <s v="EMP878"/>
    <s v="Sanjay Menon"/>
    <x v="0"/>
    <x v="7"/>
    <x v="2"/>
    <s v="Accountant"/>
    <x v="2"/>
    <n v="108000"/>
    <n v="7"/>
    <x v="2"/>
    <n v="5"/>
    <x v="0"/>
    <x v="1"/>
    <s v="Married"/>
    <s v="Coimbatore"/>
    <x v="0"/>
    <x v="2"/>
    <s v="Senior"/>
    <s v="High Performer"/>
    <s v="Satisfied"/>
  </r>
  <r>
    <s v="EMP879"/>
    <s v="Ajay Patel"/>
    <x v="0"/>
    <x v="33"/>
    <x v="4"/>
    <s v="Manager"/>
    <x v="0"/>
    <n v="50000"/>
    <n v="7"/>
    <x v="1"/>
    <n v="5"/>
    <x v="0"/>
    <x v="1"/>
    <s v="Single"/>
    <s v="Coimbatore"/>
    <x v="0"/>
    <x v="1"/>
    <s v="Senior"/>
    <s v="High Performer"/>
    <s v="Satisfied"/>
  </r>
  <r>
    <s v="EMP880"/>
    <s v="Divya Patel"/>
    <x v="0"/>
    <x v="16"/>
    <x v="1"/>
    <s v="Manager"/>
    <x v="0"/>
    <n v="84000"/>
    <n v="7"/>
    <x v="1"/>
    <n v="1"/>
    <x v="1"/>
    <x v="1"/>
    <s v="Married"/>
    <s v="Kochi"/>
    <x v="2"/>
    <x v="2"/>
    <s v="Senior"/>
    <s v="High Performer"/>
    <s v="Dissatisfied"/>
  </r>
  <r>
    <s v="EMP881"/>
    <s v="Ajay Sharma"/>
    <x v="0"/>
    <x v="10"/>
    <x v="2"/>
    <s v="Accountant"/>
    <x v="3"/>
    <n v="62000"/>
    <n v="3"/>
    <x v="2"/>
    <n v="4"/>
    <x v="1"/>
    <x v="1"/>
    <s v="Single"/>
    <s v="Kochi"/>
    <x v="1"/>
    <x v="1"/>
    <s v="Mid-Level"/>
    <s v="High Performer"/>
    <s v="Satisfied"/>
  </r>
  <r>
    <s v="EMP882"/>
    <s v="Priya Verma"/>
    <x v="0"/>
    <x v="3"/>
    <x v="0"/>
    <s v="Recruiter"/>
    <x v="0"/>
    <n v="70000"/>
    <n v="5"/>
    <x v="3"/>
    <n v="4"/>
    <x v="0"/>
    <x v="1"/>
    <s v="Married"/>
    <s v="Coimbatore"/>
    <x v="2"/>
    <x v="2"/>
    <s v="Mid-Level"/>
    <s v="Needs Improvement"/>
    <s v="Satisfied"/>
  </r>
  <r>
    <s v="EMP883"/>
    <s v="Priya Menon"/>
    <x v="0"/>
    <x v="30"/>
    <x v="2"/>
    <s v="Analyst"/>
    <x v="1"/>
    <n v="118000"/>
    <n v="3"/>
    <x v="1"/>
    <n v="1"/>
    <x v="0"/>
    <x v="1"/>
    <s v="Single"/>
    <s v="Pune"/>
    <x v="3"/>
    <x v="2"/>
    <s v="Mid-Level"/>
    <s v="High Performer"/>
    <s v="Dissatisfied"/>
  </r>
  <r>
    <s v="EMP884"/>
    <s v="Nisha Menon"/>
    <x v="0"/>
    <x v="10"/>
    <x v="2"/>
    <s v="Analyst"/>
    <x v="1"/>
    <n v="49000"/>
    <n v="12"/>
    <x v="1"/>
    <n v="1"/>
    <x v="0"/>
    <x v="0"/>
    <s v="Single"/>
    <s v="Bangalore"/>
    <x v="1"/>
    <x v="1"/>
    <s v="Senior"/>
    <s v="High Performer"/>
    <s v="Dissatisfied"/>
  </r>
  <r>
    <s v="EMP885"/>
    <s v="Arjun Patel"/>
    <x v="0"/>
    <x v="27"/>
    <x v="0"/>
    <s v="HR Executive"/>
    <x v="0"/>
    <n v="26000"/>
    <n v="9"/>
    <x v="0"/>
    <n v="4"/>
    <x v="0"/>
    <x v="1"/>
    <s v="Married"/>
    <s v="Delhi"/>
    <x v="1"/>
    <x v="0"/>
    <s v="Senior"/>
    <s v="Needs Improvement"/>
    <s v="Satisfied"/>
  </r>
  <r>
    <s v="EMP886"/>
    <s v="Ajay Sharma"/>
    <x v="0"/>
    <x v="24"/>
    <x v="3"/>
    <s v="Executive"/>
    <x v="1"/>
    <n v="78000"/>
    <n v="10"/>
    <x v="3"/>
    <n v="3"/>
    <x v="0"/>
    <x v="1"/>
    <s v="Single"/>
    <s v="Coimbatore"/>
    <x v="2"/>
    <x v="2"/>
    <s v="Senior"/>
    <s v="Needs Improvement"/>
    <s v="Neutral"/>
  </r>
  <r>
    <s v="EMP887"/>
    <s v="Ajay Verma"/>
    <x v="1"/>
    <x v="15"/>
    <x v="1"/>
    <s v="Executive"/>
    <x v="2"/>
    <n v="46000"/>
    <n v="16"/>
    <x v="3"/>
    <n v="4"/>
    <x v="1"/>
    <x v="1"/>
    <s v="Single"/>
    <s v="Bangalore"/>
    <x v="1"/>
    <x v="1"/>
    <s v="Senior"/>
    <s v="Needs Improvement"/>
    <s v="Satisfied"/>
  </r>
  <r>
    <s v="EMP888"/>
    <s v="Rohit Nair"/>
    <x v="1"/>
    <x v="26"/>
    <x v="4"/>
    <s v="Executive"/>
    <x v="2"/>
    <n v="47000"/>
    <n v="11"/>
    <x v="1"/>
    <n v="2"/>
    <x v="0"/>
    <x v="0"/>
    <s v="Married"/>
    <s v="Mumbai"/>
    <x v="2"/>
    <x v="1"/>
    <s v="Senior"/>
    <s v="High Performer"/>
    <s v="Dissatisfied"/>
  </r>
  <r>
    <s v="EMP889"/>
    <s v="Pooja Nair"/>
    <x v="0"/>
    <x v="16"/>
    <x v="4"/>
    <s v="Executive"/>
    <x v="3"/>
    <n v="56000"/>
    <n v="14"/>
    <x v="3"/>
    <n v="5"/>
    <x v="1"/>
    <x v="1"/>
    <s v="Single"/>
    <s v="Pune"/>
    <x v="2"/>
    <x v="1"/>
    <s v="Senior"/>
    <s v="Needs Improvement"/>
    <s v="Satisfied"/>
  </r>
  <r>
    <s v="EMP890"/>
    <s v="Sneha Iyer"/>
    <x v="0"/>
    <x v="18"/>
    <x v="4"/>
    <s v="Manager"/>
    <x v="1"/>
    <n v="38000"/>
    <n v="7"/>
    <x v="3"/>
    <n v="5"/>
    <x v="1"/>
    <x v="1"/>
    <s v="Single"/>
    <s v="Mumbai"/>
    <x v="3"/>
    <x v="0"/>
    <s v="Senior"/>
    <s v="Needs Improvement"/>
    <s v="Satisfied"/>
  </r>
  <r>
    <s v="EMP891"/>
    <s v="Amit Singh"/>
    <x v="1"/>
    <x v="23"/>
    <x v="2"/>
    <s v="Analyst"/>
    <x v="1"/>
    <n v="57000"/>
    <n v="4"/>
    <x v="0"/>
    <n v="5"/>
    <x v="1"/>
    <x v="0"/>
    <s v="Single"/>
    <s v="Hyderabad"/>
    <x v="3"/>
    <x v="1"/>
    <s v="Mid-Level"/>
    <s v="Needs Improvement"/>
    <s v="Satisfied"/>
  </r>
  <r>
    <s v="EMP892"/>
    <s v="Anjali Kumar"/>
    <x v="1"/>
    <x v="25"/>
    <x v="5"/>
    <s v="Software Engineer"/>
    <x v="1"/>
    <n v="85000"/>
    <n v="17"/>
    <x v="2"/>
    <n v="5"/>
    <x v="1"/>
    <x v="1"/>
    <s v="Married"/>
    <s v="Kochi"/>
    <x v="0"/>
    <x v="2"/>
    <s v="Senior"/>
    <s v="High Performer"/>
    <s v="Satisfied"/>
  </r>
  <r>
    <s v="EMP893"/>
    <s v="Ajay Verma"/>
    <x v="1"/>
    <x v="4"/>
    <x v="5"/>
    <s v="Data Analyst"/>
    <x v="0"/>
    <n v="61000"/>
    <n v="9"/>
    <x v="1"/>
    <n v="2"/>
    <x v="1"/>
    <x v="1"/>
    <s v="Married"/>
    <s v="Mumbai"/>
    <x v="2"/>
    <x v="1"/>
    <s v="Senior"/>
    <s v="High Performer"/>
    <s v="Dissatisfied"/>
  </r>
  <r>
    <s v="EMP894"/>
    <s v="Karthik Singh"/>
    <x v="0"/>
    <x v="14"/>
    <x v="2"/>
    <s v="Analyst"/>
    <x v="0"/>
    <n v="95000"/>
    <n v="3"/>
    <x v="1"/>
    <n v="1"/>
    <x v="0"/>
    <x v="0"/>
    <s v="Married"/>
    <s v="Bangalore"/>
    <x v="3"/>
    <x v="2"/>
    <s v="Mid-Level"/>
    <s v="High Performer"/>
    <s v="Dissatisfied"/>
  </r>
  <r>
    <s v="EMP895"/>
    <s v="Sanjay Sharma"/>
    <x v="0"/>
    <x v="0"/>
    <x v="5"/>
    <s v="Data Analyst"/>
    <x v="1"/>
    <n v="70000"/>
    <n v="2"/>
    <x v="0"/>
    <n v="3"/>
    <x v="0"/>
    <x v="1"/>
    <s v="Single"/>
    <s v="Chennai"/>
    <x v="0"/>
    <x v="2"/>
    <s v="Junior"/>
    <s v="Needs Improvement"/>
    <s v="Neutral"/>
  </r>
  <r>
    <s v="EMP896"/>
    <s v="Meera Verma"/>
    <x v="0"/>
    <x v="27"/>
    <x v="4"/>
    <s v="Executive"/>
    <x v="2"/>
    <n v="33000"/>
    <n v="12"/>
    <x v="0"/>
    <n v="5"/>
    <x v="0"/>
    <x v="1"/>
    <s v="Single"/>
    <s v="Delhi"/>
    <x v="1"/>
    <x v="0"/>
    <s v="Senior"/>
    <s v="Needs Improvement"/>
    <s v="Satisfied"/>
  </r>
  <r>
    <s v="EMP897"/>
    <s v="Sneha Raj"/>
    <x v="0"/>
    <x v="7"/>
    <x v="1"/>
    <s v="Manager"/>
    <x v="2"/>
    <n v="31000"/>
    <n v="3"/>
    <x v="2"/>
    <n v="3"/>
    <x v="1"/>
    <x v="1"/>
    <s v="Married"/>
    <s v="Delhi"/>
    <x v="0"/>
    <x v="0"/>
    <s v="Mid-Level"/>
    <s v="High Performer"/>
    <s v="Neutral"/>
  </r>
  <r>
    <s v="EMP898"/>
    <s v="Rohit Kumar"/>
    <x v="0"/>
    <x v="22"/>
    <x v="2"/>
    <s v="Analyst"/>
    <x v="1"/>
    <n v="112000"/>
    <n v="15"/>
    <x v="0"/>
    <n v="4"/>
    <x v="0"/>
    <x v="1"/>
    <s v="Single"/>
    <s v="Delhi"/>
    <x v="2"/>
    <x v="2"/>
    <s v="Senior"/>
    <s v="Needs Improvement"/>
    <s v="Satisfied"/>
  </r>
  <r>
    <s v="EMP899"/>
    <s v="Karthik Patel"/>
    <x v="1"/>
    <x v="6"/>
    <x v="4"/>
    <s v="Manager"/>
    <x v="2"/>
    <n v="91000"/>
    <n v="7"/>
    <x v="2"/>
    <n v="3"/>
    <x v="1"/>
    <x v="1"/>
    <s v="Married"/>
    <s v="Hyderabad"/>
    <x v="2"/>
    <x v="2"/>
    <s v="Senior"/>
    <s v="High Performer"/>
    <s v="Neutral"/>
  </r>
  <r>
    <s v="EMP900"/>
    <s v="Meera Nair"/>
    <x v="0"/>
    <x v="21"/>
    <x v="5"/>
    <s v="Data Analyst"/>
    <x v="1"/>
    <n v="36000"/>
    <n v="5"/>
    <x v="0"/>
    <n v="2"/>
    <x v="1"/>
    <x v="1"/>
    <s v="Single"/>
    <s v="Coimbatore"/>
    <x v="3"/>
    <x v="0"/>
    <s v="Mid-Level"/>
    <s v="Needs Improvement"/>
    <s v="Dissatisfied"/>
  </r>
  <r>
    <s v="EMP901"/>
    <s v="Neha Kumar"/>
    <x v="1"/>
    <x v="12"/>
    <x v="3"/>
    <s v="Manager"/>
    <x v="0"/>
    <n v="103000"/>
    <n v="1"/>
    <x v="2"/>
    <n v="1"/>
    <x v="0"/>
    <x v="1"/>
    <s v="Married"/>
    <s v="Pune"/>
    <x v="3"/>
    <x v="2"/>
    <s v="Junior"/>
    <s v="High Performer"/>
    <s v="Dissatisfied"/>
  </r>
  <r>
    <s v="EMP902"/>
    <s v="Arjun Iyer"/>
    <x v="1"/>
    <x v="6"/>
    <x v="5"/>
    <s v="Data Analyst"/>
    <x v="0"/>
    <n v="104000"/>
    <n v="9"/>
    <x v="3"/>
    <n v="5"/>
    <x v="0"/>
    <x v="1"/>
    <s v="Single"/>
    <s v="Kochi"/>
    <x v="2"/>
    <x v="2"/>
    <s v="Senior"/>
    <s v="Needs Improvement"/>
    <s v="Satisfied"/>
  </r>
  <r>
    <s v="EMP903"/>
    <s v="Amit Singh"/>
    <x v="0"/>
    <x v="30"/>
    <x v="2"/>
    <s v="Analyst"/>
    <x v="3"/>
    <n v="111000"/>
    <n v="8"/>
    <x v="3"/>
    <n v="3"/>
    <x v="0"/>
    <x v="1"/>
    <s v="Married"/>
    <s v="Hyderabad"/>
    <x v="3"/>
    <x v="2"/>
    <s v="Senior"/>
    <s v="Needs Improvement"/>
    <s v="Neutral"/>
  </r>
  <r>
    <s v="EMP904"/>
    <s v="Arjun Patel"/>
    <x v="1"/>
    <x v="16"/>
    <x v="5"/>
    <s v="Data Analyst"/>
    <x v="0"/>
    <n v="110000"/>
    <n v="3"/>
    <x v="2"/>
    <n v="3"/>
    <x v="0"/>
    <x v="1"/>
    <s v="Single"/>
    <s v="Mumbai"/>
    <x v="2"/>
    <x v="2"/>
    <s v="Mid-Level"/>
    <s v="High Performer"/>
    <s v="Neutral"/>
  </r>
  <r>
    <s v="EMP905"/>
    <s v="Nisha Raj"/>
    <x v="1"/>
    <x v="32"/>
    <x v="3"/>
    <s v="Manager"/>
    <x v="1"/>
    <n v="92000"/>
    <n v="2"/>
    <x v="0"/>
    <n v="4"/>
    <x v="0"/>
    <x v="1"/>
    <s v="Single"/>
    <s v="Kochi"/>
    <x v="1"/>
    <x v="2"/>
    <s v="Junior"/>
    <s v="Needs Improvement"/>
    <s v="Satisfied"/>
  </r>
  <r>
    <s v="EMP906"/>
    <s v="Divya Raj"/>
    <x v="1"/>
    <x v="20"/>
    <x v="2"/>
    <s v="Accountant"/>
    <x v="1"/>
    <n v="96000"/>
    <n v="9"/>
    <x v="3"/>
    <n v="3"/>
    <x v="0"/>
    <x v="1"/>
    <s v="Single"/>
    <s v="Coimbatore"/>
    <x v="0"/>
    <x v="2"/>
    <s v="Senior"/>
    <s v="Needs Improvement"/>
    <s v="Neutral"/>
  </r>
  <r>
    <s v="EMP907"/>
    <s v="Sanjay Patel"/>
    <x v="1"/>
    <x v="18"/>
    <x v="2"/>
    <s v="Accountant"/>
    <x v="3"/>
    <n v="32000"/>
    <n v="6"/>
    <x v="0"/>
    <n v="2"/>
    <x v="0"/>
    <x v="0"/>
    <s v="Single"/>
    <s v="Mumbai"/>
    <x v="3"/>
    <x v="0"/>
    <s v="Mid-Level"/>
    <s v="Needs Improvement"/>
    <s v="Dissatisfied"/>
  </r>
  <r>
    <s v="EMP908"/>
    <s v="Meera Reddy"/>
    <x v="0"/>
    <x v="25"/>
    <x v="0"/>
    <s v="Recruiter"/>
    <x v="3"/>
    <n v="72000"/>
    <n v="18"/>
    <x v="3"/>
    <n v="5"/>
    <x v="0"/>
    <x v="1"/>
    <s v="Married"/>
    <s v="Bangalore"/>
    <x v="0"/>
    <x v="2"/>
    <s v="Senior"/>
    <s v="Needs Improvement"/>
    <s v="Satisfied"/>
  </r>
  <r>
    <s v="EMP909"/>
    <s v="Rahul Menon"/>
    <x v="0"/>
    <x v="26"/>
    <x v="0"/>
    <s v="Recruiter"/>
    <x v="0"/>
    <n v="27000"/>
    <n v="9"/>
    <x v="3"/>
    <n v="3"/>
    <x v="0"/>
    <x v="1"/>
    <s v="Single"/>
    <s v="Hyderabad"/>
    <x v="2"/>
    <x v="0"/>
    <s v="Senior"/>
    <s v="Needs Improvement"/>
    <s v="Neutral"/>
  </r>
  <r>
    <s v="EMP910"/>
    <s v="Rohit Verma"/>
    <x v="0"/>
    <x v="6"/>
    <x v="0"/>
    <s v="HR Executive"/>
    <x v="2"/>
    <n v="72000"/>
    <n v="4"/>
    <x v="3"/>
    <n v="1"/>
    <x v="0"/>
    <x v="0"/>
    <s v="Married"/>
    <s v="Chennai"/>
    <x v="2"/>
    <x v="2"/>
    <s v="Mid-Level"/>
    <s v="Needs Improvement"/>
    <s v="Dissatisfied"/>
  </r>
  <r>
    <s v="EMP911"/>
    <s v="Sneha Singh"/>
    <x v="0"/>
    <x v="29"/>
    <x v="5"/>
    <s v="Software Engineer"/>
    <x v="3"/>
    <n v="73000"/>
    <n v="12"/>
    <x v="1"/>
    <n v="1"/>
    <x v="1"/>
    <x v="1"/>
    <s v="Single"/>
    <s v="Hyderabad"/>
    <x v="2"/>
    <x v="2"/>
    <s v="Senior"/>
    <s v="High Performer"/>
    <s v="Dissatisfied"/>
  </r>
  <r>
    <s v="EMP912"/>
    <s v="Ajay Patel"/>
    <x v="1"/>
    <x v="19"/>
    <x v="3"/>
    <s v="Executive"/>
    <x v="3"/>
    <n v="44000"/>
    <n v="6"/>
    <x v="0"/>
    <n v="4"/>
    <x v="0"/>
    <x v="0"/>
    <s v="Single"/>
    <s v="Coimbatore"/>
    <x v="2"/>
    <x v="1"/>
    <s v="Mid-Level"/>
    <s v="Needs Improvement"/>
    <s v="Satisfied"/>
  </r>
  <r>
    <s v="EMP913"/>
    <s v="Amit Nair"/>
    <x v="0"/>
    <x v="4"/>
    <x v="4"/>
    <s v="Manager"/>
    <x v="1"/>
    <n v="68000"/>
    <n v="2"/>
    <x v="3"/>
    <n v="5"/>
    <x v="1"/>
    <x v="1"/>
    <s v="Single"/>
    <s v="Mumbai"/>
    <x v="2"/>
    <x v="1"/>
    <s v="Junior"/>
    <s v="Needs Improvement"/>
    <s v="Satisfied"/>
  </r>
  <r>
    <s v="EMP914"/>
    <s v="Rohit Verma"/>
    <x v="1"/>
    <x v="8"/>
    <x v="1"/>
    <s v="Executive"/>
    <x v="0"/>
    <n v="73000"/>
    <n v="17"/>
    <x v="1"/>
    <n v="1"/>
    <x v="0"/>
    <x v="0"/>
    <s v="Married"/>
    <s v="Coimbatore"/>
    <x v="1"/>
    <x v="2"/>
    <s v="Senior"/>
    <s v="High Performer"/>
    <s v="Dissatisfied"/>
  </r>
  <r>
    <s v="EMP915"/>
    <s v="Nisha Singh"/>
    <x v="1"/>
    <x v="9"/>
    <x v="0"/>
    <s v="HR Executive"/>
    <x v="0"/>
    <n v="78000"/>
    <n v="5"/>
    <x v="1"/>
    <n v="1"/>
    <x v="1"/>
    <x v="1"/>
    <s v="Single"/>
    <s v="Kochi"/>
    <x v="0"/>
    <x v="2"/>
    <s v="Mid-Level"/>
    <s v="High Performer"/>
    <s v="Dissatisfied"/>
  </r>
  <r>
    <s v="EMP916"/>
    <s v="Vivek Patel"/>
    <x v="1"/>
    <x v="7"/>
    <x v="5"/>
    <s v="Software Engineer"/>
    <x v="2"/>
    <n v="48000"/>
    <n v="11"/>
    <x v="3"/>
    <n v="4"/>
    <x v="0"/>
    <x v="1"/>
    <s v="Single"/>
    <s v="Bangalore"/>
    <x v="0"/>
    <x v="1"/>
    <s v="Senior"/>
    <s v="Needs Improvement"/>
    <s v="Satisfied"/>
  </r>
  <r>
    <s v="EMP917"/>
    <s v="Neha Menon"/>
    <x v="1"/>
    <x v="19"/>
    <x v="0"/>
    <s v="HR Executive"/>
    <x v="2"/>
    <n v="57000"/>
    <n v="9"/>
    <x v="3"/>
    <n v="2"/>
    <x v="0"/>
    <x v="1"/>
    <s v="Married"/>
    <s v="Bangalore"/>
    <x v="2"/>
    <x v="1"/>
    <s v="Senior"/>
    <s v="Needs Improvement"/>
    <s v="Dissatisfied"/>
  </r>
  <r>
    <s v="EMP918"/>
    <s v="Rahul Iyer"/>
    <x v="1"/>
    <x v="27"/>
    <x v="0"/>
    <s v="Recruiter"/>
    <x v="3"/>
    <n v="86000"/>
    <n v="5"/>
    <x v="3"/>
    <n v="3"/>
    <x v="0"/>
    <x v="1"/>
    <s v="Single"/>
    <s v="Hyderabad"/>
    <x v="1"/>
    <x v="2"/>
    <s v="Mid-Level"/>
    <s v="Needs Improvement"/>
    <s v="Neutral"/>
  </r>
  <r>
    <s v="EMP919"/>
    <s v="Arjun Patel"/>
    <x v="1"/>
    <x v="19"/>
    <x v="4"/>
    <s v="Manager"/>
    <x v="0"/>
    <n v="91000"/>
    <n v="3"/>
    <x v="3"/>
    <n v="1"/>
    <x v="0"/>
    <x v="1"/>
    <s v="Married"/>
    <s v="Chennai"/>
    <x v="2"/>
    <x v="2"/>
    <s v="Mid-Level"/>
    <s v="Needs Improvement"/>
    <s v="Dissatisfied"/>
  </r>
  <r>
    <s v="EMP920"/>
    <s v="Nisha Nair"/>
    <x v="0"/>
    <x v="2"/>
    <x v="1"/>
    <s v="Manager"/>
    <x v="3"/>
    <n v="55000"/>
    <n v="5"/>
    <x v="0"/>
    <n v="2"/>
    <x v="0"/>
    <x v="1"/>
    <s v="Married"/>
    <s v="Coimbatore"/>
    <x v="2"/>
    <x v="1"/>
    <s v="Mid-Level"/>
    <s v="Needs Improvement"/>
    <s v="Dissatisfied"/>
  </r>
  <r>
    <s v="EMP921"/>
    <s v="Rahul Menon"/>
    <x v="0"/>
    <x v="24"/>
    <x v="3"/>
    <s v="Manager"/>
    <x v="0"/>
    <n v="42000"/>
    <n v="10"/>
    <x v="2"/>
    <n v="1"/>
    <x v="1"/>
    <x v="1"/>
    <s v="Married"/>
    <s v="Coimbatore"/>
    <x v="2"/>
    <x v="1"/>
    <s v="Senior"/>
    <s v="High Performer"/>
    <s v="Dissatisfied"/>
  </r>
  <r>
    <s v="EMP922"/>
    <s v="Neha Menon"/>
    <x v="0"/>
    <x v="12"/>
    <x v="4"/>
    <s v="Executive"/>
    <x v="3"/>
    <n v="90000"/>
    <n v="6"/>
    <x v="3"/>
    <n v="1"/>
    <x v="0"/>
    <x v="0"/>
    <s v="Single"/>
    <s v="Pune"/>
    <x v="3"/>
    <x v="2"/>
    <s v="Mid-Level"/>
    <s v="Needs Improvement"/>
    <s v="Dissatisfied"/>
  </r>
  <r>
    <s v="EMP923"/>
    <s v="Priya Sharma"/>
    <x v="1"/>
    <x v="22"/>
    <x v="0"/>
    <s v="Recruiter"/>
    <x v="1"/>
    <n v="118000"/>
    <n v="15"/>
    <x v="0"/>
    <n v="4"/>
    <x v="1"/>
    <x v="1"/>
    <s v="Married"/>
    <s v="Mumbai"/>
    <x v="2"/>
    <x v="2"/>
    <s v="Senior"/>
    <s v="Needs Improvement"/>
    <s v="Satisfied"/>
  </r>
  <r>
    <s v="EMP924"/>
    <s v="Neha Kumar"/>
    <x v="0"/>
    <x v="18"/>
    <x v="2"/>
    <s v="Accountant"/>
    <x v="0"/>
    <n v="87000"/>
    <n v="7"/>
    <x v="2"/>
    <n v="1"/>
    <x v="0"/>
    <x v="0"/>
    <s v="Single"/>
    <s v="Hyderabad"/>
    <x v="3"/>
    <x v="2"/>
    <s v="Senior"/>
    <s v="High Performer"/>
    <s v="Dissatisfied"/>
  </r>
  <r>
    <s v="EMP925"/>
    <s v="Karthik Verma"/>
    <x v="1"/>
    <x v="33"/>
    <x v="2"/>
    <s v="Analyst"/>
    <x v="3"/>
    <n v="107000"/>
    <n v="3"/>
    <x v="1"/>
    <n v="3"/>
    <x v="1"/>
    <x v="0"/>
    <s v="Married"/>
    <s v="Delhi"/>
    <x v="0"/>
    <x v="2"/>
    <s v="Mid-Level"/>
    <s v="High Performer"/>
    <s v="Neutral"/>
  </r>
  <r>
    <s v="EMP926"/>
    <s v="Meera Singh"/>
    <x v="1"/>
    <x v="27"/>
    <x v="1"/>
    <s v="Executive"/>
    <x v="2"/>
    <n v="80000"/>
    <n v="8"/>
    <x v="2"/>
    <n v="5"/>
    <x v="1"/>
    <x v="1"/>
    <s v="Married"/>
    <s v="Chennai"/>
    <x v="1"/>
    <x v="2"/>
    <s v="Senior"/>
    <s v="High Performer"/>
    <s v="Satisfied"/>
  </r>
  <r>
    <s v="EMP927"/>
    <s v="Neha Kumar"/>
    <x v="0"/>
    <x v="10"/>
    <x v="5"/>
    <s v="Data Analyst"/>
    <x v="2"/>
    <n v="79000"/>
    <n v="5"/>
    <x v="3"/>
    <n v="3"/>
    <x v="0"/>
    <x v="1"/>
    <s v="Married"/>
    <s v="Delhi"/>
    <x v="1"/>
    <x v="2"/>
    <s v="Mid-Level"/>
    <s v="Needs Improvement"/>
    <s v="Neutral"/>
  </r>
  <r>
    <s v="EMP928"/>
    <s v="Rohit Menon"/>
    <x v="1"/>
    <x v="6"/>
    <x v="5"/>
    <s v="Software Engineer"/>
    <x v="1"/>
    <n v="116000"/>
    <n v="9"/>
    <x v="3"/>
    <n v="3"/>
    <x v="0"/>
    <x v="1"/>
    <s v="Married"/>
    <s v="Hyderabad"/>
    <x v="2"/>
    <x v="2"/>
    <s v="Senior"/>
    <s v="Needs Improvement"/>
    <s v="Neutral"/>
  </r>
  <r>
    <s v="EMP929"/>
    <s v="Rohit Kumar"/>
    <x v="0"/>
    <x v="11"/>
    <x v="3"/>
    <s v="Manager"/>
    <x v="2"/>
    <n v="45000"/>
    <n v="16"/>
    <x v="0"/>
    <n v="5"/>
    <x v="0"/>
    <x v="1"/>
    <s v="Single"/>
    <s v="Mumbai"/>
    <x v="0"/>
    <x v="1"/>
    <s v="Senior"/>
    <s v="Needs Improvement"/>
    <s v="Satisfied"/>
  </r>
  <r>
    <s v="EMP930"/>
    <s v="Divya Singh"/>
    <x v="0"/>
    <x v="30"/>
    <x v="3"/>
    <s v="Manager"/>
    <x v="0"/>
    <n v="111000"/>
    <n v="8"/>
    <x v="1"/>
    <n v="5"/>
    <x v="1"/>
    <x v="1"/>
    <s v="Married"/>
    <s v="Chennai"/>
    <x v="3"/>
    <x v="2"/>
    <s v="Senior"/>
    <s v="High Performer"/>
    <s v="Satisfied"/>
  </r>
  <r>
    <s v="EMP931"/>
    <s v="Vivek Patel"/>
    <x v="1"/>
    <x v="3"/>
    <x v="0"/>
    <s v="Recruiter"/>
    <x v="1"/>
    <n v="114000"/>
    <n v="16"/>
    <x v="2"/>
    <n v="5"/>
    <x v="1"/>
    <x v="1"/>
    <s v="Married"/>
    <s v="Chennai"/>
    <x v="2"/>
    <x v="2"/>
    <s v="Senior"/>
    <s v="High Performer"/>
    <s v="Satisfied"/>
  </r>
  <r>
    <s v="EMP932"/>
    <s v="Sanjay Sharma"/>
    <x v="1"/>
    <x v="18"/>
    <x v="2"/>
    <s v="Accountant"/>
    <x v="1"/>
    <n v="60000"/>
    <n v="7"/>
    <x v="2"/>
    <n v="4"/>
    <x v="0"/>
    <x v="1"/>
    <s v="Married"/>
    <s v="Delhi"/>
    <x v="3"/>
    <x v="1"/>
    <s v="Senior"/>
    <s v="High Performer"/>
    <s v="Satisfied"/>
  </r>
  <r>
    <s v="EMP933"/>
    <s v="Priya Kumar"/>
    <x v="1"/>
    <x v="14"/>
    <x v="0"/>
    <s v="Recruiter"/>
    <x v="3"/>
    <n v="80000"/>
    <n v="3"/>
    <x v="2"/>
    <n v="4"/>
    <x v="1"/>
    <x v="1"/>
    <s v="Married"/>
    <s v="Bangalore"/>
    <x v="3"/>
    <x v="2"/>
    <s v="Mid-Level"/>
    <s v="High Performer"/>
    <s v="Satisfied"/>
  </r>
  <r>
    <s v="EMP934"/>
    <s v="Neha Nair"/>
    <x v="1"/>
    <x v="29"/>
    <x v="4"/>
    <s v="Manager"/>
    <x v="0"/>
    <n v="62000"/>
    <n v="0"/>
    <x v="1"/>
    <n v="2"/>
    <x v="1"/>
    <x v="1"/>
    <s v="Single"/>
    <s v="Hyderabad"/>
    <x v="2"/>
    <x v="1"/>
    <s v="Junior"/>
    <s v="High Performer"/>
    <s v="Dissatisfied"/>
  </r>
  <r>
    <s v="EMP935"/>
    <s v="Divya Sharma"/>
    <x v="1"/>
    <x v="13"/>
    <x v="1"/>
    <s v="Manager"/>
    <x v="0"/>
    <n v="107000"/>
    <n v="15"/>
    <x v="3"/>
    <n v="5"/>
    <x v="0"/>
    <x v="0"/>
    <s v="Married"/>
    <s v="Coimbatore"/>
    <x v="0"/>
    <x v="2"/>
    <s v="Senior"/>
    <s v="Needs Improvement"/>
    <s v="Satisfied"/>
  </r>
  <r>
    <s v="EMP936"/>
    <s v="Sanjay Raj"/>
    <x v="0"/>
    <x v="33"/>
    <x v="1"/>
    <s v="Manager"/>
    <x v="0"/>
    <n v="43000"/>
    <n v="16"/>
    <x v="2"/>
    <n v="5"/>
    <x v="1"/>
    <x v="1"/>
    <s v="Single"/>
    <s v="Hyderabad"/>
    <x v="0"/>
    <x v="1"/>
    <s v="Senior"/>
    <s v="High Performer"/>
    <s v="Satisfied"/>
  </r>
  <r>
    <s v="EMP937"/>
    <s v="Rahul Singh"/>
    <x v="1"/>
    <x v="14"/>
    <x v="3"/>
    <s v="Manager"/>
    <x v="0"/>
    <n v="105000"/>
    <n v="3"/>
    <x v="1"/>
    <n v="1"/>
    <x v="1"/>
    <x v="1"/>
    <s v="Single"/>
    <s v="Coimbatore"/>
    <x v="3"/>
    <x v="2"/>
    <s v="Mid-Level"/>
    <s v="High Performer"/>
    <s v="Dissatisfied"/>
  </r>
  <r>
    <s v="EMP938"/>
    <s v="Vivek Raj"/>
    <x v="0"/>
    <x v="5"/>
    <x v="3"/>
    <s v="Executive"/>
    <x v="1"/>
    <n v="60000"/>
    <n v="1"/>
    <x v="2"/>
    <n v="2"/>
    <x v="1"/>
    <x v="1"/>
    <s v="Single"/>
    <s v="Pune"/>
    <x v="0"/>
    <x v="1"/>
    <s v="Junior"/>
    <s v="High Performer"/>
    <s v="Dissatisfied"/>
  </r>
  <r>
    <s v="EMP939"/>
    <s v="Sanjay Singh"/>
    <x v="1"/>
    <x v="20"/>
    <x v="1"/>
    <s v="Executive"/>
    <x v="1"/>
    <n v="61000"/>
    <n v="11"/>
    <x v="3"/>
    <n v="2"/>
    <x v="1"/>
    <x v="1"/>
    <s v="Single"/>
    <s v="Bangalore"/>
    <x v="0"/>
    <x v="1"/>
    <s v="Senior"/>
    <s v="Needs Improvement"/>
    <s v="Dissatisfied"/>
  </r>
  <r>
    <s v="EMP940"/>
    <s v="Anjali Kumar"/>
    <x v="1"/>
    <x v="24"/>
    <x v="3"/>
    <s v="Executive"/>
    <x v="2"/>
    <n v="103000"/>
    <n v="6"/>
    <x v="0"/>
    <n v="3"/>
    <x v="0"/>
    <x v="0"/>
    <s v="Single"/>
    <s v="Mumbai"/>
    <x v="2"/>
    <x v="2"/>
    <s v="Mid-Level"/>
    <s v="Needs Improvement"/>
    <s v="Neutral"/>
  </r>
  <r>
    <s v="EMP941"/>
    <s v="Pooja Sharma"/>
    <x v="0"/>
    <x v="30"/>
    <x v="5"/>
    <s v="Data Analyst"/>
    <x v="3"/>
    <n v="79000"/>
    <n v="8"/>
    <x v="3"/>
    <n v="5"/>
    <x v="0"/>
    <x v="0"/>
    <s v="Single"/>
    <s v="Hyderabad"/>
    <x v="3"/>
    <x v="2"/>
    <s v="Senior"/>
    <s v="Needs Improvement"/>
    <s v="Satisfied"/>
  </r>
  <r>
    <s v="EMP942"/>
    <s v="Sanjay Kumar"/>
    <x v="1"/>
    <x v="23"/>
    <x v="4"/>
    <s v="Executive"/>
    <x v="2"/>
    <n v="104000"/>
    <n v="4"/>
    <x v="0"/>
    <n v="1"/>
    <x v="0"/>
    <x v="0"/>
    <s v="Married"/>
    <s v="Pune"/>
    <x v="3"/>
    <x v="2"/>
    <s v="Mid-Level"/>
    <s v="Needs Improvement"/>
    <s v="Dissatisfied"/>
  </r>
  <r>
    <s v="EMP943"/>
    <s v="Rahul Singh"/>
    <x v="1"/>
    <x v="31"/>
    <x v="3"/>
    <s v="Executive"/>
    <x v="0"/>
    <n v="38000"/>
    <n v="2"/>
    <x v="3"/>
    <n v="3"/>
    <x v="0"/>
    <x v="1"/>
    <s v="Married"/>
    <s v="Kochi"/>
    <x v="3"/>
    <x v="0"/>
    <s v="Junior"/>
    <s v="Needs Improvement"/>
    <s v="Neutral"/>
  </r>
  <r>
    <s v="EMP944"/>
    <s v="Nisha Nair"/>
    <x v="0"/>
    <x v="19"/>
    <x v="5"/>
    <s v="Software Engineer"/>
    <x v="2"/>
    <n v="86000"/>
    <n v="11"/>
    <x v="0"/>
    <n v="3"/>
    <x v="1"/>
    <x v="1"/>
    <s v="Married"/>
    <s v="Mumbai"/>
    <x v="2"/>
    <x v="2"/>
    <s v="Senior"/>
    <s v="Needs Improvement"/>
    <s v="Neutral"/>
  </r>
  <r>
    <s v="EMP945"/>
    <s v="Rohit Reddy"/>
    <x v="1"/>
    <x v="24"/>
    <x v="4"/>
    <s v="Executive"/>
    <x v="1"/>
    <n v="115000"/>
    <n v="2"/>
    <x v="0"/>
    <n v="4"/>
    <x v="0"/>
    <x v="0"/>
    <s v="Married"/>
    <s v="Bangalore"/>
    <x v="2"/>
    <x v="2"/>
    <s v="Junior"/>
    <s v="Needs Improvement"/>
    <s v="Satisfied"/>
  </r>
  <r>
    <s v="EMP946"/>
    <s v="Pooja Sharma"/>
    <x v="0"/>
    <x v="29"/>
    <x v="4"/>
    <s v="Executive"/>
    <x v="2"/>
    <n v="44000"/>
    <n v="14"/>
    <x v="0"/>
    <n v="5"/>
    <x v="0"/>
    <x v="1"/>
    <s v="Married"/>
    <s v="Mumbai"/>
    <x v="2"/>
    <x v="1"/>
    <s v="Senior"/>
    <s v="Needs Improvement"/>
    <s v="Satisfied"/>
  </r>
  <r>
    <s v="EMP947"/>
    <s v="Nisha Iyer"/>
    <x v="1"/>
    <x v="17"/>
    <x v="2"/>
    <s v="Analyst"/>
    <x v="0"/>
    <n v="38000"/>
    <n v="1"/>
    <x v="1"/>
    <n v="4"/>
    <x v="0"/>
    <x v="1"/>
    <s v="Single"/>
    <s v="Delhi"/>
    <x v="3"/>
    <x v="0"/>
    <s v="Junior"/>
    <s v="High Performer"/>
    <s v="Satisfied"/>
  </r>
  <r>
    <s v="EMP948"/>
    <s v="Arjun Nair"/>
    <x v="1"/>
    <x v="21"/>
    <x v="0"/>
    <s v="HR Executive"/>
    <x v="0"/>
    <n v="107000"/>
    <n v="5"/>
    <x v="3"/>
    <n v="3"/>
    <x v="1"/>
    <x v="1"/>
    <s v="Single"/>
    <s v="Coimbatore"/>
    <x v="3"/>
    <x v="2"/>
    <s v="Mid-Level"/>
    <s v="Needs Improvement"/>
    <s v="Neutral"/>
  </r>
  <r>
    <s v="EMP949"/>
    <s v="Rahul Nair"/>
    <x v="1"/>
    <x v="12"/>
    <x v="4"/>
    <s v="Executive"/>
    <x v="2"/>
    <n v="75000"/>
    <n v="6"/>
    <x v="0"/>
    <n v="1"/>
    <x v="1"/>
    <x v="1"/>
    <s v="Married"/>
    <s v="Chennai"/>
    <x v="3"/>
    <x v="2"/>
    <s v="Mid-Level"/>
    <s v="Needs Improvement"/>
    <s v="Dissatisfied"/>
  </r>
  <r>
    <s v="EMP950"/>
    <s v="Meera Kumar"/>
    <x v="0"/>
    <x v="12"/>
    <x v="4"/>
    <s v="Executive"/>
    <x v="2"/>
    <n v="31000"/>
    <n v="6"/>
    <x v="3"/>
    <n v="4"/>
    <x v="1"/>
    <x v="1"/>
    <s v="Single"/>
    <s v="Pune"/>
    <x v="3"/>
    <x v="0"/>
    <s v="Mid-Level"/>
    <s v="Needs Improvement"/>
    <s v="Satisfied"/>
  </r>
  <r>
    <s v="EMP951"/>
    <s v="Neha Nair"/>
    <x v="1"/>
    <x v="25"/>
    <x v="3"/>
    <s v="Manager"/>
    <x v="3"/>
    <n v="39000"/>
    <n v="17"/>
    <x v="2"/>
    <n v="3"/>
    <x v="0"/>
    <x v="1"/>
    <s v="Single"/>
    <s v="Pune"/>
    <x v="0"/>
    <x v="0"/>
    <s v="Senior"/>
    <s v="High Performer"/>
    <s v="Neutral"/>
  </r>
  <r>
    <s v="EMP952"/>
    <s v="Vivek Verma"/>
    <x v="1"/>
    <x v="25"/>
    <x v="3"/>
    <s v="Executive"/>
    <x v="0"/>
    <n v="34000"/>
    <n v="13"/>
    <x v="1"/>
    <n v="4"/>
    <x v="1"/>
    <x v="1"/>
    <s v="Married"/>
    <s v="Pune"/>
    <x v="0"/>
    <x v="0"/>
    <s v="Senior"/>
    <s v="High Performer"/>
    <s v="Satisfied"/>
  </r>
  <r>
    <s v="EMP953"/>
    <s v="Karthik Nair"/>
    <x v="1"/>
    <x v="33"/>
    <x v="1"/>
    <s v="Executive"/>
    <x v="0"/>
    <n v="28000"/>
    <n v="19"/>
    <x v="2"/>
    <n v="3"/>
    <x v="1"/>
    <x v="1"/>
    <s v="Married"/>
    <s v="Pune"/>
    <x v="0"/>
    <x v="0"/>
    <s v="Senior"/>
    <s v="High Performer"/>
    <s v="Neutral"/>
  </r>
  <r>
    <s v="EMP954"/>
    <s v="Ajay Sharma"/>
    <x v="1"/>
    <x v="7"/>
    <x v="0"/>
    <s v="Recruiter"/>
    <x v="0"/>
    <n v="51000"/>
    <n v="1"/>
    <x v="1"/>
    <n v="1"/>
    <x v="1"/>
    <x v="1"/>
    <s v="Married"/>
    <s v="Bangalore"/>
    <x v="0"/>
    <x v="1"/>
    <s v="Junior"/>
    <s v="High Performer"/>
    <s v="Dissatisfied"/>
  </r>
  <r>
    <s v="EMP955"/>
    <s v="Ajay Reddy"/>
    <x v="0"/>
    <x v="24"/>
    <x v="3"/>
    <s v="Manager"/>
    <x v="1"/>
    <n v="117000"/>
    <n v="7"/>
    <x v="2"/>
    <n v="3"/>
    <x v="0"/>
    <x v="1"/>
    <s v="Married"/>
    <s v="Hyderabad"/>
    <x v="2"/>
    <x v="2"/>
    <s v="Senior"/>
    <s v="High Performer"/>
    <s v="Neutral"/>
  </r>
  <r>
    <s v="EMP956"/>
    <s v="Priya Nair"/>
    <x v="0"/>
    <x v="29"/>
    <x v="5"/>
    <s v="Software Engineer"/>
    <x v="0"/>
    <n v="96000"/>
    <n v="14"/>
    <x v="0"/>
    <n v="2"/>
    <x v="0"/>
    <x v="1"/>
    <s v="Single"/>
    <s v="Pune"/>
    <x v="2"/>
    <x v="2"/>
    <s v="Senior"/>
    <s v="Needs Improvement"/>
    <s v="Dissatisfied"/>
  </r>
  <r>
    <s v="EMP957"/>
    <s v="Arjun Raj"/>
    <x v="1"/>
    <x v="12"/>
    <x v="0"/>
    <s v="HR Executive"/>
    <x v="0"/>
    <n v="66000"/>
    <n v="6"/>
    <x v="1"/>
    <n v="5"/>
    <x v="0"/>
    <x v="0"/>
    <s v="Married"/>
    <s v="Pune"/>
    <x v="3"/>
    <x v="1"/>
    <s v="Mid-Level"/>
    <s v="High Performer"/>
    <s v="Satisfied"/>
  </r>
  <r>
    <s v="EMP958"/>
    <s v="Neha Iyer"/>
    <x v="0"/>
    <x v="17"/>
    <x v="2"/>
    <s v="Analyst"/>
    <x v="1"/>
    <n v="94000"/>
    <n v="1"/>
    <x v="0"/>
    <n v="4"/>
    <x v="1"/>
    <x v="1"/>
    <s v="Married"/>
    <s v="Hyderabad"/>
    <x v="3"/>
    <x v="2"/>
    <s v="Junior"/>
    <s v="Needs Improvement"/>
    <s v="Satisfied"/>
  </r>
  <r>
    <s v="EMP959"/>
    <s v="Nisha Singh"/>
    <x v="1"/>
    <x v="14"/>
    <x v="1"/>
    <s v="Manager"/>
    <x v="2"/>
    <n v="109000"/>
    <n v="3"/>
    <x v="3"/>
    <n v="1"/>
    <x v="0"/>
    <x v="1"/>
    <s v="Single"/>
    <s v="Hyderabad"/>
    <x v="3"/>
    <x v="2"/>
    <s v="Mid-Level"/>
    <s v="Needs Improvement"/>
    <s v="Dissatisfied"/>
  </r>
  <r>
    <s v="EMP960"/>
    <s v="Pooja Menon"/>
    <x v="0"/>
    <x v="4"/>
    <x v="1"/>
    <s v="Manager"/>
    <x v="0"/>
    <n v="109000"/>
    <n v="13"/>
    <x v="0"/>
    <n v="1"/>
    <x v="0"/>
    <x v="0"/>
    <s v="Single"/>
    <s v="Delhi"/>
    <x v="2"/>
    <x v="2"/>
    <s v="Senior"/>
    <s v="Needs Improvement"/>
    <s v="Dissatisfied"/>
  </r>
  <r>
    <s v="EMP961"/>
    <s v="Rahul Raj"/>
    <x v="1"/>
    <x v="18"/>
    <x v="4"/>
    <s v="Executive"/>
    <x v="3"/>
    <n v="93000"/>
    <n v="7"/>
    <x v="1"/>
    <n v="1"/>
    <x v="0"/>
    <x v="1"/>
    <s v="Single"/>
    <s v="Pune"/>
    <x v="3"/>
    <x v="2"/>
    <s v="Senior"/>
    <s v="High Performer"/>
    <s v="Dissatisfied"/>
  </r>
  <r>
    <s v="EMP962"/>
    <s v="Meera Menon"/>
    <x v="0"/>
    <x v="2"/>
    <x v="0"/>
    <s v="Recruiter"/>
    <x v="3"/>
    <n v="72000"/>
    <n v="2"/>
    <x v="1"/>
    <n v="4"/>
    <x v="1"/>
    <x v="1"/>
    <s v="Single"/>
    <s v="Delhi"/>
    <x v="2"/>
    <x v="2"/>
    <s v="Junior"/>
    <s v="High Performer"/>
    <s v="Satisfied"/>
  </r>
  <r>
    <s v="EMP963"/>
    <s v="Rahul Menon"/>
    <x v="0"/>
    <x v="26"/>
    <x v="4"/>
    <s v="Executive"/>
    <x v="0"/>
    <n v="41000"/>
    <n v="11"/>
    <x v="2"/>
    <n v="1"/>
    <x v="0"/>
    <x v="0"/>
    <s v="Married"/>
    <s v="Chennai"/>
    <x v="2"/>
    <x v="1"/>
    <s v="Senior"/>
    <s v="High Performer"/>
    <s v="Dissatisfied"/>
  </r>
  <r>
    <s v="EMP964"/>
    <s v="Rohit Nair"/>
    <x v="1"/>
    <x v="18"/>
    <x v="1"/>
    <s v="Executive"/>
    <x v="1"/>
    <n v="35000"/>
    <n v="7"/>
    <x v="2"/>
    <n v="2"/>
    <x v="1"/>
    <x v="1"/>
    <s v="Married"/>
    <s v="Hyderabad"/>
    <x v="3"/>
    <x v="0"/>
    <s v="Senior"/>
    <s v="High Performer"/>
    <s v="Dissatisfied"/>
  </r>
  <r>
    <s v="EMP965"/>
    <s v="Anjali Verma"/>
    <x v="1"/>
    <x v="15"/>
    <x v="3"/>
    <s v="Executive"/>
    <x v="0"/>
    <n v="113000"/>
    <n v="12"/>
    <x v="0"/>
    <n v="5"/>
    <x v="0"/>
    <x v="1"/>
    <s v="Single"/>
    <s v="Kochi"/>
    <x v="1"/>
    <x v="2"/>
    <s v="Senior"/>
    <s v="Needs Improvement"/>
    <s v="Satisfied"/>
  </r>
  <r>
    <s v="EMP966"/>
    <s v="Pooja Sharma"/>
    <x v="0"/>
    <x v="32"/>
    <x v="1"/>
    <s v="Executive"/>
    <x v="2"/>
    <n v="97000"/>
    <n v="12"/>
    <x v="3"/>
    <n v="5"/>
    <x v="0"/>
    <x v="1"/>
    <s v="Married"/>
    <s v="Pune"/>
    <x v="1"/>
    <x v="2"/>
    <s v="Senior"/>
    <s v="Needs Improvement"/>
    <s v="Satisfied"/>
  </r>
  <r>
    <s v="EMP967"/>
    <s v="Rahul Reddy"/>
    <x v="1"/>
    <x v="7"/>
    <x v="1"/>
    <s v="Manager"/>
    <x v="3"/>
    <n v="96000"/>
    <n v="3"/>
    <x v="2"/>
    <n v="1"/>
    <x v="1"/>
    <x v="1"/>
    <s v="Married"/>
    <s v="Hyderabad"/>
    <x v="0"/>
    <x v="2"/>
    <s v="Mid-Level"/>
    <s v="High Performer"/>
    <s v="Dissatisfied"/>
  </r>
  <r>
    <s v="EMP968"/>
    <s v="Rahul Reddy"/>
    <x v="1"/>
    <x v="7"/>
    <x v="4"/>
    <s v="Executive"/>
    <x v="2"/>
    <n v="69000"/>
    <n v="3"/>
    <x v="3"/>
    <n v="3"/>
    <x v="0"/>
    <x v="1"/>
    <s v="Single"/>
    <s v="Chennai"/>
    <x v="0"/>
    <x v="1"/>
    <s v="Mid-Level"/>
    <s v="Needs Improvement"/>
    <s v="Neutral"/>
  </r>
  <r>
    <s v="EMP969"/>
    <s v="Divya Raj"/>
    <x v="1"/>
    <x v="4"/>
    <x v="2"/>
    <s v="Accountant"/>
    <x v="1"/>
    <n v="79000"/>
    <n v="13"/>
    <x v="0"/>
    <n v="1"/>
    <x v="0"/>
    <x v="0"/>
    <s v="Married"/>
    <s v="Pune"/>
    <x v="2"/>
    <x v="2"/>
    <s v="Senior"/>
    <s v="Needs Improvement"/>
    <s v="Dissatisfied"/>
  </r>
  <r>
    <s v="EMP970"/>
    <s v="Priya Sharma"/>
    <x v="1"/>
    <x v="33"/>
    <x v="2"/>
    <s v="Accountant"/>
    <x v="2"/>
    <n v="89000"/>
    <n v="5"/>
    <x v="0"/>
    <n v="4"/>
    <x v="0"/>
    <x v="1"/>
    <s v="Single"/>
    <s v="Pune"/>
    <x v="0"/>
    <x v="2"/>
    <s v="Mid-Level"/>
    <s v="Needs Improvement"/>
    <s v="Satisfied"/>
  </r>
  <r>
    <s v="EMP971"/>
    <s v="Karthik Menon"/>
    <x v="1"/>
    <x v="4"/>
    <x v="4"/>
    <s v="Manager"/>
    <x v="0"/>
    <n v="74000"/>
    <n v="13"/>
    <x v="2"/>
    <n v="1"/>
    <x v="0"/>
    <x v="0"/>
    <s v="Married"/>
    <s v="Chennai"/>
    <x v="2"/>
    <x v="2"/>
    <s v="Senior"/>
    <s v="High Performer"/>
    <s v="Dissatisfied"/>
  </r>
  <r>
    <s v="EMP972"/>
    <s v="Pooja Kumar"/>
    <x v="1"/>
    <x v="18"/>
    <x v="2"/>
    <s v="Analyst"/>
    <x v="3"/>
    <n v="62000"/>
    <n v="7"/>
    <x v="0"/>
    <n v="5"/>
    <x v="0"/>
    <x v="0"/>
    <s v="Single"/>
    <s v="Kochi"/>
    <x v="3"/>
    <x v="1"/>
    <s v="Senior"/>
    <s v="Needs Improvement"/>
    <s v="Satisfied"/>
  </r>
  <r>
    <s v="EMP973"/>
    <s v="Divya Iyer"/>
    <x v="0"/>
    <x v="28"/>
    <x v="3"/>
    <s v="Executive"/>
    <x v="2"/>
    <n v="85000"/>
    <n v="3"/>
    <x v="1"/>
    <n v="2"/>
    <x v="1"/>
    <x v="1"/>
    <s v="Married"/>
    <s v="Chennai"/>
    <x v="0"/>
    <x v="2"/>
    <s v="Mid-Level"/>
    <s v="High Performer"/>
    <s v="Dissatisfied"/>
  </r>
  <r>
    <s v="EMP974"/>
    <s v="Vivek Singh"/>
    <x v="1"/>
    <x v="27"/>
    <x v="5"/>
    <s v="Software Engineer"/>
    <x v="0"/>
    <n v="48000"/>
    <n v="5"/>
    <x v="1"/>
    <n v="3"/>
    <x v="0"/>
    <x v="1"/>
    <s v="Married"/>
    <s v="Kochi"/>
    <x v="1"/>
    <x v="1"/>
    <s v="Mid-Level"/>
    <s v="High Performer"/>
    <s v="Neutral"/>
  </r>
  <r>
    <s v="EMP975"/>
    <s v="Nisha Reddy"/>
    <x v="1"/>
    <x v="12"/>
    <x v="4"/>
    <s v="Executive"/>
    <x v="3"/>
    <n v="63000"/>
    <n v="6"/>
    <x v="0"/>
    <n v="3"/>
    <x v="0"/>
    <x v="1"/>
    <s v="Married"/>
    <s v="Delhi"/>
    <x v="3"/>
    <x v="1"/>
    <s v="Mid-Level"/>
    <s v="Needs Improvement"/>
    <s v="Neutral"/>
  </r>
  <r>
    <s v="EMP976"/>
    <s v="Neha Sharma"/>
    <x v="0"/>
    <x v="16"/>
    <x v="1"/>
    <s v="Manager"/>
    <x v="1"/>
    <n v="114000"/>
    <n v="1"/>
    <x v="0"/>
    <n v="2"/>
    <x v="1"/>
    <x v="1"/>
    <s v="Single"/>
    <s v="Coimbatore"/>
    <x v="2"/>
    <x v="2"/>
    <s v="Junior"/>
    <s v="Needs Improvement"/>
    <s v="Dissatisfied"/>
  </r>
  <r>
    <s v="EMP977"/>
    <s v="Amit Reddy"/>
    <x v="0"/>
    <x v="25"/>
    <x v="1"/>
    <s v="Manager"/>
    <x v="0"/>
    <n v="71000"/>
    <n v="17"/>
    <x v="1"/>
    <n v="2"/>
    <x v="1"/>
    <x v="1"/>
    <s v="Married"/>
    <s v="Kochi"/>
    <x v="0"/>
    <x v="2"/>
    <s v="Senior"/>
    <s v="High Performer"/>
    <s v="Dissatisfied"/>
  </r>
  <r>
    <s v="EMP978"/>
    <s v="Nisha Iyer"/>
    <x v="1"/>
    <x v="26"/>
    <x v="3"/>
    <s v="Manager"/>
    <x v="0"/>
    <n v="106000"/>
    <n v="2"/>
    <x v="2"/>
    <n v="3"/>
    <x v="1"/>
    <x v="1"/>
    <s v="Married"/>
    <s v="Pune"/>
    <x v="2"/>
    <x v="2"/>
    <s v="Junior"/>
    <s v="High Performer"/>
    <s v="Neutral"/>
  </r>
  <r>
    <s v="EMP979"/>
    <s v="Sneha Singh"/>
    <x v="0"/>
    <x v="24"/>
    <x v="3"/>
    <s v="Executive"/>
    <x v="2"/>
    <n v="43000"/>
    <n v="2"/>
    <x v="3"/>
    <n v="3"/>
    <x v="1"/>
    <x v="1"/>
    <s v="Married"/>
    <s v="Kochi"/>
    <x v="2"/>
    <x v="1"/>
    <s v="Junior"/>
    <s v="Needs Improvement"/>
    <s v="Neutral"/>
  </r>
  <r>
    <s v="EMP980"/>
    <s v="Nisha Raj"/>
    <x v="1"/>
    <x v="11"/>
    <x v="4"/>
    <s v="Executive"/>
    <x v="0"/>
    <n v="61000"/>
    <n v="5"/>
    <x v="2"/>
    <n v="5"/>
    <x v="1"/>
    <x v="1"/>
    <s v="Married"/>
    <s v="Coimbatore"/>
    <x v="0"/>
    <x v="1"/>
    <s v="Mid-Level"/>
    <s v="High Performer"/>
    <s v="Satisfied"/>
  </r>
  <r>
    <s v="EMP981"/>
    <s v="Sneha Singh"/>
    <x v="0"/>
    <x v="14"/>
    <x v="0"/>
    <s v="Recruiter"/>
    <x v="3"/>
    <n v="67000"/>
    <n v="3"/>
    <x v="3"/>
    <n v="4"/>
    <x v="0"/>
    <x v="1"/>
    <s v="Married"/>
    <s v="Coimbatore"/>
    <x v="3"/>
    <x v="1"/>
    <s v="Mid-Level"/>
    <s v="Needs Improvement"/>
    <s v="Satisfied"/>
  </r>
  <r>
    <s v="EMP982"/>
    <s v="Sanjay Patel"/>
    <x v="0"/>
    <x v="28"/>
    <x v="4"/>
    <s v="Executive"/>
    <x v="2"/>
    <n v="110000"/>
    <n v="20"/>
    <x v="3"/>
    <n v="1"/>
    <x v="1"/>
    <x v="0"/>
    <s v="Single"/>
    <s v="Chennai"/>
    <x v="0"/>
    <x v="2"/>
    <s v="Senior"/>
    <s v="Needs Improvement"/>
    <s v="Dissatisfied"/>
  </r>
  <r>
    <s v="EMP983"/>
    <s v="Rohit Raj"/>
    <x v="0"/>
    <x v="33"/>
    <x v="2"/>
    <s v="Analyst"/>
    <x v="1"/>
    <n v="30000"/>
    <n v="19"/>
    <x v="2"/>
    <n v="3"/>
    <x v="1"/>
    <x v="1"/>
    <s v="Single"/>
    <s v="Pune"/>
    <x v="0"/>
    <x v="0"/>
    <s v="Senior"/>
    <s v="High Performer"/>
    <s v="Neutral"/>
  </r>
  <r>
    <s v="EMP984"/>
    <s v="Neha Patel"/>
    <x v="0"/>
    <x v="19"/>
    <x v="5"/>
    <s v="Data Analyst"/>
    <x v="3"/>
    <n v="29000"/>
    <n v="9"/>
    <x v="2"/>
    <n v="3"/>
    <x v="1"/>
    <x v="1"/>
    <s v="Married"/>
    <s v="Kochi"/>
    <x v="2"/>
    <x v="0"/>
    <s v="Senior"/>
    <s v="High Performer"/>
    <s v="Neutral"/>
  </r>
  <r>
    <s v="EMP985"/>
    <s v="Karthik Menon"/>
    <x v="1"/>
    <x v="25"/>
    <x v="2"/>
    <s v="Accountant"/>
    <x v="3"/>
    <n v="88000"/>
    <n v="15"/>
    <x v="1"/>
    <n v="5"/>
    <x v="0"/>
    <x v="1"/>
    <s v="Married"/>
    <s v="Pune"/>
    <x v="0"/>
    <x v="2"/>
    <s v="Senior"/>
    <s v="High Performer"/>
    <s v="Satisfied"/>
  </r>
  <r>
    <s v="EMP986"/>
    <s v="Priya Verma"/>
    <x v="0"/>
    <x v="24"/>
    <x v="4"/>
    <s v="Manager"/>
    <x v="3"/>
    <n v="106000"/>
    <n v="10"/>
    <x v="3"/>
    <n v="5"/>
    <x v="1"/>
    <x v="1"/>
    <s v="Married"/>
    <s v="Pune"/>
    <x v="2"/>
    <x v="2"/>
    <s v="Senior"/>
    <s v="Needs Improvement"/>
    <s v="Satisfied"/>
  </r>
  <r>
    <s v="EMP987"/>
    <s v="Vivek Verma"/>
    <x v="1"/>
    <x v="14"/>
    <x v="1"/>
    <s v="Manager"/>
    <x v="3"/>
    <n v="53000"/>
    <n v="3"/>
    <x v="0"/>
    <n v="5"/>
    <x v="0"/>
    <x v="1"/>
    <s v="Married"/>
    <s v="Chennai"/>
    <x v="3"/>
    <x v="1"/>
    <s v="Mid-Level"/>
    <s v="Needs Improvement"/>
    <s v="Satisfied"/>
  </r>
  <r>
    <s v="EMP988"/>
    <s v="Nisha Raj"/>
    <x v="1"/>
    <x v="18"/>
    <x v="0"/>
    <s v="HR Executive"/>
    <x v="3"/>
    <n v="108000"/>
    <n v="7"/>
    <x v="1"/>
    <n v="2"/>
    <x v="1"/>
    <x v="1"/>
    <s v="Single"/>
    <s v="Kochi"/>
    <x v="3"/>
    <x v="2"/>
    <s v="Senior"/>
    <s v="High Performer"/>
    <s v="Dissatisfied"/>
  </r>
  <r>
    <s v="EMP989"/>
    <s v="Rohit Patel"/>
    <x v="1"/>
    <x v="12"/>
    <x v="4"/>
    <s v="Executive"/>
    <x v="2"/>
    <n v="100000"/>
    <n v="6"/>
    <x v="2"/>
    <n v="1"/>
    <x v="0"/>
    <x v="0"/>
    <s v="Single"/>
    <s v="Bangalore"/>
    <x v="3"/>
    <x v="2"/>
    <s v="Mid-Level"/>
    <s v="High Performer"/>
    <s v="Dissatisfied"/>
  </r>
  <r>
    <s v="EMP990"/>
    <s v="Sneha Menon"/>
    <x v="1"/>
    <x v="7"/>
    <x v="3"/>
    <s v="Manager"/>
    <x v="0"/>
    <n v="37000"/>
    <n v="2"/>
    <x v="1"/>
    <n v="1"/>
    <x v="1"/>
    <x v="1"/>
    <s v="Married"/>
    <s v="Mumbai"/>
    <x v="0"/>
    <x v="0"/>
    <s v="Junior"/>
    <s v="High Performer"/>
    <s v="Dissatisfied"/>
  </r>
  <r>
    <s v="EMP991"/>
    <s v="Vivek Menon"/>
    <x v="0"/>
    <x v="29"/>
    <x v="1"/>
    <s v="Executive"/>
    <x v="1"/>
    <n v="113000"/>
    <n v="2"/>
    <x v="3"/>
    <n v="3"/>
    <x v="1"/>
    <x v="1"/>
    <s v="Single"/>
    <s v="Coimbatore"/>
    <x v="2"/>
    <x v="2"/>
    <s v="Junior"/>
    <s v="Needs Improvement"/>
    <s v="Neutral"/>
  </r>
  <r>
    <s v="EMP992"/>
    <s v="Meera Raj"/>
    <x v="1"/>
    <x v="26"/>
    <x v="4"/>
    <s v="Manager"/>
    <x v="0"/>
    <n v="39000"/>
    <n v="11"/>
    <x v="1"/>
    <n v="4"/>
    <x v="0"/>
    <x v="1"/>
    <s v="Single"/>
    <s v="Bangalore"/>
    <x v="2"/>
    <x v="0"/>
    <s v="Senior"/>
    <s v="High Performer"/>
    <s v="Satisfied"/>
  </r>
  <r>
    <s v="EMP993"/>
    <s v="Pooja Sharma"/>
    <x v="1"/>
    <x v="11"/>
    <x v="3"/>
    <s v="Manager"/>
    <x v="0"/>
    <n v="45000"/>
    <n v="13"/>
    <x v="1"/>
    <n v="2"/>
    <x v="1"/>
    <x v="1"/>
    <s v="Married"/>
    <s v="Delhi"/>
    <x v="0"/>
    <x v="1"/>
    <s v="Senior"/>
    <s v="High Performer"/>
    <s v="Dissatisfied"/>
  </r>
  <r>
    <s v="EMP994"/>
    <s v="Vivek Iyer"/>
    <x v="1"/>
    <x v="28"/>
    <x v="2"/>
    <s v="Accountant"/>
    <x v="0"/>
    <n v="55000"/>
    <n v="9"/>
    <x v="2"/>
    <n v="3"/>
    <x v="1"/>
    <x v="1"/>
    <s v="Married"/>
    <s v="Delhi"/>
    <x v="0"/>
    <x v="1"/>
    <s v="Senior"/>
    <s v="High Performer"/>
    <s v="Neutral"/>
  </r>
  <r>
    <s v="EMP995"/>
    <s v="Sneha Patel"/>
    <x v="0"/>
    <x v="20"/>
    <x v="4"/>
    <s v="Manager"/>
    <x v="1"/>
    <n v="75000"/>
    <n v="6"/>
    <x v="0"/>
    <n v="5"/>
    <x v="1"/>
    <x v="1"/>
    <s v="Single"/>
    <s v="Chennai"/>
    <x v="0"/>
    <x v="2"/>
    <s v="Mid-Level"/>
    <s v="Needs Improvement"/>
    <s v="Satisfied"/>
  </r>
  <r>
    <s v="EMP996"/>
    <s v="Anjali Nair"/>
    <x v="0"/>
    <x v="18"/>
    <x v="0"/>
    <s v="HR Executive"/>
    <x v="1"/>
    <n v="93000"/>
    <n v="7"/>
    <x v="0"/>
    <n v="5"/>
    <x v="0"/>
    <x v="1"/>
    <s v="Married"/>
    <s v="Bangalore"/>
    <x v="3"/>
    <x v="2"/>
    <s v="Senior"/>
    <s v="Needs Improvement"/>
    <s v="Satisfied"/>
  </r>
  <r>
    <s v="EMP997"/>
    <s v="Divya Sharma"/>
    <x v="1"/>
    <x v="22"/>
    <x v="0"/>
    <s v="HR Executive"/>
    <x v="1"/>
    <n v="66000"/>
    <n v="12"/>
    <x v="0"/>
    <n v="4"/>
    <x v="1"/>
    <x v="1"/>
    <s v="Married"/>
    <s v="Bangalore"/>
    <x v="2"/>
    <x v="1"/>
    <s v="Senior"/>
    <s v="Needs Improvement"/>
    <s v="Satisfied"/>
  </r>
  <r>
    <s v="EMP998"/>
    <s v="Arjun Nair"/>
    <x v="1"/>
    <x v="20"/>
    <x v="3"/>
    <s v="Manager"/>
    <x v="1"/>
    <n v="30000"/>
    <n v="6"/>
    <x v="2"/>
    <n v="2"/>
    <x v="0"/>
    <x v="0"/>
    <s v="Married"/>
    <s v="Kochi"/>
    <x v="0"/>
    <x v="0"/>
    <s v="Mid-Level"/>
    <s v="High Performer"/>
    <s v="Dissatisfied"/>
  </r>
  <r>
    <s v="EMP999"/>
    <s v="Karthik Singh"/>
    <x v="1"/>
    <x v="10"/>
    <x v="1"/>
    <s v="Manager"/>
    <x v="3"/>
    <n v="81000"/>
    <n v="8"/>
    <x v="0"/>
    <n v="3"/>
    <x v="1"/>
    <x v="1"/>
    <s v="Married"/>
    <s v="Delhi"/>
    <x v="1"/>
    <x v="2"/>
    <s v="Senior"/>
    <s v="Needs Improvement"/>
    <s v="Neutral"/>
  </r>
  <r>
    <s v="EMP1000"/>
    <s v="Rohit Sharma"/>
    <x v="1"/>
    <x v="20"/>
    <x v="1"/>
    <s v="Manager"/>
    <x v="3"/>
    <n v="41000"/>
    <n v="1"/>
    <x v="1"/>
    <n v="5"/>
    <x v="1"/>
    <x v="1"/>
    <s v="Single"/>
    <s v="Kochi"/>
    <x v="0"/>
    <x v="1"/>
    <s v="Junior"/>
    <s v="High Performer"/>
    <s v="Satisfi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E460DA-9C72-489F-853A-4632D0817B7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
  <location ref="A9:B16" firstHeaderRow="1" firstDataRow="1" firstDataCol="1"/>
  <pivotFields count="20">
    <pivotField dataField="1" showAll="0"/>
    <pivotField showAll="0"/>
    <pivotField showAll="0">
      <items count="3">
        <item x="0"/>
        <item x="1"/>
        <item t="default"/>
      </items>
    </pivotField>
    <pivotField showAll="0"/>
    <pivotField axis="axisRow" showAll="0" sortType="descending">
      <items count="7">
        <item x="2"/>
        <item x="0"/>
        <item x="5"/>
        <item x="1"/>
        <item x="4"/>
        <item x="3"/>
        <item t="default"/>
      </items>
      <autoSortScope>
        <pivotArea dataOnly="0" outline="0" fieldPosition="0">
          <references count="1">
            <reference field="4294967294" count="1" selected="0">
              <x v="0"/>
            </reference>
          </references>
        </pivotArea>
      </autoSortScope>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Fields count="1">
    <field x="4"/>
  </rowFields>
  <rowItems count="7">
    <i>
      <x v="1"/>
    </i>
    <i>
      <x v="5"/>
    </i>
    <i>
      <x/>
    </i>
    <i>
      <x v="4"/>
    </i>
    <i>
      <x v="3"/>
    </i>
    <i>
      <x v="2"/>
    </i>
    <i t="grand">
      <x/>
    </i>
  </rowItems>
  <colItems count="1">
    <i/>
  </colItems>
  <dataFields count="1">
    <dataField name="Total Employees" fld="0" subtotal="count" baseField="4"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8751E0-F0CF-4FDE-B769-11316D9079AD}"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Salary Band ">
  <location ref="K33:L37" firstHeaderRow="1" firstDataRow="1" firstDataCol="1"/>
  <pivotFields count="20">
    <pivotField dataField="1" showAll="0"/>
    <pivotField showAll="0"/>
    <pivotField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axis="axisRow" showAll="0">
      <items count="4">
        <item x="2"/>
        <item x="0"/>
        <item x="1"/>
        <item t="default"/>
      </items>
    </pivotField>
    <pivotField showAll="0"/>
    <pivotField showAll="0"/>
    <pivotField showAll="0"/>
  </pivotFields>
  <rowFields count="1">
    <field x="16"/>
  </rowFields>
  <rowItems count="4">
    <i>
      <x/>
    </i>
    <i>
      <x v="1"/>
    </i>
    <i>
      <x v="2"/>
    </i>
    <i t="grand">
      <x/>
    </i>
  </rowItems>
  <colItems count="1">
    <i/>
  </colItems>
  <dataFields count="1">
    <dataField name="Total Employees" fld="0" subtotal="count" baseField="0" baseItem="0"/>
  </dataFields>
  <formats count="1">
    <format dxfId="0">
      <pivotArea outline="0" collapsedLevelsAreSubtotals="1" fieldPosition="0"/>
    </format>
  </formats>
  <chartFormats count="5">
    <chartFormat chart="3" format="9"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6" count="1" selected="0">
            <x v="0"/>
          </reference>
        </references>
      </pivotArea>
    </chartFormat>
    <chartFormat chart="3" format="11">
      <pivotArea type="data" outline="0" fieldPosition="0">
        <references count="2">
          <reference field="4294967294" count="1" selected="0">
            <x v="0"/>
          </reference>
          <reference field="16" count="1" selected="0">
            <x v="1"/>
          </reference>
        </references>
      </pivotArea>
    </chartFormat>
    <chartFormat chart="3" format="12">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D24B3-E804-49E2-92BE-A0C0D3BF736A}"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Overtime" colHeaderCaption="Attrition">
  <location ref="F45:I49" firstHeaderRow="1" firstDataRow="2" firstDataCol="1"/>
  <pivotFields count="20">
    <pivotField dataField="1" showAll="0"/>
    <pivotField showAll="0"/>
    <pivotField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axis="axisRow" showAll="0">
      <items count="3">
        <item x="1"/>
        <item x="0"/>
        <item t="default"/>
      </items>
    </pivotField>
    <pivotField axis="axisCol" showAll="0">
      <items count="3">
        <item x="1"/>
        <item x="0"/>
        <item t="default"/>
      </items>
    </pivotField>
    <pivotField showAll="0"/>
    <pivotField showAll="0"/>
    <pivotField showAll="0"/>
    <pivotField showAll="0">
      <items count="4">
        <item x="2"/>
        <item x="0"/>
        <item x="1"/>
        <item t="default"/>
      </items>
    </pivotField>
    <pivotField showAll="0"/>
    <pivotField showAll="0"/>
    <pivotField showAll="0"/>
  </pivotFields>
  <rowFields count="1">
    <field x="11"/>
  </rowFields>
  <rowItems count="3">
    <i>
      <x/>
    </i>
    <i>
      <x v="1"/>
    </i>
    <i t="grand">
      <x/>
    </i>
  </rowItems>
  <colFields count="1">
    <field x="12"/>
  </colFields>
  <colItems count="3">
    <i>
      <x/>
    </i>
    <i>
      <x v="1"/>
    </i>
    <i t="grand">
      <x/>
    </i>
  </colItems>
  <dataFields count="1">
    <dataField name="Total Employees" fld="0" subtotal="count" baseField="0" baseItem="0"/>
  </dataFields>
  <formats count="1">
    <format dxfId="1">
      <pivotArea outline="0" collapsedLevelsAreSubtotals="1" fieldPosition="0"/>
    </format>
  </formats>
  <chartFormats count="8">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6F1C90-676C-484E-BCC1-54674786C7D9}"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
  <location ref="J9:J10" firstHeaderRow="1" firstDataRow="1" firstDataCol="0"/>
  <pivotFields count="20">
    <pivotField showAll="0"/>
    <pivotField showAll="0"/>
    <pivotField showAll="0">
      <items count="3">
        <item x="0"/>
        <item x="1"/>
        <item t="default"/>
      </items>
    </pivotField>
    <pivotField dataField="1"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Age" fld="3" subtotal="average" baseField="0" baseItem="9" numFmtId="1"/>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F66AD4-DD42-494C-AD14-AC96B96289E4}"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location ref="A20:A21" firstHeaderRow="1" firstDataRow="1" firstDataCol="0"/>
  <pivotFields count="20">
    <pivotField showAll="0"/>
    <pivotField showAll="0"/>
    <pivotField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dataField="1"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Job_Satisfaction" fld="10" subtotal="average" baseField="0" baseItem="9"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9547D9-7AF3-4DC5-B391-AFA183E6FFEF}"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erformance Rating">
  <location ref="K45:L50" firstHeaderRow="1" firstDataRow="1" firstDataCol="1"/>
  <pivotFields count="20">
    <pivotField dataField="1" showAll="0"/>
    <pivotField showAll="0"/>
    <pivotField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axis="axisRow" showAll="0" sortType="ascending">
      <items count="5">
        <item x="3"/>
        <item x="0"/>
        <item x="2"/>
        <item x="1"/>
        <item t="default"/>
      </items>
    </pivotField>
    <pivotField showAll="0"/>
    <pivotField showAll="0">
      <items count="3">
        <item x="1"/>
        <item x="0"/>
        <item t="default"/>
      </items>
    </pivotField>
    <pivotField showAll="0">
      <items count="3">
        <item x="1"/>
        <item x="0"/>
        <item t="default"/>
      </items>
    </pivotField>
    <pivotField showAll="0"/>
    <pivotField showAll="0"/>
    <pivotField showAll="0"/>
    <pivotField showAll="0">
      <items count="4">
        <item x="2"/>
        <item x="0"/>
        <item x="1"/>
        <item t="default"/>
      </items>
    </pivotField>
    <pivotField showAll="0"/>
    <pivotField showAll="0"/>
    <pivotField showAll="0"/>
  </pivotFields>
  <rowFields count="1">
    <field x="9"/>
  </rowFields>
  <rowItems count="5">
    <i>
      <x/>
    </i>
    <i>
      <x v="1"/>
    </i>
    <i>
      <x v="2"/>
    </i>
    <i>
      <x v="3"/>
    </i>
    <i t="grand">
      <x/>
    </i>
  </rowItems>
  <colItems count="1">
    <i/>
  </colItems>
  <dataFields count="1">
    <dataField name="Total Employees" fld="0"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4B74BF-8C45-49B5-BFA4-4B3BB6AC7AC5}"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Education ">
  <location ref="A44:B49" firstHeaderRow="1" firstDataRow="1" firstDataCol="1"/>
  <pivotFields count="20">
    <pivotField dataField="1" showAll="0"/>
    <pivotField showAll="0"/>
    <pivotField showAll="0">
      <items count="3">
        <item x="0"/>
        <item x="1"/>
        <item t="default"/>
      </items>
    </pivotField>
    <pivotField showAll="0"/>
    <pivotField showAll="0">
      <items count="7">
        <item x="2"/>
        <item x="0"/>
        <item x="5"/>
        <item x="1"/>
        <item x="4"/>
        <item x="3"/>
        <item t="default"/>
      </items>
    </pivotField>
    <pivotField showAll="0"/>
    <pivotField axis="axisRow" showAll="0">
      <items count="5">
        <item x="1"/>
        <item x="3"/>
        <item x="2"/>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Total Employees" fld="0" subtotal="count"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B121EC-5801-43AE-BAB6-6BC4BD74089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rowHeaderCaption="Department" colHeaderCaption="Attrition">
  <location ref="J20:M28" firstHeaderRow="1" firstDataRow="2" firstDataCol="1"/>
  <pivotFields count="20">
    <pivotField dataField="1" showAll="0"/>
    <pivotField showAll="0"/>
    <pivotField showAll="0">
      <items count="3">
        <item x="0"/>
        <item x="1"/>
        <item t="default"/>
      </items>
    </pivotField>
    <pivotField showAll="0"/>
    <pivotField axis="axisRow"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Fields count="1">
    <field x="12"/>
  </colFields>
  <colItems count="3">
    <i>
      <x/>
    </i>
    <i>
      <x v="1"/>
    </i>
    <i t="grand">
      <x/>
    </i>
  </colItems>
  <dataFields count="1">
    <dataField name="Total Employees" fld="0" subtotal="count" baseField="0" baseItem="0" numFmtId="1"/>
  </dataFields>
  <formats count="1">
    <format dxfId="6">
      <pivotArea outline="0" collapsedLevelsAreSubtotals="1" fieldPosition="0"/>
    </format>
  </formats>
  <chartFormats count="10">
    <chartFormat chart="7" format="0" series="1">
      <pivotArea type="data" outline="0" fieldPosition="0">
        <references count="2">
          <reference field="4294967294" count="1" selected="0">
            <x v="0"/>
          </reference>
          <reference field="12" count="1" selected="0">
            <x v="0"/>
          </reference>
        </references>
      </pivotArea>
    </chartFormat>
    <chartFormat chart="7" format="1" series="1">
      <pivotArea type="data" outline="0" fieldPosition="0">
        <references count="2">
          <reference field="4294967294" count="1" selected="0">
            <x v="0"/>
          </reference>
          <reference field="12" count="1" selected="0">
            <x v="1"/>
          </reference>
        </references>
      </pivotArea>
    </chartFormat>
    <chartFormat chart="13" format="8" series="1">
      <pivotArea type="data" outline="0" fieldPosition="0">
        <references count="2">
          <reference field="4294967294" count="1" selected="0">
            <x v="0"/>
          </reference>
          <reference field="12" count="1" selected="0">
            <x v="0"/>
          </reference>
        </references>
      </pivotArea>
    </chartFormat>
    <chartFormat chart="13" format="9" series="1">
      <pivotArea type="data" outline="0" fieldPosition="0">
        <references count="2">
          <reference field="4294967294" count="1" selected="0">
            <x v="0"/>
          </reference>
          <reference field="12" count="1" selected="0">
            <x v="1"/>
          </reference>
        </references>
      </pivotArea>
    </chartFormat>
    <chartFormat chart="18" format="4" series="1">
      <pivotArea type="data" outline="0" fieldPosition="0">
        <references count="2">
          <reference field="4294967294" count="1" selected="0">
            <x v="0"/>
          </reference>
          <reference field="12" count="1" selected="0">
            <x v="0"/>
          </reference>
        </references>
      </pivotArea>
    </chartFormat>
    <chartFormat chart="18" format="5" series="1">
      <pivotArea type="data" outline="0" fieldPosition="0">
        <references count="2">
          <reference field="4294967294" count="1" selected="0">
            <x v="0"/>
          </reference>
          <reference field="12" count="1" selected="0">
            <x v="1"/>
          </reference>
        </references>
      </pivotArea>
    </chartFormat>
    <chartFormat chart="19" format="10" series="1">
      <pivotArea type="data" outline="0" fieldPosition="0">
        <references count="2">
          <reference field="4294967294" count="1" selected="0">
            <x v="0"/>
          </reference>
          <reference field="12" count="1" selected="0">
            <x v="0"/>
          </reference>
        </references>
      </pivotArea>
    </chartFormat>
    <chartFormat chart="19" format="11" series="1">
      <pivotArea type="data" outline="0" fieldPosition="0">
        <references count="2">
          <reference field="4294967294" count="1" selected="0">
            <x v="0"/>
          </reference>
          <reference field="12" count="1" selected="0">
            <x v="1"/>
          </reference>
        </references>
      </pivotArea>
    </chartFormat>
    <chartFormat chart="20" format="12" series="1">
      <pivotArea type="data" outline="0" fieldPosition="0">
        <references count="2">
          <reference field="4294967294" count="1" selected="0">
            <x v="0"/>
          </reference>
          <reference field="12" count="1" selected="0">
            <x v="0"/>
          </reference>
        </references>
      </pivotArea>
    </chartFormat>
    <chartFormat chart="20" format="1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BEF0E7-1BFF-41BD-B748-9C64F454382D}"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epartment">
  <location ref="E20:E21" firstHeaderRow="1" firstDataRow="1" firstDataCol="0"/>
  <pivotFields count="20">
    <pivotField showAll="0"/>
    <pivotField showAll="0"/>
    <pivotField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dataField="1"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Items count="1">
    <i/>
  </rowItems>
  <colItems count="1">
    <i/>
  </colItems>
  <dataFields count="1">
    <dataField name="Average of Years_at_Company" fld="8" subtotal="average" baseField="0" baseItem="9"/>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E1F13E-EBED-481C-B28E-9E61BCE0BC0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A3" firstHeaderRow="1" firstDataRow="1" firstDataCol="0"/>
  <pivotFields count="20">
    <pivotField dataField="1" showAll="0"/>
    <pivotField showAll="0"/>
    <pivotField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Items count="1">
    <i/>
  </rowItems>
  <colItems count="1">
    <i/>
  </colItems>
  <dataFields count="1">
    <dataField name="Total_Employees" fld="0" subtotal="count" baseField="0" baseItem="131576627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A4340B-9392-453A-B5C5-DCF770AD1AF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Gender">
  <location ref="J2:K5" firstHeaderRow="1" firstDataRow="1" firstDataCol="1"/>
  <pivotFields count="20">
    <pivotField dataField="1" showAll="0"/>
    <pivotField showAll="0"/>
    <pivotField axis="axisRow"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Total Employees" fld="0" subtotal="count" baseField="2" baseItem="0"/>
  </dataFields>
  <chartFormats count="4">
    <chartFormat chart="3"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0"/>
          </reference>
        </references>
      </pivotArea>
    </chartFormat>
    <chartFormat chart="7"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40525B-6416-44D6-99D1-99E37377B605}"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ge Group" colHeaderCaption="Attrition">
  <location ref="F33:I39" firstHeaderRow="1" firstDataRow="2" firstDataCol="1"/>
  <pivotFields count="20">
    <pivotField dataField="1" showAll="0"/>
    <pivotField showAll="0"/>
    <pivotField showAll="0">
      <items count="3">
        <item x="0"/>
        <item x="1"/>
        <item t="default"/>
      </items>
    </pivotField>
    <pivotField showAll="0">
      <items count="35">
        <item x="17"/>
        <item x="31"/>
        <item x="14"/>
        <item x="23"/>
        <item x="21"/>
        <item x="12"/>
        <item x="18"/>
        <item x="30"/>
        <item x="6"/>
        <item x="24"/>
        <item x="26"/>
        <item x="2"/>
        <item x="4"/>
        <item x="29"/>
        <item x="22"/>
        <item x="16"/>
        <item x="19"/>
        <item x="3"/>
        <item x="33"/>
        <item x="7"/>
        <item x="5"/>
        <item x="25"/>
        <item x="9"/>
        <item x="0"/>
        <item x="11"/>
        <item x="28"/>
        <item x="20"/>
        <item x="13"/>
        <item x="27"/>
        <item x="15"/>
        <item x="32"/>
        <item x="8"/>
        <item x="1"/>
        <item x="10"/>
        <item t="default"/>
      </items>
    </pivotField>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axis="axisCol" showAll="0">
      <items count="3">
        <item x="1"/>
        <item x="0"/>
        <item t="default"/>
      </items>
    </pivotField>
    <pivotField showAll="0"/>
    <pivotField showAll="0"/>
    <pivotField axis="axisRow" showAll="0">
      <items count="5">
        <item x="3"/>
        <item x="2"/>
        <item x="0"/>
        <item x="1"/>
        <item t="default"/>
      </items>
    </pivotField>
    <pivotField showAll="0"/>
    <pivotField showAll="0"/>
    <pivotField showAll="0"/>
    <pivotField showAll="0"/>
  </pivotFields>
  <rowFields count="1">
    <field x="15"/>
  </rowFields>
  <rowItems count="5">
    <i>
      <x/>
    </i>
    <i>
      <x v="1"/>
    </i>
    <i>
      <x v="2"/>
    </i>
    <i>
      <x v="3"/>
    </i>
    <i t="grand">
      <x/>
    </i>
  </rowItems>
  <colFields count="1">
    <field x="12"/>
  </colFields>
  <colItems count="3">
    <i>
      <x/>
    </i>
    <i>
      <x v="1"/>
    </i>
    <i t="grand">
      <x/>
    </i>
  </colItems>
  <dataFields count="1">
    <dataField name="Total Employees" fld="0" subtotal="count" baseField="0" baseItem="0" numFmtId="1"/>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8748C6-15E2-4A44-982F-B0F897AFD98F}"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Department">
  <location ref="E9:F16" firstHeaderRow="1" firstDataRow="1" firstDataCol="1"/>
  <pivotFields count="20">
    <pivotField showAll="0"/>
    <pivotField showAll="0"/>
    <pivotField showAll="0">
      <items count="3">
        <item x="0"/>
        <item x="1"/>
        <item t="default"/>
      </items>
    </pivotField>
    <pivotField showAll="0"/>
    <pivotField axis="axisRow" showAll="0">
      <items count="7">
        <item x="2"/>
        <item x="0"/>
        <item x="5"/>
        <item x="1"/>
        <item x="4"/>
        <item x="3"/>
        <item t="default"/>
      </items>
    </pivotField>
    <pivotField showAll="0"/>
    <pivotField showAll="0">
      <items count="5">
        <item x="1"/>
        <item x="3"/>
        <item x="2"/>
        <item x="0"/>
        <item t="default"/>
      </items>
    </pivotField>
    <pivotField dataField="1" showAll="0"/>
    <pivotField showAll="0"/>
    <pivotField showAll="0"/>
    <pivotField showAll="0"/>
    <pivotField showAll="0">
      <items count="3">
        <item x="1"/>
        <item x="0"/>
        <item t="default"/>
      </items>
    </pivotField>
    <pivotField showAll="0">
      <items count="3">
        <item x="1"/>
        <item x="0"/>
        <item t="default"/>
      </items>
    </pivotField>
    <pivotField showAll="0"/>
    <pivotField showAll="0"/>
    <pivotField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Average of Salary" fld="7" subtotal="average" baseField="4" baseItem="0"/>
  </dataFields>
  <formats count="1">
    <format dxfId="9">
      <pivotArea collapsedLevelsAreSubtotals="1" fieldPosition="0">
        <references count="1">
          <reference field="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CDC620E-BCC0-49A1-A311-770881A3DEB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Attrition">
  <location ref="E2:F5" firstHeaderRow="1" firstDataRow="1" firstDataCol="1"/>
  <pivotFields count="20">
    <pivotField dataField="1" showAll="0"/>
    <pivotField showAll="0"/>
    <pivotField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axis="axisRow" showAll="0">
      <items count="3">
        <item x="1"/>
        <item x="0"/>
        <item t="default"/>
      </items>
    </pivotField>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Total Employees"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6AD1D2-224C-4153-92E2-35C00304DD0D}"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rowHeaderCaption="Gender" colHeaderCaption="Attrition">
  <location ref="A33:D37" firstHeaderRow="1" firstDataRow="2" firstDataCol="1"/>
  <pivotFields count="20">
    <pivotField dataField="1" showAll="0"/>
    <pivotField showAll="0"/>
    <pivotField axis="axisRow" showAll="0">
      <items count="3">
        <item x="0"/>
        <item x="1"/>
        <item t="default"/>
      </items>
    </pivotField>
    <pivotField showAll="0"/>
    <pivotField showAll="0">
      <items count="7">
        <item x="2"/>
        <item x="0"/>
        <item x="5"/>
        <item x="1"/>
        <item x="4"/>
        <item x="3"/>
        <item t="default"/>
      </items>
    </pivotField>
    <pivotField showAll="0"/>
    <pivotField showAll="0">
      <items count="5">
        <item x="1"/>
        <item x="3"/>
        <item x="2"/>
        <item x="0"/>
        <item t="default"/>
      </items>
    </pivotField>
    <pivotField showAll="0"/>
    <pivotField showAll="0"/>
    <pivotField showAll="0"/>
    <pivotField showAll="0"/>
    <pivotField showAll="0">
      <items count="3">
        <item x="1"/>
        <item x="0"/>
        <item t="default"/>
      </items>
    </pivotField>
    <pivotField axis="axisCol" showAll="0">
      <items count="3">
        <item x="1"/>
        <item x="0"/>
        <item t="default"/>
      </items>
    </pivotField>
    <pivotField showAll="0"/>
    <pivotField showAll="0"/>
    <pivotField showAll="0"/>
    <pivotField showAll="0"/>
    <pivotField showAll="0"/>
    <pivotField showAll="0"/>
    <pivotField showAll="0"/>
  </pivotFields>
  <rowFields count="1">
    <field x="2"/>
  </rowFields>
  <rowItems count="3">
    <i>
      <x/>
    </i>
    <i>
      <x v="1"/>
    </i>
    <i t="grand">
      <x/>
    </i>
  </rowItems>
  <colFields count="1">
    <field x="12"/>
  </colFields>
  <colItems count="3">
    <i>
      <x/>
    </i>
    <i>
      <x v="1"/>
    </i>
    <i t="grand">
      <x/>
    </i>
  </colItems>
  <dataFields count="1">
    <dataField name="Total Employees" fld="0" subtotal="count" baseField="2" baseItem="0" numFmtId="1"/>
  </dataFields>
  <formats count="1">
    <format dxfId="10">
      <pivotArea outline="0" collapsedLevelsAreSubtotals="1" fieldPosition="0"/>
    </format>
  </formats>
  <chartFormats count="20">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9" format="20" series="1">
      <pivotArea type="data" outline="0" fieldPosition="0">
        <references count="2">
          <reference field="4294967294" count="1" selected="0">
            <x v="0"/>
          </reference>
          <reference field="12" count="1" selected="0">
            <x v="0"/>
          </reference>
        </references>
      </pivotArea>
    </chartFormat>
    <chartFormat chart="9" format="21">
      <pivotArea type="data" outline="0" fieldPosition="0">
        <references count="3">
          <reference field="4294967294" count="1" selected="0">
            <x v="0"/>
          </reference>
          <reference field="2" count="1" selected="0">
            <x v="0"/>
          </reference>
          <reference field="12" count="1" selected="0">
            <x v="0"/>
          </reference>
        </references>
      </pivotArea>
    </chartFormat>
    <chartFormat chart="9" format="22">
      <pivotArea type="data" outline="0" fieldPosition="0">
        <references count="3">
          <reference field="4294967294" count="1" selected="0">
            <x v="0"/>
          </reference>
          <reference field="2" count="1" selected="0">
            <x v="1"/>
          </reference>
          <reference field="12" count="1" selected="0">
            <x v="0"/>
          </reference>
        </references>
      </pivotArea>
    </chartFormat>
    <chartFormat chart="9" format="23" series="1">
      <pivotArea type="data" outline="0" fieldPosition="0">
        <references count="2">
          <reference field="4294967294" count="1" selected="0">
            <x v="0"/>
          </reference>
          <reference field="12" count="1" selected="0">
            <x v="1"/>
          </reference>
        </references>
      </pivotArea>
    </chartFormat>
    <chartFormat chart="9" format="24">
      <pivotArea type="data" outline="0" fieldPosition="0">
        <references count="3">
          <reference field="4294967294" count="1" selected="0">
            <x v="0"/>
          </reference>
          <reference field="2" count="1" selected="0">
            <x v="0"/>
          </reference>
          <reference field="12" count="1" selected="0">
            <x v="1"/>
          </reference>
        </references>
      </pivotArea>
    </chartFormat>
    <chartFormat chart="9" format="25">
      <pivotArea type="data" outline="0" fieldPosition="0">
        <references count="3">
          <reference field="4294967294" count="1" selected="0">
            <x v="0"/>
          </reference>
          <reference field="2" count="1" selected="0">
            <x v="1"/>
          </reference>
          <reference field="12" count="1" selected="0">
            <x v="1"/>
          </reference>
        </references>
      </pivotArea>
    </chartFormat>
    <chartFormat chart="16" format="0" series="1">
      <pivotArea type="data" outline="0" fieldPosition="0">
        <references count="2">
          <reference field="4294967294" count="1" selected="0">
            <x v="0"/>
          </reference>
          <reference field="12" count="1" selected="0">
            <x v="0"/>
          </reference>
        </references>
      </pivotArea>
    </chartFormat>
    <chartFormat chart="16" format="1" series="1">
      <pivotArea type="data" outline="0" fieldPosition="0">
        <references count="2">
          <reference field="4294967294" count="1" selected="0">
            <x v="0"/>
          </reference>
          <reference field="12" count="1" selected="0">
            <x v="1"/>
          </reference>
        </references>
      </pivotArea>
    </chartFormat>
    <chartFormat chart="16" format="2">
      <pivotArea type="data" outline="0" fieldPosition="0">
        <references count="3">
          <reference field="4294967294" count="1" selected="0">
            <x v="0"/>
          </reference>
          <reference field="2" count="1" selected="0">
            <x v="1"/>
          </reference>
          <reference field="12" count="1" selected="0">
            <x v="0"/>
          </reference>
        </references>
      </pivotArea>
    </chartFormat>
    <chartFormat chart="16" format="3">
      <pivotArea type="data" outline="0" fieldPosition="0">
        <references count="3">
          <reference field="4294967294" count="1" selected="0">
            <x v="0"/>
          </reference>
          <reference field="2" count="1" selected="0">
            <x v="0"/>
          </reference>
          <reference field="12" count="1" selected="0">
            <x v="0"/>
          </reference>
        </references>
      </pivotArea>
    </chartFormat>
    <chartFormat chart="16" format="4">
      <pivotArea type="data" outline="0" fieldPosition="0">
        <references count="3">
          <reference field="4294967294" count="1" selected="0">
            <x v="0"/>
          </reference>
          <reference field="2" count="1" selected="0">
            <x v="0"/>
          </reference>
          <reference field="12" count="1" selected="0">
            <x v="1"/>
          </reference>
        </references>
      </pivotArea>
    </chartFormat>
    <chartFormat chart="16" format="5">
      <pivotArea type="data" outline="0" fieldPosition="0">
        <references count="3">
          <reference field="4294967294" count="1" selected="0">
            <x v="0"/>
          </reference>
          <reference field="2" count="1" selected="0">
            <x v="1"/>
          </reference>
          <reference field="12" count="1" selected="0">
            <x v="1"/>
          </reference>
        </references>
      </pivotArea>
    </chartFormat>
    <chartFormat chart="19" format="12" series="1">
      <pivotArea type="data" outline="0" fieldPosition="0">
        <references count="2">
          <reference field="4294967294" count="1" selected="0">
            <x v="0"/>
          </reference>
          <reference field="12" count="1" selected="0">
            <x v="0"/>
          </reference>
        </references>
      </pivotArea>
    </chartFormat>
    <chartFormat chart="19" format="13">
      <pivotArea type="data" outline="0" fieldPosition="0">
        <references count="3">
          <reference field="4294967294" count="1" selected="0">
            <x v="0"/>
          </reference>
          <reference field="2" count="1" selected="0">
            <x v="0"/>
          </reference>
          <reference field="12" count="1" selected="0">
            <x v="0"/>
          </reference>
        </references>
      </pivotArea>
    </chartFormat>
    <chartFormat chart="19" format="14">
      <pivotArea type="data" outline="0" fieldPosition="0">
        <references count="3">
          <reference field="4294967294" count="1" selected="0">
            <x v="0"/>
          </reference>
          <reference field="2" count="1" selected="0">
            <x v="1"/>
          </reference>
          <reference field="12" count="1" selected="0">
            <x v="0"/>
          </reference>
        </references>
      </pivotArea>
    </chartFormat>
    <chartFormat chart="19" format="15" series="1">
      <pivotArea type="data" outline="0" fieldPosition="0">
        <references count="2">
          <reference field="4294967294" count="1" selected="0">
            <x v="0"/>
          </reference>
          <reference field="12" count="1" selected="0">
            <x v="1"/>
          </reference>
        </references>
      </pivotArea>
    </chartFormat>
    <chartFormat chart="19" format="16">
      <pivotArea type="data" outline="0" fieldPosition="0">
        <references count="3">
          <reference field="4294967294" count="1" selected="0">
            <x v="0"/>
          </reference>
          <reference field="2" count="1" selected="0">
            <x v="0"/>
          </reference>
          <reference field="12" count="1" selected="0">
            <x v="1"/>
          </reference>
        </references>
      </pivotArea>
    </chartFormat>
    <chartFormat chart="19" format="17">
      <pivotArea type="data" outline="0" fieldPosition="0">
        <references count="3">
          <reference field="4294967294" count="1" selected="0">
            <x v="0"/>
          </reference>
          <reference field="2"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E2D30EC-C11B-46C8-974B-C033B7E3F12E}" sourceName="Department">
  <pivotTables>
    <pivotTable tabId="6" name="PivotTable4"/>
    <pivotTable tabId="6" name="PivotTable1"/>
    <pivotTable tabId="6" name="PivotTable10"/>
    <pivotTable tabId="6" name="PivotTable11"/>
    <pivotTable tabId="6" name="PivotTable12"/>
    <pivotTable tabId="6" name="PivotTable13"/>
    <pivotTable tabId="6" name="PivotTable15"/>
    <pivotTable tabId="6" name="PivotTable16"/>
    <pivotTable tabId="6" name="PivotTable2"/>
    <pivotTable tabId="6" name="PivotTable3"/>
    <pivotTable tabId="6" name="PivotTable5"/>
    <pivotTable tabId="6" name="PivotTable6"/>
    <pivotTable tabId="6" name="PivotTable7"/>
    <pivotTable tabId="6" name="PivotTable8"/>
    <pivotTable tabId="6" name="PivotTable9"/>
  </pivotTables>
  <data>
    <tabular pivotCacheId="1648708374">
      <items count="6">
        <i x="2" s="1"/>
        <i x="0" s="1"/>
        <i x="5" s="1"/>
        <i x="1" s="1"/>
        <i x="4"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4393EF8-68B5-4006-9946-825E3BA476FE}" sourceName="Gender">
  <pivotTables>
    <pivotTable tabId="6" name="PivotTable10"/>
    <pivotTable tabId="6" name="PivotTable1"/>
    <pivotTable tabId="6" name="PivotTable11"/>
    <pivotTable tabId="6" name="PivotTable12"/>
    <pivotTable tabId="6" name="PivotTable13"/>
    <pivotTable tabId="6" name="PivotTable15"/>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6487083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A1849CD-92C0-48A3-8D51-B36F4CE770DA}" sourceName="Education">
  <pivotTables>
    <pivotTable tabId="6" name="PivotTable3"/>
    <pivotTable tabId="6" name="PivotTable1"/>
    <pivotTable tabId="6" name="PivotTable10"/>
    <pivotTable tabId="6" name="PivotTable11"/>
    <pivotTable tabId="6" name="PivotTable12"/>
    <pivotTable tabId="6" name="PivotTable13"/>
    <pivotTable tabId="6" name="PivotTable15"/>
    <pivotTable tabId="6" name="PivotTable16"/>
    <pivotTable tabId="6" name="PivotTable2"/>
    <pivotTable tabId="6" name="PivotTable4"/>
    <pivotTable tabId="6" name="PivotTable5"/>
    <pivotTable tabId="6" name="PivotTable6"/>
    <pivotTable tabId="6" name="PivotTable7"/>
    <pivotTable tabId="6" name="PivotTable8"/>
    <pivotTable tabId="6" name="PivotTable9"/>
  </pivotTables>
  <data>
    <tabular pivotCacheId="1648708374">
      <items count="4">
        <i x="1"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C865D10-B260-45B9-AB4A-B0A941379281}" sourceName="Overtime">
  <pivotTables>
    <pivotTable tabId="6" name="PivotTable15"/>
    <pivotTable tabId="6" name="PivotTable1"/>
    <pivotTable tabId="6" name="PivotTable10"/>
    <pivotTable tabId="6" name="PivotTable11"/>
    <pivotTable tabId="6" name="PivotTable12"/>
    <pivotTable tabId="6" name="PivotTable13"/>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648708374">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182D83B8-10B4-43B8-91F7-31E8AE10D086}" sourceName="Attrition">
  <pivotTables>
    <pivotTable tabId="6" name="PivotTable15"/>
    <pivotTable tabId="6" name="PivotTable1"/>
    <pivotTable tabId="6" name="PivotTable10"/>
    <pivotTable tabId="6" name="PivotTable11"/>
    <pivotTable tabId="6" name="PivotTable12"/>
    <pivotTable tabId="6" name="PivotTable13"/>
    <pivotTable tabId="6" name="PivotTable16"/>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164870837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19A9867-F2DD-4D02-BDF4-898EA7B511E5}" cache="Slicer_Department" caption="Department" showCaption="0" style="SlicerStyleDark1" rowHeight="234950"/>
  <slicer name="Gender" xr10:uid="{8A2E6869-F030-4460-8F88-1DE063C2230F}" cache="Slicer_Gender" caption="Gender" showCaption="0" style="SlicerStyleDark1" rowHeight="234950"/>
  <slicer name="Education" xr10:uid="{4084B5DC-4FBF-484A-B8F8-15452D4D25BF}" cache="Slicer_Education" caption="Education" showCaption="0" style="SlicerStyleDark1" rowHeight="234950"/>
  <slicer name="Overtime" xr10:uid="{95029C04-29DE-4CF0-8D03-8892BA3DF945}" cache="Slicer_Overtime" caption="Overtime" showCaption="0" style="SlicerStyleDark1" rowHeight="234950"/>
  <slicer name="Attrition 1" xr10:uid="{72C27CA9-EC7A-4737-86F7-F85A46F7D8E1}" cache="Slicer_Attrition" caption="Attrition" showCaption="0"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500EDA-BCDD-4F21-ABB5-FB03673FC8F5}" name="Table1" displayName="Table1" ref="A1:T1001" totalsRowShown="0">
  <autoFilter ref="A1:T1001" xr:uid="{13500EDA-BCDD-4F21-ABB5-FB03673FC8F5}"/>
  <tableColumns count="20">
    <tableColumn id="1" xr3:uid="{A41A4979-E406-4077-85CE-86486D2E8027}" name="Employee_ID"/>
    <tableColumn id="2" xr3:uid="{42702D0D-1873-4F4C-909A-EB57458FADE5}" name="Employee_Name"/>
    <tableColumn id="3" xr3:uid="{9A0BC637-A061-4370-B778-F2303CAAFEF5}" name="Gender"/>
    <tableColumn id="4" xr3:uid="{E63865E5-06CE-4E23-A8D6-1CAB890C1793}" name="Age"/>
    <tableColumn id="5" xr3:uid="{96B0FA26-3BE3-4E83-BE24-EC1097168600}" name="Department"/>
    <tableColumn id="6" xr3:uid="{51E97568-B42D-4B8E-BDE1-3C99C683B1CD}" name="Job_Role"/>
    <tableColumn id="7" xr3:uid="{1D5B087D-AB7B-46FB-B5F2-B13A2F75B69C}" name="Education"/>
    <tableColumn id="8" xr3:uid="{9A860634-E3FE-45AC-ABAA-401D47A75482}" name="Salary"/>
    <tableColumn id="9" xr3:uid="{D8A975B0-8A4E-4241-B3E3-C4467110DEA0}" name="Years_at_Company"/>
    <tableColumn id="10" xr3:uid="{C8E2FE30-FCEC-44DA-879B-6024E3DECEEB}" name="Performance_Rating"/>
    <tableColumn id="11" xr3:uid="{923AE1CD-22CC-4711-A401-D13715318630}" name="Job_Satisfaction"/>
    <tableColumn id="12" xr3:uid="{664CB3DD-FE3B-42EE-AD21-F5FF05743AB8}" name="Overtime"/>
    <tableColumn id="13" xr3:uid="{A28EA2EB-C7FA-4624-920F-E8D376FEB1E0}" name="Attrition"/>
    <tableColumn id="14" xr3:uid="{0A491345-B375-4497-B48A-AAAB8FA3E5DB}" name="Marital_Status"/>
    <tableColumn id="15" xr3:uid="{A36FA6B0-8114-4D0D-BD4C-074EFC4ECF93}" name="City"/>
    <tableColumn id="16" xr3:uid="{BC514FA3-AB35-4E13-8359-7B344626AFBC}" name="Age_Group" dataDxfId="15">
      <calculatedColumnFormula>IF(D2&lt;30,"20-29",IF(D2&lt;40,"30-39",IF(D2&lt;50,"40-49","50+")))</calculatedColumnFormula>
    </tableColumn>
    <tableColumn id="17" xr3:uid="{4FB933DE-B99E-4D72-BE19-33DDC705C60D}" name="Salary_Band" dataDxfId="14">
      <calculatedColumnFormula>IF(H2&lt;40000,"Low",IF(H2&lt;70000,"Medium","High"))</calculatedColumnFormula>
    </tableColumn>
    <tableColumn id="18" xr3:uid="{4FBABA52-5A69-4EF7-BC7B-5A2E8646B029}" name="Experience_Level" dataDxfId="13">
      <calculatedColumnFormula>IF(I2&lt;3,"Junior",IF(I2&lt;7,"Mid-Level","Senior"))</calculatedColumnFormula>
    </tableColumn>
    <tableColumn id="19" xr3:uid="{BC747402-FD64-40B8-91E7-55DF96466611}" name="Performance_Category" dataDxfId="12">
      <calculatedColumnFormula>IF(J2&gt;=4,"High Performer","Needs Improvement")</calculatedColumnFormula>
    </tableColumn>
    <tableColumn id="20" xr3:uid="{6BB4AA15-9569-40CA-8D3E-B7A89A4B1B2C}" name="Satisfaction_category" dataDxfId="11">
      <calculatedColumnFormula>IF(K2&gt;=4,"Satisfied",IF(K2=3,"Neutral","Dissatisfied"))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300B-6DA4-434E-8295-B6479CD90AF7}">
  <dimension ref="A1"/>
  <sheetViews>
    <sheetView showGridLines="0" showRowColHeaders="0" tabSelected="1" topLeftCell="A4" zoomScale="60" zoomScaleNormal="60" workbookViewId="0">
      <selection activeCell="AA36" sqref="AA3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workbookViewId="0">
      <selection activeCell="Q1" sqref="Q1"/>
    </sheetView>
  </sheetViews>
  <sheetFormatPr defaultRowHeight="14.4" x14ac:dyDescent="0.3"/>
  <cols>
    <col min="1" max="1" width="11.77734375" bestFit="1" customWidth="1"/>
    <col min="2" max="2" width="15" bestFit="1" customWidth="1"/>
    <col min="5" max="5" width="10.77734375" bestFit="1" customWidth="1"/>
    <col min="6" max="6" width="16" bestFit="1" customWidth="1"/>
    <col min="7" max="7" width="9.109375" bestFit="1" customWidth="1"/>
    <col min="8" max="8" width="7" bestFit="1" customWidth="1"/>
    <col min="9" max="9" width="16.88671875" bestFit="1" customWidth="1"/>
    <col min="10" max="10" width="17.88671875" bestFit="1" customWidth="1"/>
    <col min="11" max="11" width="14.44140625" bestFit="1" customWidth="1"/>
    <col min="12" max="12" width="8.5546875" bestFit="1" customWidth="1"/>
    <col min="13" max="13" width="7.77734375" bestFit="1" customWidth="1"/>
    <col min="14" max="14" width="12.88671875" bestFit="1" customWidth="1"/>
    <col min="15" max="15" width="10.66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v>45</v>
      </c>
      <c r="E2" t="s">
        <v>18</v>
      </c>
      <c r="F2" t="s">
        <v>19</v>
      </c>
      <c r="G2" t="s">
        <v>20</v>
      </c>
      <c r="H2">
        <v>39000</v>
      </c>
      <c r="I2">
        <v>3</v>
      </c>
      <c r="J2">
        <v>3</v>
      </c>
      <c r="K2">
        <v>1</v>
      </c>
      <c r="L2" t="s">
        <v>21</v>
      </c>
      <c r="M2" t="s">
        <v>21</v>
      </c>
      <c r="N2" t="s">
        <v>22</v>
      </c>
      <c r="O2" t="s">
        <v>23</v>
      </c>
    </row>
    <row r="3" spans="1:15" x14ac:dyDescent="0.3">
      <c r="A3" t="s">
        <v>24</v>
      </c>
      <c r="B3" t="s">
        <v>25</v>
      </c>
      <c r="C3" t="s">
        <v>17</v>
      </c>
      <c r="D3">
        <v>54</v>
      </c>
      <c r="E3" t="s">
        <v>26</v>
      </c>
      <c r="F3" t="s">
        <v>27</v>
      </c>
      <c r="G3" t="s">
        <v>28</v>
      </c>
      <c r="H3">
        <v>54000</v>
      </c>
      <c r="I3">
        <v>5</v>
      </c>
      <c r="J3">
        <v>5</v>
      </c>
      <c r="K3">
        <v>2</v>
      </c>
      <c r="L3" t="s">
        <v>29</v>
      </c>
      <c r="M3" t="s">
        <v>29</v>
      </c>
      <c r="N3" t="s">
        <v>22</v>
      </c>
      <c r="O3" t="s">
        <v>30</v>
      </c>
    </row>
    <row r="4" spans="1:15" x14ac:dyDescent="0.3">
      <c r="A4" t="s">
        <v>31</v>
      </c>
      <c r="B4" t="s">
        <v>32</v>
      </c>
      <c r="C4" t="s">
        <v>17</v>
      </c>
      <c r="D4">
        <v>33</v>
      </c>
      <c r="E4" t="s">
        <v>18</v>
      </c>
      <c r="F4" t="s">
        <v>19</v>
      </c>
      <c r="G4" t="s">
        <v>33</v>
      </c>
      <c r="H4">
        <v>44000</v>
      </c>
      <c r="I4">
        <v>0</v>
      </c>
      <c r="J4">
        <v>5</v>
      </c>
      <c r="K4">
        <v>4</v>
      </c>
      <c r="L4" t="s">
        <v>21</v>
      </c>
      <c r="M4" t="s">
        <v>29</v>
      </c>
      <c r="N4" t="s">
        <v>34</v>
      </c>
      <c r="O4" t="s">
        <v>23</v>
      </c>
    </row>
    <row r="5" spans="1:15" x14ac:dyDescent="0.3">
      <c r="A5" t="s">
        <v>35</v>
      </c>
      <c r="B5" t="s">
        <v>36</v>
      </c>
      <c r="C5" t="s">
        <v>37</v>
      </c>
      <c r="D5">
        <v>54</v>
      </c>
      <c r="E5" t="s">
        <v>18</v>
      </c>
      <c r="F5" t="s">
        <v>19</v>
      </c>
      <c r="G5" t="s">
        <v>33</v>
      </c>
      <c r="H5">
        <v>46000</v>
      </c>
      <c r="I5">
        <v>18</v>
      </c>
      <c r="J5">
        <v>3</v>
      </c>
      <c r="K5">
        <v>1</v>
      </c>
      <c r="L5" t="s">
        <v>29</v>
      </c>
      <c r="M5" t="s">
        <v>29</v>
      </c>
      <c r="N5" t="s">
        <v>34</v>
      </c>
      <c r="O5" t="s">
        <v>38</v>
      </c>
    </row>
    <row r="6" spans="1:15" x14ac:dyDescent="0.3">
      <c r="A6" t="s">
        <v>39</v>
      </c>
      <c r="B6" t="s">
        <v>40</v>
      </c>
      <c r="C6" t="s">
        <v>37</v>
      </c>
      <c r="D6">
        <v>39</v>
      </c>
      <c r="E6" t="s">
        <v>41</v>
      </c>
      <c r="F6" t="s">
        <v>42</v>
      </c>
      <c r="G6" t="s">
        <v>20</v>
      </c>
      <c r="H6">
        <v>72000</v>
      </c>
      <c r="I6">
        <v>18</v>
      </c>
      <c r="J6">
        <v>4</v>
      </c>
      <c r="K6">
        <v>4</v>
      </c>
      <c r="L6" t="s">
        <v>21</v>
      </c>
      <c r="M6" t="s">
        <v>21</v>
      </c>
      <c r="N6" t="s">
        <v>22</v>
      </c>
      <c r="O6" t="s">
        <v>43</v>
      </c>
    </row>
    <row r="7" spans="1:15" x14ac:dyDescent="0.3">
      <c r="A7" t="s">
        <v>44</v>
      </c>
      <c r="B7" t="s">
        <v>45</v>
      </c>
      <c r="C7" t="s">
        <v>37</v>
      </c>
      <c r="D7">
        <v>34</v>
      </c>
      <c r="E7" t="s">
        <v>41</v>
      </c>
      <c r="F7" t="s">
        <v>42</v>
      </c>
      <c r="G7" t="s">
        <v>46</v>
      </c>
      <c r="H7">
        <v>101000</v>
      </c>
      <c r="I7">
        <v>2</v>
      </c>
      <c r="J7">
        <v>4</v>
      </c>
      <c r="K7">
        <v>1</v>
      </c>
      <c r="L7" t="s">
        <v>29</v>
      </c>
      <c r="M7" t="s">
        <v>29</v>
      </c>
      <c r="N7" t="s">
        <v>34</v>
      </c>
      <c r="O7" t="s">
        <v>30</v>
      </c>
    </row>
    <row r="8" spans="1:15" x14ac:dyDescent="0.3">
      <c r="A8" t="s">
        <v>47</v>
      </c>
      <c r="B8" t="s">
        <v>48</v>
      </c>
      <c r="C8" t="s">
        <v>17</v>
      </c>
      <c r="D8">
        <v>42</v>
      </c>
      <c r="E8" t="s">
        <v>49</v>
      </c>
      <c r="F8" t="s">
        <v>50</v>
      </c>
      <c r="G8" t="s">
        <v>33</v>
      </c>
      <c r="H8">
        <v>113000</v>
      </c>
      <c r="I8">
        <v>7</v>
      </c>
      <c r="J8">
        <v>2</v>
      </c>
      <c r="K8">
        <v>4</v>
      </c>
      <c r="L8" t="s">
        <v>21</v>
      </c>
      <c r="M8" t="s">
        <v>29</v>
      </c>
      <c r="N8" t="s">
        <v>22</v>
      </c>
      <c r="O8" t="s">
        <v>51</v>
      </c>
    </row>
    <row r="9" spans="1:15" x14ac:dyDescent="0.3">
      <c r="A9" t="s">
        <v>52</v>
      </c>
      <c r="B9" t="s">
        <v>53</v>
      </c>
      <c r="C9" t="s">
        <v>17</v>
      </c>
      <c r="D9">
        <v>30</v>
      </c>
      <c r="E9" t="s">
        <v>18</v>
      </c>
      <c r="F9" t="s">
        <v>19</v>
      </c>
      <c r="G9" t="s">
        <v>20</v>
      </c>
      <c r="H9">
        <v>89000</v>
      </c>
      <c r="I9">
        <v>9</v>
      </c>
      <c r="J9">
        <v>4</v>
      </c>
      <c r="K9">
        <v>1</v>
      </c>
      <c r="L9" t="s">
        <v>21</v>
      </c>
      <c r="M9" t="s">
        <v>21</v>
      </c>
      <c r="N9" t="s">
        <v>22</v>
      </c>
      <c r="O9" t="s">
        <v>54</v>
      </c>
    </row>
    <row r="10" spans="1:15" x14ac:dyDescent="0.3">
      <c r="A10" t="s">
        <v>55</v>
      </c>
      <c r="B10" t="s">
        <v>56</v>
      </c>
      <c r="C10" t="s">
        <v>37</v>
      </c>
      <c r="D10">
        <v>41</v>
      </c>
      <c r="E10" t="s">
        <v>57</v>
      </c>
      <c r="F10" t="s">
        <v>50</v>
      </c>
      <c r="G10" t="s">
        <v>33</v>
      </c>
      <c r="H10">
        <v>59000</v>
      </c>
      <c r="I10">
        <v>5</v>
      </c>
      <c r="J10">
        <v>3</v>
      </c>
      <c r="K10">
        <v>2</v>
      </c>
      <c r="L10" t="s">
        <v>29</v>
      </c>
      <c r="M10" t="s">
        <v>29</v>
      </c>
      <c r="N10" t="s">
        <v>22</v>
      </c>
      <c r="O10" t="s">
        <v>30</v>
      </c>
    </row>
    <row r="11" spans="1:15" x14ac:dyDescent="0.3">
      <c r="A11" t="s">
        <v>58</v>
      </c>
      <c r="B11" t="s">
        <v>59</v>
      </c>
      <c r="C11" t="s">
        <v>37</v>
      </c>
      <c r="D11">
        <v>41</v>
      </c>
      <c r="E11" t="s">
        <v>57</v>
      </c>
      <c r="F11" t="s">
        <v>27</v>
      </c>
      <c r="G11" t="s">
        <v>20</v>
      </c>
      <c r="H11">
        <v>59000</v>
      </c>
      <c r="I11">
        <v>3</v>
      </c>
      <c r="J11">
        <v>3</v>
      </c>
      <c r="K11">
        <v>4</v>
      </c>
      <c r="L11" t="s">
        <v>29</v>
      </c>
      <c r="M11" t="s">
        <v>29</v>
      </c>
      <c r="N11" t="s">
        <v>34</v>
      </c>
      <c r="O11" t="s">
        <v>51</v>
      </c>
    </row>
    <row r="12" spans="1:15" x14ac:dyDescent="0.3">
      <c r="A12" t="s">
        <v>60</v>
      </c>
      <c r="B12" t="s">
        <v>61</v>
      </c>
      <c r="C12" t="s">
        <v>17</v>
      </c>
      <c r="D12">
        <v>53</v>
      </c>
      <c r="E12" t="s">
        <v>49</v>
      </c>
      <c r="F12" t="s">
        <v>27</v>
      </c>
      <c r="G12" t="s">
        <v>46</v>
      </c>
      <c r="H12">
        <v>30000</v>
      </c>
      <c r="I12">
        <v>14</v>
      </c>
      <c r="J12">
        <v>2</v>
      </c>
      <c r="K12">
        <v>4</v>
      </c>
      <c r="L12" t="s">
        <v>21</v>
      </c>
      <c r="M12" t="s">
        <v>29</v>
      </c>
      <c r="N12" t="s">
        <v>34</v>
      </c>
      <c r="O12" t="s">
        <v>54</v>
      </c>
    </row>
    <row r="13" spans="1:15" x14ac:dyDescent="0.3">
      <c r="A13" t="s">
        <v>62</v>
      </c>
      <c r="B13" t="s">
        <v>63</v>
      </c>
      <c r="C13" t="s">
        <v>17</v>
      </c>
      <c r="D13">
        <v>44</v>
      </c>
      <c r="E13" t="s">
        <v>26</v>
      </c>
      <c r="F13" t="s">
        <v>27</v>
      </c>
      <c r="G13" t="s">
        <v>33</v>
      </c>
      <c r="H13">
        <v>87000</v>
      </c>
      <c r="I13">
        <v>12</v>
      </c>
      <c r="J13">
        <v>5</v>
      </c>
      <c r="K13">
        <v>3</v>
      </c>
      <c r="L13" t="s">
        <v>29</v>
      </c>
      <c r="M13" t="s">
        <v>29</v>
      </c>
      <c r="N13" t="s">
        <v>34</v>
      </c>
      <c r="O13" t="s">
        <v>51</v>
      </c>
    </row>
    <row r="14" spans="1:15" x14ac:dyDescent="0.3">
      <c r="A14" t="s">
        <v>64</v>
      </c>
      <c r="B14" t="s">
        <v>65</v>
      </c>
      <c r="C14" t="s">
        <v>17</v>
      </c>
      <c r="D14">
        <v>44</v>
      </c>
      <c r="E14" t="s">
        <v>66</v>
      </c>
      <c r="F14" t="s">
        <v>67</v>
      </c>
      <c r="G14" t="s">
        <v>20</v>
      </c>
      <c r="H14">
        <v>39000</v>
      </c>
      <c r="I14">
        <v>15</v>
      </c>
      <c r="J14">
        <v>4</v>
      </c>
      <c r="K14">
        <v>4</v>
      </c>
      <c r="L14" t="s">
        <v>29</v>
      </c>
      <c r="M14" t="s">
        <v>21</v>
      </c>
      <c r="N14" t="s">
        <v>34</v>
      </c>
      <c r="O14" t="s">
        <v>51</v>
      </c>
    </row>
    <row r="15" spans="1:15" x14ac:dyDescent="0.3">
      <c r="A15" t="s">
        <v>68</v>
      </c>
      <c r="B15" t="s">
        <v>69</v>
      </c>
      <c r="C15" t="s">
        <v>37</v>
      </c>
      <c r="D15">
        <v>55</v>
      </c>
      <c r="E15" t="s">
        <v>49</v>
      </c>
      <c r="F15" t="s">
        <v>27</v>
      </c>
      <c r="G15" t="s">
        <v>28</v>
      </c>
      <c r="H15">
        <v>41000</v>
      </c>
      <c r="I15">
        <v>14</v>
      </c>
      <c r="J15">
        <v>5</v>
      </c>
      <c r="K15">
        <v>3</v>
      </c>
      <c r="L15" t="s">
        <v>29</v>
      </c>
      <c r="M15" t="s">
        <v>29</v>
      </c>
      <c r="N15" t="s">
        <v>22</v>
      </c>
      <c r="O15" t="s">
        <v>70</v>
      </c>
    </row>
    <row r="16" spans="1:15" x14ac:dyDescent="0.3">
      <c r="A16" t="s">
        <v>71</v>
      </c>
      <c r="B16" t="s">
        <v>72</v>
      </c>
      <c r="C16" t="s">
        <v>37</v>
      </c>
      <c r="D16">
        <v>46</v>
      </c>
      <c r="E16" t="s">
        <v>41</v>
      </c>
      <c r="F16" t="s">
        <v>73</v>
      </c>
      <c r="G16" t="s">
        <v>20</v>
      </c>
      <c r="H16">
        <v>41000</v>
      </c>
      <c r="I16">
        <v>19</v>
      </c>
      <c r="J16">
        <v>5</v>
      </c>
      <c r="K16">
        <v>5</v>
      </c>
      <c r="L16" t="s">
        <v>29</v>
      </c>
      <c r="M16" t="s">
        <v>29</v>
      </c>
      <c r="N16" t="s">
        <v>22</v>
      </c>
      <c r="O16" t="s">
        <v>54</v>
      </c>
    </row>
    <row r="17" spans="1:15" x14ac:dyDescent="0.3">
      <c r="A17" t="s">
        <v>74</v>
      </c>
      <c r="B17" t="s">
        <v>53</v>
      </c>
      <c r="C17" t="s">
        <v>37</v>
      </c>
      <c r="D17">
        <v>27</v>
      </c>
      <c r="E17" t="s">
        <v>41</v>
      </c>
      <c r="F17" t="s">
        <v>42</v>
      </c>
      <c r="G17" t="s">
        <v>28</v>
      </c>
      <c r="H17">
        <v>70000</v>
      </c>
      <c r="I17">
        <v>2</v>
      </c>
      <c r="J17">
        <v>2</v>
      </c>
      <c r="K17">
        <v>1</v>
      </c>
      <c r="L17" t="s">
        <v>29</v>
      </c>
      <c r="M17" t="s">
        <v>29</v>
      </c>
      <c r="N17" t="s">
        <v>34</v>
      </c>
      <c r="O17" t="s">
        <v>75</v>
      </c>
    </row>
    <row r="18" spans="1:15" x14ac:dyDescent="0.3">
      <c r="A18" t="s">
        <v>76</v>
      </c>
      <c r="B18" t="s">
        <v>77</v>
      </c>
      <c r="C18" t="s">
        <v>37</v>
      </c>
      <c r="D18">
        <v>33</v>
      </c>
      <c r="E18" t="s">
        <v>57</v>
      </c>
      <c r="F18" t="s">
        <v>27</v>
      </c>
      <c r="G18" t="s">
        <v>33</v>
      </c>
      <c r="H18">
        <v>38000</v>
      </c>
      <c r="I18">
        <v>9</v>
      </c>
      <c r="J18">
        <v>3</v>
      </c>
      <c r="K18">
        <v>5</v>
      </c>
      <c r="L18" t="s">
        <v>29</v>
      </c>
      <c r="M18" t="s">
        <v>29</v>
      </c>
      <c r="N18" t="s">
        <v>34</v>
      </c>
      <c r="O18" t="s">
        <v>70</v>
      </c>
    </row>
    <row r="19" spans="1:15" x14ac:dyDescent="0.3">
      <c r="A19" t="s">
        <v>78</v>
      </c>
      <c r="B19" t="s">
        <v>79</v>
      </c>
      <c r="C19" t="s">
        <v>37</v>
      </c>
      <c r="D19">
        <v>53</v>
      </c>
      <c r="E19" t="s">
        <v>41</v>
      </c>
      <c r="F19" t="s">
        <v>73</v>
      </c>
      <c r="G19" t="s">
        <v>33</v>
      </c>
      <c r="H19">
        <v>60000</v>
      </c>
      <c r="I19">
        <v>20</v>
      </c>
      <c r="J19">
        <v>3</v>
      </c>
      <c r="K19">
        <v>4</v>
      </c>
      <c r="L19" t="s">
        <v>21</v>
      </c>
      <c r="M19" t="s">
        <v>29</v>
      </c>
      <c r="N19" t="s">
        <v>22</v>
      </c>
      <c r="O19" t="s">
        <v>30</v>
      </c>
    </row>
    <row r="20" spans="1:15" x14ac:dyDescent="0.3">
      <c r="A20" t="s">
        <v>80</v>
      </c>
      <c r="B20" t="s">
        <v>81</v>
      </c>
      <c r="C20" t="s">
        <v>37</v>
      </c>
      <c r="D20">
        <v>39</v>
      </c>
      <c r="E20" t="s">
        <v>66</v>
      </c>
      <c r="F20" t="s">
        <v>82</v>
      </c>
      <c r="G20" t="s">
        <v>20</v>
      </c>
      <c r="H20">
        <v>30000</v>
      </c>
      <c r="I20">
        <v>0</v>
      </c>
      <c r="J20">
        <v>5</v>
      </c>
      <c r="K20">
        <v>4</v>
      </c>
      <c r="L20" t="s">
        <v>21</v>
      </c>
      <c r="M20" t="s">
        <v>29</v>
      </c>
      <c r="N20" t="s">
        <v>22</v>
      </c>
      <c r="O20" t="s">
        <v>23</v>
      </c>
    </row>
    <row r="21" spans="1:15" x14ac:dyDescent="0.3">
      <c r="A21" t="s">
        <v>83</v>
      </c>
      <c r="B21" t="s">
        <v>84</v>
      </c>
      <c r="C21" t="s">
        <v>37</v>
      </c>
      <c r="D21">
        <v>49</v>
      </c>
      <c r="E21" t="s">
        <v>49</v>
      </c>
      <c r="F21" t="s">
        <v>50</v>
      </c>
      <c r="G21" t="s">
        <v>28</v>
      </c>
      <c r="H21">
        <v>42000</v>
      </c>
      <c r="I21">
        <v>5</v>
      </c>
      <c r="J21">
        <v>2</v>
      </c>
      <c r="K21">
        <v>2</v>
      </c>
      <c r="L21" t="s">
        <v>21</v>
      </c>
      <c r="M21" t="s">
        <v>29</v>
      </c>
      <c r="N21" t="s">
        <v>34</v>
      </c>
      <c r="O21" t="s">
        <v>23</v>
      </c>
    </row>
    <row r="22" spans="1:15" x14ac:dyDescent="0.3">
      <c r="A22" t="s">
        <v>85</v>
      </c>
      <c r="B22" t="s">
        <v>86</v>
      </c>
      <c r="C22" t="s">
        <v>37</v>
      </c>
      <c r="D22">
        <v>24</v>
      </c>
      <c r="E22" t="s">
        <v>66</v>
      </c>
      <c r="F22" t="s">
        <v>67</v>
      </c>
      <c r="G22" t="s">
        <v>46</v>
      </c>
      <c r="H22">
        <v>100000</v>
      </c>
      <c r="I22">
        <v>3</v>
      </c>
      <c r="J22">
        <v>4</v>
      </c>
      <c r="K22">
        <v>4</v>
      </c>
      <c r="L22" t="s">
        <v>29</v>
      </c>
      <c r="M22" t="s">
        <v>29</v>
      </c>
      <c r="N22" t="s">
        <v>22</v>
      </c>
      <c r="O22" t="s">
        <v>51</v>
      </c>
    </row>
    <row r="23" spans="1:15" x14ac:dyDescent="0.3">
      <c r="A23" t="s">
        <v>87</v>
      </c>
      <c r="B23" t="s">
        <v>88</v>
      </c>
      <c r="C23" t="s">
        <v>37</v>
      </c>
      <c r="D23">
        <v>51</v>
      </c>
      <c r="E23" t="s">
        <v>66</v>
      </c>
      <c r="F23" t="s">
        <v>82</v>
      </c>
      <c r="G23" t="s">
        <v>20</v>
      </c>
      <c r="H23">
        <v>87000</v>
      </c>
      <c r="I23">
        <v>17</v>
      </c>
      <c r="J23">
        <v>4</v>
      </c>
      <c r="K23">
        <v>5</v>
      </c>
      <c r="L23" t="s">
        <v>21</v>
      </c>
      <c r="M23" t="s">
        <v>29</v>
      </c>
      <c r="N23" t="s">
        <v>34</v>
      </c>
      <c r="O23" t="s">
        <v>70</v>
      </c>
    </row>
    <row r="24" spans="1:15" x14ac:dyDescent="0.3">
      <c r="A24" t="s">
        <v>89</v>
      </c>
      <c r="B24" t="s">
        <v>90</v>
      </c>
      <c r="C24" t="s">
        <v>37</v>
      </c>
      <c r="D24">
        <v>37</v>
      </c>
      <c r="E24" t="s">
        <v>57</v>
      </c>
      <c r="F24" t="s">
        <v>27</v>
      </c>
      <c r="G24" t="s">
        <v>20</v>
      </c>
      <c r="H24">
        <v>81000</v>
      </c>
      <c r="I24">
        <v>12</v>
      </c>
      <c r="J24">
        <v>5</v>
      </c>
      <c r="K24">
        <v>4</v>
      </c>
      <c r="L24" t="s">
        <v>21</v>
      </c>
      <c r="M24" t="s">
        <v>29</v>
      </c>
      <c r="N24" t="s">
        <v>34</v>
      </c>
      <c r="O24" t="s">
        <v>75</v>
      </c>
    </row>
    <row r="25" spans="1:15" x14ac:dyDescent="0.3">
      <c r="A25" t="s">
        <v>91</v>
      </c>
      <c r="B25" t="s">
        <v>92</v>
      </c>
      <c r="C25" t="s">
        <v>37</v>
      </c>
      <c r="D25">
        <v>34</v>
      </c>
      <c r="E25" t="s">
        <v>57</v>
      </c>
      <c r="F25" t="s">
        <v>27</v>
      </c>
      <c r="G25" t="s">
        <v>33</v>
      </c>
      <c r="H25">
        <v>38000</v>
      </c>
      <c r="I25">
        <v>3</v>
      </c>
      <c r="J25">
        <v>4</v>
      </c>
      <c r="K25">
        <v>1</v>
      </c>
      <c r="L25" t="s">
        <v>29</v>
      </c>
      <c r="M25" t="s">
        <v>29</v>
      </c>
      <c r="N25" t="s">
        <v>22</v>
      </c>
      <c r="O25" t="s">
        <v>75</v>
      </c>
    </row>
    <row r="26" spans="1:15" x14ac:dyDescent="0.3">
      <c r="A26" t="s">
        <v>93</v>
      </c>
      <c r="B26" t="s">
        <v>94</v>
      </c>
      <c r="C26" t="s">
        <v>17</v>
      </c>
      <c r="D26">
        <v>22</v>
      </c>
      <c r="E26" t="s">
        <v>49</v>
      </c>
      <c r="F26" t="s">
        <v>50</v>
      </c>
      <c r="G26" t="s">
        <v>46</v>
      </c>
      <c r="H26">
        <v>108000</v>
      </c>
      <c r="I26">
        <v>1</v>
      </c>
      <c r="J26">
        <v>2</v>
      </c>
      <c r="K26">
        <v>2</v>
      </c>
      <c r="L26" t="s">
        <v>29</v>
      </c>
      <c r="M26" t="s">
        <v>29</v>
      </c>
      <c r="N26" t="s">
        <v>22</v>
      </c>
      <c r="O26" t="s">
        <v>54</v>
      </c>
    </row>
    <row r="27" spans="1:15" x14ac:dyDescent="0.3">
      <c r="A27" t="s">
        <v>95</v>
      </c>
      <c r="B27" t="s">
        <v>96</v>
      </c>
      <c r="C27" t="s">
        <v>17</v>
      </c>
      <c r="D27">
        <v>28</v>
      </c>
      <c r="E27" t="s">
        <v>18</v>
      </c>
      <c r="F27" t="s">
        <v>19</v>
      </c>
      <c r="G27" t="s">
        <v>46</v>
      </c>
      <c r="H27">
        <v>45000</v>
      </c>
      <c r="I27">
        <v>4</v>
      </c>
      <c r="J27">
        <v>5</v>
      </c>
      <c r="K27">
        <v>3</v>
      </c>
      <c r="L27" t="s">
        <v>21</v>
      </c>
      <c r="M27" t="s">
        <v>29</v>
      </c>
      <c r="N27" t="s">
        <v>22</v>
      </c>
      <c r="O27" t="s">
        <v>23</v>
      </c>
    </row>
    <row r="28" spans="1:15" x14ac:dyDescent="0.3">
      <c r="A28" t="s">
        <v>97</v>
      </c>
      <c r="B28" t="s">
        <v>98</v>
      </c>
      <c r="C28" t="s">
        <v>17</v>
      </c>
      <c r="D28">
        <v>38</v>
      </c>
      <c r="E28" t="s">
        <v>41</v>
      </c>
      <c r="F28" t="s">
        <v>42</v>
      </c>
      <c r="G28" t="s">
        <v>33</v>
      </c>
      <c r="H28">
        <v>99000</v>
      </c>
      <c r="I28">
        <v>17</v>
      </c>
      <c r="J28">
        <v>4</v>
      </c>
      <c r="K28">
        <v>3</v>
      </c>
      <c r="L28" t="s">
        <v>29</v>
      </c>
      <c r="M28" t="s">
        <v>29</v>
      </c>
      <c r="N28" t="s">
        <v>22</v>
      </c>
      <c r="O28" t="s">
        <v>51</v>
      </c>
    </row>
    <row r="29" spans="1:15" x14ac:dyDescent="0.3">
      <c r="A29" t="s">
        <v>99</v>
      </c>
      <c r="B29" t="s">
        <v>100</v>
      </c>
      <c r="C29" t="s">
        <v>37</v>
      </c>
      <c r="D29">
        <v>28</v>
      </c>
      <c r="E29" t="s">
        <v>41</v>
      </c>
      <c r="F29" t="s">
        <v>73</v>
      </c>
      <c r="G29" t="s">
        <v>33</v>
      </c>
      <c r="H29">
        <v>58000</v>
      </c>
      <c r="I29">
        <v>3</v>
      </c>
      <c r="J29">
        <v>4</v>
      </c>
      <c r="K29">
        <v>3</v>
      </c>
      <c r="L29" t="s">
        <v>29</v>
      </c>
      <c r="M29" t="s">
        <v>29</v>
      </c>
      <c r="N29" t="s">
        <v>34</v>
      </c>
      <c r="O29" t="s">
        <v>54</v>
      </c>
    </row>
    <row r="30" spans="1:15" x14ac:dyDescent="0.3">
      <c r="A30" t="s">
        <v>101</v>
      </c>
      <c r="B30" t="s">
        <v>102</v>
      </c>
      <c r="C30" t="s">
        <v>37</v>
      </c>
      <c r="D30">
        <v>22</v>
      </c>
      <c r="E30" t="s">
        <v>18</v>
      </c>
      <c r="F30" t="s">
        <v>19</v>
      </c>
      <c r="G30" t="s">
        <v>28</v>
      </c>
      <c r="H30">
        <v>31000</v>
      </c>
      <c r="I30">
        <v>1</v>
      </c>
      <c r="J30">
        <v>2</v>
      </c>
      <c r="K30">
        <v>2</v>
      </c>
      <c r="L30" t="s">
        <v>21</v>
      </c>
      <c r="M30" t="s">
        <v>21</v>
      </c>
      <c r="N30" t="s">
        <v>22</v>
      </c>
      <c r="O30" t="s">
        <v>43</v>
      </c>
    </row>
    <row r="31" spans="1:15" x14ac:dyDescent="0.3">
      <c r="A31" t="s">
        <v>103</v>
      </c>
      <c r="B31" t="s">
        <v>104</v>
      </c>
      <c r="C31" t="s">
        <v>17</v>
      </c>
      <c r="D31">
        <v>33</v>
      </c>
      <c r="E31" t="s">
        <v>66</v>
      </c>
      <c r="F31" t="s">
        <v>67</v>
      </c>
      <c r="G31" t="s">
        <v>28</v>
      </c>
      <c r="H31">
        <v>34000</v>
      </c>
      <c r="I31">
        <v>10</v>
      </c>
      <c r="J31">
        <v>4</v>
      </c>
      <c r="K31">
        <v>4</v>
      </c>
      <c r="L31" t="s">
        <v>29</v>
      </c>
      <c r="M31" t="s">
        <v>21</v>
      </c>
      <c r="N31" t="s">
        <v>22</v>
      </c>
      <c r="O31" t="s">
        <v>30</v>
      </c>
    </row>
    <row r="32" spans="1:15" x14ac:dyDescent="0.3">
      <c r="A32" t="s">
        <v>105</v>
      </c>
      <c r="B32" t="s">
        <v>96</v>
      </c>
      <c r="C32" t="s">
        <v>17</v>
      </c>
      <c r="D32">
        <v>48</v>
      </c>
      <c r="E32" t="s">
        <v>49</v>
      </c>
      <c r="F32" t="s">
        <v>50</v>
      </c>
      <c r="G32" t="s">
        <v>28</v>
      </c>
      <c r="H32">
        <v>45000</v>
      </c>
      <c r="I32">
        <v>12</v>
      </c>
      <c r="J32">
        <v>4</v>
      </c>
      <c r="K32">
        <v>2</v>
      </c>
      <c r="L32" t="s">
        <v>29</v>
      </c>
      <c r="M32" t="s">
        <v>29</v>
      </c>
      <c r="N32" t="s">
        <v>34</v>
      </c>
      <c r="O32" t="s">
        <v>43</v>
      </c>
    </row>
    <row r="33" spans="1:15" x14ac:dyDescent="0.3">
      <c r="A33" t="s">
        <v>106</v>
      </c>
      <c r="B33" t="s">
        <v>107</v>
      </c>
      <c r="C33" t="s">
        <v>37</v>
      </c>
      <c r="D33">
        <v>26</v>
      </c>
      <c r="E33" t="s">
        <v>41</v>
      </c>
      <c r="F33" t="s">
        <v>42</v>
      </c>
      <c r="G33" t="s">
        <v>46</v>
      </c>
      <c r="H33">
        <v>30000</v>
      </c>
      <c r="I33">
        <v>5</v>
      </c>
      <c r="J33">
        <v>2</v>
      </c>
      <c r="K33">
        <v>4</v>
      </c>
      <c r="L33" t="s">
        <v>21</v>
      </c>
      <c r="M33" t="s">
        <v>29</v>
      </c>
      <c r="N33" t="s">
        <v>34</v>
      </c>
      <c r="O33" t="s">
        <v>54</v>
      </c>
    </row>
    <row r="34" spans="1:15" x14ac:dyDescent="0.3">
      <c r="A34" t="s">
        <v>108</v>
      </c>
      <c r="B34" t="s">
        <v>109</v>
      </c>
      <c r="C34" t="s">
        <v>17</v>
      </c>
      <c r="D34">
        <v>36</v>
      </c>
      <c r="E34" t="s">
        <v>41</v>
      </c>
      <c r="F34" t="s">
        <v>73</v>
      </c>
      <c r="G34" t="s">
        <v>33</v>
      </c>
      <c r="H34">
        <v>81000</v>
      </c>
      <c r="I34">
        <v>15</v>
      </c>
      <c r="J34">
        <v>4</v>
      </c>
      <c r="K34">
        <v>1</v>
      </c>
      <c r="L34" t="s">
        <v>29</v>
      </c>
      <c r="M34" t="s">
        <v>29</v>
      </c>
      <c r="N34" t="s">
        <v>22</v>
      </c>
      <c r="O34" t="s">
        <v>38</v>
      </c>
    </row>
    <row r="35" spans="1:15" x14ac:dyDescent="0.3">
      <c r="A35" t="s">
        <v>110</v>
      </c>
      <c r="B35" t="s">
        <v>111</v>
      </c>
      <c r="C35" t="s">
        <v>37</v>
      </c>
      <c r="D35">
        <v>34</v>
      </c>
      <c r="E35" t="s">
        <v>41</v>
      </c>
      <c r="F35" t="s">
        <v>73</v>
      </c>
      <c r="G35" t="s">
        <v>28</v>
      </c>
      <c r="H35">
        <v>48000</v>
      </c>
      <c r="I35">
        <v>13</v>
      </c>
      <c r="J35">
        <v>5</v>
      </c>
      <c r="K35">
        <v>1</v>
      </c>
      <c r="L35" t="s">
        <v>29</v>
      </c>
      <c r="M35" t="s">
        <v>29</v>
      </c>
      <c r="N35" t="s">
        <v>34</v>
      </c>
      <c r="O35" t="s">
        <v>38</v>
      </c>
    </row>
    <row r="36" spans="1:15" x14ac:dyDescent="0.3">
      <c r="A36" t="s">
        <v>112</v>
      </c>
      <c r="B36" t="s">
        <v>69</v>
      </c>
      <c r="C36" t="s">
        <v>37</v>
      </c>
      <c r="D36">
        <v>41</v>
      </c>
      <c r="E36" t="s">
        <v>26</v>
      </c>
      <c r="F36" t="s">
        <v>27</v>
      </c>
      <c r="G36" t="s">
        <v>33</v>
      </c>
      <c r="H36">
        <v>65000</v>
      </c>
      <c r="I36">
        <v>0</v>
      </c>
      <c r="J36">
        <v>5</v>
      </c>
      <c r="K36">
        <v>2</v>
      </c>
      <c r="L36" t="s">
        <v>21</v>
      </c>
      <c r="M36" t="s">
        <v>29</v>
      </c>
      <c r="N36" t="s">
        <v>22</v>
      </c>
      <c r="O36" t="s">
        <v>54</v>
      </c>
    </row>
    <row r="37" spans="1:15" x14ac:dyDescent="0.3">
      <c r="A37" t="s">
        <v>113</v>
      </c>
      <c r="B37" t="s">
        <v>114</v>
      </c>
      <c r="C37" t="s">
        <v>17</v>
      </c>
      <c r="D37">
        <v>25</v>
      </c>
      <c r="E37" t="s">
        <v>66</v>
      </c>
      <c r="F37" t="s">
        <v>82</v>
      </c>
      <c r="G37" t="s">
        <v>28</v>
      </c>
      <c r="H37">
        <v>71000</v>
      </c>
      <c r="I37">
        <v>4</v>
      </c>
      <c r="J37">
        <v>2</v>
      </c>
      <c r="K37">
        <v>3</v>
      </c>
      <c r="L37" t="s">
        <v>21</v>
      </c>
      <c r="M37" t="s">
        <v>29</v>
      </c>
      <c r="N37" t="s">
        <v>34</v>
      </c>
      <c r="O37" t="s">
        <v>23</v>
      </c>
    </row>
    <row r="38" spans="1:15" x14ac:dyDescent="0.3">
      <c r="A38" t="s">
        <v>115</v>
      </c>
      <c r="B38" t="s">
        <v>116</v>
      </c>
      <c r="C38" t="s">
        <v>37</v>
      </c>
      <c r="D38">
        <v>31</v>
      </c>
      <c r="E38" t="s">
        <v>57</v>
      </c>
      <c r="F38" t="s">
        <v>27</v>
      </c>
      <c r="G38" t="s">
        <v>28</v>
      </c>
      <c r="H38">
        <v>36000</v>
      </c>
      <c r="I38">
        <v>10</v>
      </c>
      <c r="J38">
        <v>2</v>
      </c>
      <c r="K38">
        <v>1</v>
      </c>
      <c r="L38" t="s">
        <v>21</v>
      </c>
      <c r="M38" t="s">
        <v>21</v>
      </c>
      <c r="N38" t="s">
        <v>34</v>
      </c>
      <c r="O38" t="s">
        <v>51</v>
      </c>
    </row>
    <row r="39" spans="1:15" x14ac:dyDescent="0.3">
      <c r="A39" t="s">
        <v>117</v>
      </c>
      <c r="B39" t="s">
        <v>118</v>
      </c>
      <c r="C39" t="s">
        <v>37</v>
      </c>
      <c r="D39">
        <v>54</v>
      </c>
      <c r="E39" t="s">
        <v>57</v>
      </c>
      <c r="F39" t="s">
        <v>50</v>
      </c>
      <c r="G39" t="s">
        <v>33</v>
      </c>
      <c r="H39">
        <v>80000</v>
      </c>
      <c r="I39">
        <v>18</v>
      </c>
      <c r="J39">
        <v>4</v>
      </c>
      <c r="K39">
        <v>2</v>
      </c>
      <c r="L39" t="s">
        <v>29</v>
      </c>
      <c r="M39" t="s">
        <v>29</v>
      </c>
      <c r="N39" t="s">
        <v>22</v>
      </c>
      <c r="O39" t="s">
        <v>70</v>
      </c>
    </row>
    <row r="40" spans="1:15" x14ac:dyDescent="0.3">
      <c r="A40" t="s">
        <v>119</v>
      </c>
      <c r="B40" t="s">
        <v>120</v>
      </c>
      <c r="C40" t="s">
        <v>37</v>
      </c>
      <c r="D40">
        <v>43</v>
      </c>
      <c r="E40" t="s">
        <v>66</v>
      </c>
      <c r="F40" t="s">
        <v>67</v>
      </c>
      <c r="G40" t="s">
        <v>46</v>
      </c>
      <c r="H40">
        <v>50000</v>
      </c>
      <c r="I40">
        <v>9</v>
      </c>
      <c r="J40">
        <v>2</v>
      </c>
      <c r="K40">
        <v>4</v>
      </c>
      <c r="L40" t="s">
        <v>21</v>
      </c>
      <c r="M40" t="s">
        <v>29</v>
      </c>
      <c r="N40" t="s">
        <v>22</v>
      </c>
      <c r="O40" t="s">
        <v>70</v>
      </c>
    </row>
    <row r="41" spans="1:15" x14ac:dyDescent="0.3">
      <c r="A41" t="s">
        <v>121</v>
      </c>
      <c r="B41" t="s">
        <v>122</v>
      </c>
      <c r="C41" t="s">
        <v>17</v>
      </c>
      <c r="D41">
        <v>43</v>
      </c>
      <c r="E41" t="s">
        <v>41</v>
      </c>
      <c r="F41" t="s">
        <v>42</v>
      </c>
      <c r="G41" t="s">
        <v>20</v>
      </c>
      <c r="H41">
        <v>113000</v>
      </c>
      <c r="I41">
        <v>3</v>
      </c>
      <c r="J41">
        <v>2</v>
      </c>
      <c r="K41">
        <v>1</v>
      </c>
      <c r="L41" t="s">
        <v>29</v>
      </c>
      <c r="M41" t="s">
        <v>29</v>
      </c>
      <c r="N41" t="s">
        <v>22</v>
      </c>
      <c r="O41" t="s">
        <v>54</v>
      </c>
    </row>
    <row r="42" spans="1:15" x14ac:dyDescent="0.3">
      <c r="A42" t="s">
        <v>123</v>
      </c>
      <c r="B42" t="s">
        <v>79</v>
      </c>
      <c r="C42" t="s">
        <v>17</v>
      </c>
      <c r="D42">
        <v>53</v>
      </c>
      <c r="E42" t="s">
        <v>57</v>
      </c>
      <c r="F42" t="s">
        <v>50</v>
      </c>
      <c r="G42" t="s">
        <v>46</v>
      </c>
      <c r="H42">
        <v>25000</v>
      </c>
      <c r="I42">
        <v>19</v>
      </c>
      <c r="J42">
        <v>3</v>
      </c>
      <c r="K42">
        <v>1</v>
      </c>
      <c r="L42" t="s">
        <v>21</v>
      </c>
      <c r="M42" t="s">
        <v>21</v>
      </c>
      <c r="N42" t="s">
        <v>22</v>
      </c>
      <c r="O42" t="s">
        <v>75</v>
      </c>
    </row>
    <row r="43" spans="1:15" x14ac:dyDescent="0.3">
      <c r="A43" t="s">
        <v>124</v>
      </c>
      <c r="B43" t="s">
        <v>125</v>
      </c>
      <c r="C43" t="s">
        <v>17</v>
      </c>
      <c r="D43">
        <v>30</v>
      </c>
      <c r="E43" t="s">
        <v>18</v>
      </c>
      <c r="F43" t="s">
        <v>126</v>
      </c>
      <c r="G43" t="s">
        <v>46</v>
      </c>
      <c r="H43">
        <v>43000</v>
      </c>
      <c r="I43">
        <v>9</v>
      </c>
      <c r="J43">
        <v>4</v>
      </c>
      <c r="K43">
        <v>1</v>
      </c>
      <c r="L43" t="s">
        <v>21</v>
      </c>
      <c r="M43" t="s">
        <v>29</v>
      </c>
      <c r="N43" t="s">
        <v>34</v>
      </c>
      <c r="O43" t="s">
        <v>51</v>
      </c>
    </row>
    <row r="44" spans="1:15" x14ac:dyDescent="0.3">
      <c r="A44" t="s">
        <v>127</v>
      </c>
      <c r="B44" t="s">
        <v>128</v>
      </c>
      <c r="C44" t="s">
        <v>17</v>
      </c>
      <c r="D44">
        <v>54</v>
      </c>
      <c r="E44" t="s">
        <v>41</v>
      </c>
      <c r="F44" t="s">
        <v>73</v>
      </c>
      <c r="G44" t="s">
        <v>28</v>
      </c>
      <c r="H44">
        <v>116000</v>
      </c>
      <c r="I44">
        <v>2</v>
      </c>
      <c r="J44">
        <v>5</v>
      </c>
      <c r="K44">
        <v>5</v>
      </c>
      <c r="L44" t="s">
        <v>29</v>
      </c>
      <c r="M44" t="s">
        <v>29</v>
      </c>
      <c r="N44" t="s">
        <v>34</v>
      </c>
      <c r="O44" t="s">
        <v>38</v>
      </c>
    </row>
    <row r="45" spans="1:15" x14ac:dyDescent="0.3">
      <c r="A45" t="s">
        <v>129</v>
      </c>
      <c r="B45" t="s">
        <v>130</v>
      </c>
      <c r="C45" t="s">
        <v>17</v>
      </c>
      <c r="D45">
        <v>45</v>
      </c>
      <c r="E45" t="s">
        <v>66</v>
      </c>
      <c r="F45" t="s">
        <v>67</v>
      </c>
      <c r="G45" t="s">
        <v>20</v>
      </c>
      <c r="H45">
        <v>40000</v>
      </c>
      <c r="I45">
        <v>0</v>
      </c>
      <c r="J45">
        <v>2</v>
      </c>
      <c r="K45">
        <v>4</v>
      </c>
      <c r="L45" t="s">
        <v>21</v>
      </c>
      <c r="M45" t="s">
        <v>21</v>
      </c>
      <c r="N45" t="s">
        <v>22</v>
      </c>
      <c r="O45" t="s">
        <v>51</v>
      </c>
    </row>
    <row r="46" spans="1:15" x14ac:dyDescent="0.3">
      <c r="A46" t="s">
        <v>131</v>
      </c>
      <c r="B46" t="s">
        <v>132</v>
      </c>
      <c r="C46" t="s">
        <v>17</v>
      </c>
      <c r="D46">
        <v>49</v>
      </c>
      <c r="E46" t="s">
        <v>49</v>
      </c>
      <c r="F46" t="s">
        <v>50</v>
      </c>
      <c r="G46" t="s">
        <v>28</v>
      </c>
      <c r="H46">
        <v>116000</v>
      </c>
      <c r="I46">
        <v>5</v>
      </c>
      <c r="J46">
        <v>3</v>
      </c>
      <c r="K46">
        <v>4</v>
      </c>
      <c r="L46" t="s">
        <v>29</v>
      </c>
      <c r="M46" t="s">
        <v>29</v>
      </c>
      <c r="N46" t="s">
        <v>34</v>
      </c>
      <c r="O46" t="s">
        <v>38</v>
      </c>
    </row>
    <row r="47" spans="1:15" x14ac:dyDescent="0.3">
      <c r="A47" t="s">
        <v>133</v>
      </c>
      <c r="B47" t="s">
        <v>134</v>
      </c>
      <c r="C47" t="s">
        <v>37</v>
      </c>
      <c r="D47">
        <v>25</v>
      </c>
      <c r="E47" t="s">
        <v>18</v>
      </c>
      <c r="F47" t="s">
        <v>126</v>
      </c>
      <c r="G47" t="s">
        <v>28</v>
      </c>
      <c r="H47">
        <v>97000</v>
      </c>
      <c r="I47">
        <v>4</v>
      </c>
      <c r="J47">
        <v>2</v>
      </c>
      <c r="K47">
        <v>4</v>
      </c>
      <c r="L47" t="s">
        <v>21</v>
      </c>
      <c r="M47" t="s">
        <v>29</v>
      </c>
      <c r="N47" t="s">
        <v>22</v>
      </c>
      <c r="O47" t="s">
        <v>43</v>
      </c>
    </row>
    <row r="48" spans="1:15" x14ac:dyDescent="0.3">
      <c r="A48" t="s">
        <v>135</v>
      </c>
      <c r="B48" t="s">
        <v>136</v>
      </c>
      <c r="C48" t="s">
        <v>37</v>
      </c>
      <c r="D48">
        <v>32</v>
      </c>
      <c r="E48" t="s">
        <v>57</v>
      </c>
      <c r="F48" t="s">
        <v>50</v>
      </c>
      <c r="G48" t="s">
        <v>46</v>
      </c>
      <c r="H48">
        <v>99000</v>
      </c>
      <c r="I48">
        <v>11</v>
      </c>
      <c r="J48">
        <v>5</v>
      </c>
      <c r="K48">
        <v>2</v>
      </c>
      <c r="L48" t="s">
        <v>29</v>
      </c>
      <c r="M48" t="s">
        <v>29</v>
      </c>
      <c r="N48" t="s">
        <v>34</v>
      </c>
      <c r="O48" t="s">
        <v>30</v>
      </c>
    </row>
    <row r="49" spans="1:15" x14ac:dyDescent="0.3">
      <c r="A49" t="s">
        <v>137</v>
      </c>
      <c r="B49" t="s">
        <v>138</v>
      </c>
      <c r="C49" t="s">
        <v>17</v>
      </c>
      <c r="D49">
        <v>45</v>
      </c>
      <c r="E49" t="s">
        <v>26</v>
      </c>
      <c r="F49" t="s">
        <v>27</v>
      </c>
      <c r="G49" t="s">
        <v>20</v>
      </c>
      <c r="H49">
        <v>86000</v>
      </c>
      <c r="I49">
        <v>1</v>
      </c>
      <c r="J49">
        <v>4</v>
      </c>
      <c r="K49">
        <v>5</v>
      </c>
      <c r="L49" t="s">
        <v>21</v>
      </c>
      <c r="M49" t="s">
        <v>29</v>
      </c>
      <c r="N49" t="s">
        <v>22</v>
      </c>
      <c r="O49" t="s">
        <v>75</v>
      </c>
    </row>
    <row r="50" spans="1:15" x14ac:dyDescent="0.3">
      <c r="A50" t="s">
        <v>139</v>
      </c>
      <c r="B50" t="s">
        <v>140</v>
      </c>
      <c r="C50" t="s">
        <v>17</v>
      </c>
      <c r="D50">
        <v>50</v>
      </c>
      <c r="E50" t="s">
        <v>57</v>
      </c>
      <c r="F50" t="s">
        <v>50</v>
      </c>
      <c r="G50" t="s">
        <v>46</v>
      </c>
      <c r="H50">
        <v>77000</v>
      </c>
      <c r="I50">
        <v>13</v>
      </c>
      <c r="J50">
        <v>2</v>
      </c>
      <c r="K50">
        <v>4</v>
      </c>
      <c r="L50" t="s">
        <v>29</v>
      </c>
      <c r="M50" t="s">
        <v>29</v>
      </c>
      <c r="N50" t="s">
        <v>34</v>
      </c>
      <c r="O50" t="s">
        <v>70</v>
      </c>
    </row>
    <row r="51" spans="1:15" x14ac:dyDescent="0.3">
      <c r="A51" t="s">
        <v>141</v>
      </c>
      <c r="B51" t="s">
        <v>142</v>
      </c>
      <c r="C51" t="s">
        <v>17</v>
      </c>
      <c r="D51">
        <v>32</v>
      </c>
      <c r="E51" t="s">
        <v>49</v>
      </c>
      <c r="F51" t="s">
        <v>27</v>
      </c>
      <c r="G51" t="s">
        <v>20</v>
      </c>
      <c r="H51">
        <v>98000</v>
      </c>
      <c r="I51">
        <v>5</v>
      </c>
      <c r="J51">
        <v>3</v>
      </c>
      <c r="K51">
        <v>2</v>
      </c>
      <c r="L51" t="s">
        <v>21</v>
      </c>
      <c r="M51" t="s">
        <v>21</v>
      </c>
      <c r="N51" t="s">
        <v>34</v>
      </c>
      <c r="O51" t="s">
        <v>54</v>
      </c>
    </row>
    <row r="52" spans="1:15" x14ac:dyDescent="0.3">
      <c r="A52" t="s">
        <v>143</v>
      </c>
      <c r="B52" t="s">
        <v>134</v>
      </c>
      <c r="C52" t="s">
        <v>37</v>
      </c>
      <c r="D52">
        <v>45</v>
      </c>
      <c r="E52" t="s">
        <v>66</v>
      </c>
      <c r="F52" t="s">
        <v>82</v>
      </c>
      <c r="G52" t="s">
        <v>46</v>
      </c>
      <c r="H52">
        <v>96000</v>
      </c>
      <c r="I52">
        <v>0</v>
      </c>
      <c r="J52">
        <v>3</v>
      </c>
      <c r="K52">
        <v>4</v>
      </c>
      <c r="L52" t="s">
        <v>29</v>
      </c>
      <c r="M52" t="s">
        <v>21</v>
      </c>
      <c r="N52" t="s">
        <v>22</v>
      </c>
      <c r="O52" t="s">
        <v>54</v>
      </c>
    </row>
    <row r="53" spans="1:15" x14ac:dyDescent="0.3">
      <c r="A53" t="s">
        <v>144</v>
      </c>
      <c r="B53" t="s">
        <v>145</v>
      </c>
      <c r="C53" t="s">
        <v>37</v>
      </c>
      <c r="D53">
        <v>44</v>
      </c>
      <c r="E53" t="s">
        <v>18</v>
      </c>
      <c r="F53" t="s">
        <v>126</v>
      </c>
      <c r="G53" t="s">
        <v>33</v>
      </c>
      <c r="H53">
        <v>104000</v>
      </c>
      <c r="I53">
        <v>7</v>
      </c>
      <c r="J53">
        <v>3</v>
      </c>
      <c r="K53">
        <v>4</v>
      </c>
      <c r="L53" t="s">
        <v>29</v>
      </c>
      <c r="M53" t="s">
        <v>29</v>
      </c>
      <c r="N53" t="s">
        <v>34</v>
      </c>
      <c r="O53" t="s">
        <v>43</v>
      </c>
    </row>
    <row r="54" spans="1:15" x14ac:dyDescent="0.3">
      <c r="A54" t="s">
        <v>146</v>
      </c>
      <c r="B54" t="s">
        <v>147</v>
      </c>
      <c r="C54" t="s">
        <v>17</v>
      </c>
      <c r="D54">
        <v>47</v>
      </c>
      <c r="E54" t="s">
        <v>66</v>
      </c>
      <c r="F54" t="s">
        <v>82</v>
      </c>
      <c r="G54" t="s">
        <v>46</v>
      </c>
      <c r="H54">
        <v>90000</v>
      </c>
      <c r="I54">
        <v>1</v>
      </c>
      <c r="J54">
        <v>3</v>
      </c>
      <c r="K54">
        <v>1</v>
      </c>
      <c r="L54" t="s">
        <v>29</v>
      </c>
      <c r="M54" t="s">
        <v>29</v>
      </c>
      <c r="N54" t="s">
        <v>34</v>
      </c>
      <c r="O54" t="s">
        <v>23</v>
      </c>
    </row>
    <row r="55" spans="1:15" x14ac:dyDescent="0.3">
      <c r="A55" t="s">
        <v>148</v>
      </c>
      <c r="B55" t="s">
        <v>149</v>
      </c>
      <c r="C55" t="s">
        <v>37</v>
      </c>
      <c r="D55">
        <v>38</v>
      </c>
      <c r="E55" t="s">
        <v>49</v>
      </c>
      <c r="F55" t="s">
        <v>27</v>
      </c>
      <c r="G55" t="s">
        <v>33</v>
      </c>
      <c r="H55">
        <v>117000</v>
      </c>
      <c r="I55">
        <v>2</v>
      </c>
      <c r="J55">
        <v>4</v>
      </c>
      <c r="K55">
        <v>2</v>
      </c>
      <c r="L55" t="s">
        <v>29</v>
      </c>
      <c r="M55" t="s">
        <v>29</v>
      </c>
      <c r="N55" t="s">
        <v>34</v>
      </c>
      <c r="O55" t="s">
        <v>51</v>
      </c>
    </row>
    <row r="56" spans="1:15" x14ac:dyDescent="0.3">
      <c r="A56" t="s">
        <v>150</v>
      </c>
      <c r="B56" t="s">
        <v>151</v>
      </c>
      <c r="C56" t="s">
        <v>37</v>
      </c>
      <c r="D56">
        <v>26</v>
      </c>
      <c r="E56" t="s">
        <v>49</v>
      </c>
      <c r="F56" t="s">
        <v>27</v>
      </c>
      <c r="G56" t="s">
        <v>46</v>
      </c>
      <c r="H56">
        <v>39000</v>
      </c>
      <c r="I56">
        <v>5</v>
      </c>
      <c r="J56">
        <v>5</v>
      </c>
      <c r="K56">
        <v>5</v>
      </c>
      <c r="L56" t="s">
        <v>29</v>
      </c>
      <c r="M56" t="s">
        <v>29</v>
      </c>
      <c r="N56" t="s">
        <v>22</v>
      </c>
      <c r="O56" t="s">
        <v>75</v>
      </c>
    </row>
    <row r="57" spans="1:15" x14ac:dyDescent="0.3">
      <c r="A57" t="s">
        <v>152</v>
      </c>
      <c r="B57" t="s">
        <v>72</v>
      </c>
      <c r="C57" t="s">
        <v>17</v>
      </c>
      <c r="D57">
        <v>30</v>
      </c>
      <c r="E57" t="s">
        <v>66</v>
      </c>
      <c r="F57" t="s">
        <v>82</v>
      </c>
      <c r="G57" t="s">
        <v>46</v>
      </c>
      <c r="H57">
        <v>34000</v>
      </c>
      <c r="I57">
        <v>9</v>
      </c>
      <c r="J57">
        <v>4</v>
      </c>
      <c r="K57">
        <v>3</v>
      </c>
      <c r="L57" t="s">
        <v>21</v>
      </c>
      <c r="M57" t="s">
        <v>29</v>
      </c>
      <c r="N57" t="s">
        <v>22</v>
      </c>
      <c r="O57" t="s">
        <v>70</v>
      </c>
    </row>
    <row r="58" spans="1:15" x14ac:dyDescent="0.3">
      <c r="A58" t="s">
        <v>153</v>
      </c>
      <c r="B58" t="s">
        <v>154</v>
      </c>
      <c r="C58" t="s">
        <v>17</v>
      </c>
      <c r="D58">
        <v>45</v>
      </c>
      <c r="E58" t="s">
        <v>26</v>
      </c>
      <c r="F58" t="s">
        <v>27</v>
      </c>
      <c r="G58" t="s">
        <v>46</v>
      </c>
      <c r="H58">
        <v>93000</v>
      </c>
      <c r="I58">
        <v>17</v>
      </c>
      <c r="J58">
        <v>3</v>
      </c>
      <c r="K58">
        <v>2</v>
      </c>
      <c r="L58" t="s">
        <v>29</v>
      </c>
      <c r="M58" t="s">
        <v>29</v>
      </c>
      <c r="N58" t="s">
        <v>22</v>
      </c>
      <c r="O58" t="s">
        <v>43</v>
      </c>
    </row>
    <row r="59" spans="1:15" x14ac:dyDescent="0.3">
      <c r="A59" t="s">
        <v>155</v>
      </c>
      <c r="B59" t="s">
        <v>156</v>
      </c>
      <c r="C59" t="s">
        <v>17</v>
      </c>
      <c r="D59">
        <v>32</v>
      </c>
      <c r="E59" t="s">
        <v>41</v>
      </c>
      <c r="F59" t="s">
        <v>73</v>
      </c>
      <c r="G59" t="s">
        <v>33</v>
      </c>
      <c r="H59">
        <v>35000</v>
      </c>
      <c r="I59">
        <v>4</v>
      </c>
      <c r="J59">
        <v>2</v>
      </c>
      <c r="K59">
        <v>5</v>
      </c>
      <c r="L59" t="s">
        <v>21</v>
      </c>
      <c r="M59" t="s">
        <v>29</v>
      </c>
      <c r="N59" t="s">
        <v>34</v>
      </c>
      <c r="O59" t="s">
        <v>43</v>
      </c>
    </row>
    <row r="60" spans="1:15" x14ac:dyDescent="0.3">
      <c r="A60" t="s">
        <v>157</v>
      </c>
      <c r="B60" t="s">
        <v>158</v>
      </c>
      <c r="C60" t="s">
        <v>37</v>
      </c>
      <c r="D60">
        <v>42</v>
      </c>
      <c r="E60" t="s">
        <v>57</v>
      </c>
      <c r="F60" t="s">
        <v>50</v>
      </c>
      <c r="G60" t="s">
        <v>33</v>
      </c>
      <c r="H60">
        <v>61000</v>
      </c>
      <c r="I60">
        <v>6</v>
      </c>
      <c r="J60">
        <v>4</v>
      </c>
      <c r="K60">
        <v>3</v>
      </c>
      <c r="L60" t="s">
        <v>21</v>
      </c>
      <c r="M60" t="s">
        <v>29</v>
      </c>
      <c r="N60" t="s">
        <v>22</v>
      </c>
      <c r="O60" t="s">
        <v>75</v>
      </c>
    </row>
    <row r="61" spans="1:15" x14ac:dyDescent="0.3">
      <c r="A61" t="s">
        <v>159</v>
      </c>
      <c r="B61" t="s">
        <v>160</v>
      </c>
      <c r="C61" t="s">
        <v>37</v>
      </c>
      <c r="D61">
        <v>51</v>
      </c>
      <c r="E61" t="s">
        <v>57</v>
      </c>
      <c r="F61" t="s">
        <v>50</v>
      </c>
      <c r="G61" t="s">
        <v>33</v>
      </c>
      <c r="H61">
        <v>103000</v>
      </c>
      <c r="I61">
        <v>16</v>
      </c>
      <c r="J61">
        <v>3</v>
      </c>
      <c r="K61">
        <v>4</v>
      </c>
      <c r="L61" t="s">
        <v>21</v>
      </c>
      <c r="M61" t="s">
        <v>29</v>
      </c>
      <c r="N61" t="s">
        <v>22</v>
      </c>
      <c r="O61" t="s">
        <v>43</v>
      </c>
    </row>
    <row r="62" spans="1:15" x14ac:dyDescent="0.3">
      <c r="A62" t="s">
        <v>161</v>
      </c>
      <c r="B62" t="s">
        <v>162</v>
      </c>
      <c r="C62" t="s">
        <v>17</v>
      </c>
      <c r="D62">
        <v>35</v>
      </c>
      <c r="E62" t="s">
        <v>41</v>
      </c>
      <c r="F62" t="s">
        <v>73</v>
      </c>
      <c r="G62" t="s">
        <v>28</v>
      </c>
      <c r="H62">
        <v>38000</v>
      </c>
      <c r="I62">
        <v>12</v>
      </c>
      <c r="J62">
        <v>3</v>
      </c>
      <c r="K62">
        <v>2</v>
      </c>
      <c r="L62" t="s">
        <v>29</v>
      </c>
      <c r="M62" t="s">
        <v>29</v>
      </c>
      <c r="N62" t="s">
        <v>34</v>
      </c>
      <c r="O62" t="s">
        <v>23</v>
      </c>
    </row>
    <row r="63" spans="1:15" x14ac:dyDescent="0.3">
      <c r="A63" t="s">
        <v>163</v>
      </c>
      <c r="B63" t="s">
        <v>164</v>
      </c>
      <c r="C63" t="s">
        <v>37</v>
      </c>
      <c r="D63">
        <v>26</v>
      </c>
      <c r="E63" t="s">
        <v>41</v>
      </c>
      <c r="F63" t="s">
        <v>73</v>
      </c>
      <c r="G63" t="s">
        <v>33</v>
      </c>
      <c r="H63">
        <v>28000</v>
      </c>
      <c r="I63">
        <v>5</v>
      </c>
      <c r="J63">
        <v>2</v>
      </c>
      <c r="K63">
        <v>3</v>
      </c>
      <c r="L63" t="s">
        <v>21</v>
      </c>
      <c r="M63" t="s">
        <v>29</v>
      </c>
      <c r="N63" t="s">
        <v>22</v>
      </c>
      <c r="O63" t="s">
        <v>43</v>
      </c>
    </row>
    <row r="64" spans="1:15" x14ac:dyDescent="0.3">
      <c r="A64" t="s">
        <v>165</v>
      </c>
      <c r="B64" t="s">
        <v>166</v>
      </c>
      <c r="C64" t="s">
        <v>17</v>
      </c>
      <c r="D64">
        <v>29</v>
      </c>
      <c r="E64" t="s">
        <v>26</v>
      </c>
      <c r="F64" t="s">
        <v>27</v>
      </c>
      <c r="G64" t="s">
        <v>20</v>
      </c>
      <c r="H64">
        <v>35000</v>
      </c>
      <c r="I64">
        <v>8</v>
      </c>
      <c r="J64">
        <v>2</v>
      </c>
      <c r="K64">
        <v>4</v>
      </c>
      <c r="L64" t="s">
        <v>21</v>
      </c>
      <c r="M64" t="s">
        <v>29</v>
      </c>
      <c r="N64" t="s">
        <v>34</v>
      </c>
      <c r="O64" t="s">
        <v>54</v>
      </c>
    </row>
    <row r="65" spans="1:15" x14ac:dyDescent="0.3">
      <c r="A65" t="s">
        <v>167</v>
      </c>
      <c r="B65" t="s">
        <v>168</v>
      </c>
      <c r="C65" t="s">
        <v>37</v>
      </c>
      <c r="D65">
        <v>26</v>
      </c>
      <c r="E65" t="s">
        <v>66</v>
      </c>
      <c r="F65" t="s">
        <v>67</v>
      </c>
      <c r="G65" t="s">
        <v>28</v>
      </c>
      <c r="H65">
        <v>98000</v>
      </c>
      <c r="I65">
        <v>1</v>
      </c>
      <c r="J65">
        <v>3</v>
      </c>
      <c r="K65">
        <v>2</v>
      </c>
      <c r="L65" t="s">
        <v>21</v>
      </c>
      <c r="M65" t="s">
        <v>29</v>
      </c>
      <c r="N65" t="s">
        <v>34</v>
      </c>
      <c r="O65" t="s">
        <v>75</v>
      </c>
    </row>
    <row r="66" spans="1:15" x14ac:dyDescent="0.3">
      <c r="A66" t="s">
        <v>169</v>
      </c>
      <c r="B66" t="s">
        <v>86</v>
      </c>
      <c r="C66" t="s">
        <v>37</v>
      </c>
      <c r="D66">
        <v>35</v>
      </c>
      <c r="E66" t="s">
        <v>66</v>
      </c>
      <c r="F66" t="s">
        <v>82</v>
      </c>
      <c r="G66" t="s">
        <v>33</v>
      </c>
      <c r="H66">
        <v>118000</v>
      </c>
      <c r="I66">
        <v>14</v>
      </c>
      <c r="J66">
        <v>4</v>
      </c>
      <c r="K66">
        <v>4</v>
      </c>
      <c r="L66" t="s">
        <v>21</v>
      </c>
      <c r="M66" t="s">
        <v>29</v>
      </c>
      <c r="N66" t="s">
        <v>22</v>
      </c>
      <c r="O66" t="s">
        <v>70</v>
      </c>
    </row>
    <row r="67" spans="1:15" x14ac:dyDescent="0.3">
      <c r="A67" t="s">
        <v>170</v>
      </c>
      <c r="B67" t="s">
        <v>86</v>
      </c>
      <c r="C67" t="s">
        <v>17</v>
      </c>
      <c r="D67">
        <v>29</v>
      </c>
      <c r="E67" t="s">
        <v>41</v>
      </c>
      <c r="F67" t="s">
        <v>42</v>
      </c>
      <c r="G67" t="s">
        <v>20</v>
      </c>
      <c r="H67">
        <v>55000</v>
      </c>
      <c r="I67">
        <v>0</v>
      </c>
      <c r="J67">
        <v>4</v>
      </c>
      <c r="K67">
        <v>2</v>
      </c>
      <c r="L67" t="s">
        <v>29</v>
      </c>
      <c r="M67" t="s">
        <v>29</v>
      </c>
      <c r="N67" t="s">
        <v>34</v>
      </c>
      <c r="O67" t="s">
        <v>38</v>
      </c>
    </row>
    <row r="68" spans="1:15" x14ac:dyDescent="0.3">
      <c r="A68" t="s">
        <v>171</v>
      </c>
      <c r="B68" t="s">
        <v>172</v>
      </c>
      <c r="C68" t="s">
        <v>37</v>
      </c>
      <c r="D68">
        <v>38</v>
      </c>
      <c r="E68" t="s">
        <v>41</v>
      </c>
      <c r="F68" t="s">
        <v>73</v>
      </c>
      <c r="G68" t="s">
        <v>20</v>
      </c>
      <c r="H68">
        <v>111000</v>
      </c>
      <c r="I68">
        <v>3</v>
      </c>
      <c r="J68">
        <v>3</v>
      </c>
      <c r="K68">
        <v>2</v>
      </c>
      <c r="L68" t="s">
        <v>29</v>
      </c>
      <c r="M68" t="s">
        <v>29</v>
      </c>
      <c r="N68" t="s">
        <v>34</v>
      </c>
      <c r="O68" t="s">
        <v>43</v>
      </c>
    </row>
    <row r="69" spans="1:15" x14ac:dyDescent="0.3">
      <c r="A69" t="s">
        <v>173</v>
      </c>
      <c r="B69" t="s">
        <v>104</v>
      </c>
      <c r="C69" t="s">
        <v>17</v>
      </c>
      <c r="D69">
        <v>42</v>
      </c>
      <c r="E69" t="s">
        <v>57</v>
      </c>
      <c r="F69" t="s">
        <v>50</v>
      </c>
      <c r="G69" t="s">
        <v>20</v>
      </c>
      <c r="H69">
        <v>117000</v>
      </c>
      <c r="I69">
        <v>7</v>
      </c>
      <c r="J69">
        <v>3</v>
      </c>
      <c r="K69">
        <v>5</v>
      </c>
      <c r="L69" t="s">
        <v>29</v>
      </c>
      <c r="M69" t="s">
        <v>29</v>
      </c>
      <c r="N69" t="s">
        <v>34</v>
      </c>
      <c r="O69" t="s">
        <v>43</v>
      </c>
    </row>
    <row r="70" spans="1:15" x14ac:dyDescent="0.3">
      <c r="A70" t="s">
        <v>174</v>
      </c>
      <c r="B70" t="s">
        <v>142</v>
      </c>
      <c r="C70" t="s">
        <v>17</v>
      </c>
      <c r="D70">
        <v>38</v>
      </c>
      <c r="E70" t="s">
        <v>57</v>
      </c>
      <c r="F70" t="s">
        <v>50</v>
      </c>
      <c r="G70" t="s">
        <v>46</v>
      </c>
      <c r="H70">
        <v>100000</v>
      </c>
      <c r="I70">
        <v>17</v>
      </c>
      <c r="J70">
        <v>3</v>
      </c>
      <c r="K70">
        <v>3</v>
      </c>
      <c r="L70" t="s">
        <v>21</v>
      </c>
      <c r="M70" t="s">
        <v>29</v>
      </c>
      <c r="N70" t="s">
        <v>34</v>
      </c>
      <c r="O70" t="s">
        <v>51</v>
      </c>
    </row>
    <row r="71" spans="1:15" x14ac:dyDescent="0.3">
      <c r="A71" t="s">
        <v>175</v>
      </c>
      <c r="B71" t="s">
        <v>176</v>
      </c>
      <c r="C71" t="s">
        <v>37</v>
      </c>
      <c r="D71">
        <v>37</v>
      </c>
      <c r="E71" t="s">
        <v>49</v>
      </c>
      <c r="F71" t="s">
        <v>50</v>
      </c>
      <c r="G71" t="s">
        <v>20</v>
      </c>
      <c r="H71">
        <v>87000</v>
      </c>
      <c r="I71">
        <v>11</v>
      </c>
      <c r="J71">
        <v>4</v>
      </c>
      <c r="K71">
        <v>3</v>
      </c>
      <c r="L71" t="s">
        <v>29</v>
      </c>
      <c r="M71" t="s">
        <v>21</v>
      </c>
      <c r="N71" t="s">
        <v>22</v>
      </c>
      <c r="O71" t="s">
        <v>43</v>
      </c>
    </row>
    <row r="72" spans="1:15" x14ac:dyDescent="0.3">
      <c r="A72" t="s">
        <v>177</v>
      </c>
      <c r="B72" t="s">
        <v>36</v>
      </c>
      <c r="C72" t="s">
        <v>17</v>
      </c>
      <c r="D72">
        <v>48</v>
      </c>
      <c r="E72" t="s">
        <v>49</v>
      </c>
      <c r="F72" t="s">
        <v>27</v>
      </c>
      <c r="G72" t="s">
        <v>28</v>
      </c>
      <c r="H72">
        <v>58000</v>
      </c>
      <c r="I72">
        <v>2</v>
      </c>
      <c r="J72">
        <v>5</v>
      </c>
      <c r="K72">
        <v>4</v>
      </c>
      <c r="L72" t="s">
        <v>29</v>
      </c>
      <c r="M72" t="s">
        <v>29</v>
      </c>
      <c r="N72" t="s">
        <v>34</v>
      </c>
      <c r="O72" t="s">
        <v>51</v>
      </c>
    </row>
    <row r="73" spans="1:15" x14ac:dyDescent="0.3">
      <c r="A73" t="s">
        <v>178</v>
      </c>
      <c r="B73" t="s">
        <v>179</v>
      </c>
      <c r="C73" t="s">
        <v>37</v>
      </c>
      <c r="D73">
        <v>27</v>
      </c>
      <c r="E73" t="s">
        <v>49</v>
      </c>
      <c r="F73" t="s">
        <v>27</v>
      </c>
      <c r="G73" t="s">
        <v>33</v>
      </c>
      <c r="H73">
        <v>106000</v>
      </c>
      <c r="I73">
        <v>6</v>
      </c>
      <c r="J73">
        <v>5</v>
      </c>
      <c r="K73">
        <v>3</v>
      </c>
      <c r="L73" t="s">
        <v>21</v>
      </c>
      <c r="M73" t="s">
        <v>21</v>
      </c>
      <c r="N73" t="s">
        <v>22</v>
      </c>
      <c r="O73" t="s">
        <v>38</v>
      </c>
    </row>
    <row r="74" spans="1:15" x14ac:dyDescent="0.3">
      <c r="A74" t="s">
        <v>180</v>
      </c>
      <c r="B74" t="s">
        <v>142</v>
      </c>
      <c r="C74" t="s">
        <v>37</v>
      </c>
      <c r="D74">
        <v>23</v>
      </c>
      <c r="E74" t="s">
        <v>66</v>
      </c>
      <c r="F74" t="s">
        <v>67</v>
      </c>
      <c r="G74" t="s">
        <v>28</v>
      </c>
      <c r="H74">
        <v>82000</v>
      </c>
      <c r="I74">
        <v>2</v>
      </c>
      <c r="J74">
        <v>4</v>
      </c>
      <c r="K74">
        <v>3</v>
      </c>
      <c r="L74" t="s">
        <v>29</v>
      </c>
      <c r="M74" t="s">
        <v>29</v>
      </c>
      <c r="N74" t="s">
        <v>22</v>
      </c>
      <c r="O74" t="s">
        <v>23</v>
      </c>
    </row>
    <row r="75" spans="1:15" x14ac:dyDescent="0.3">
      <c r="A75" t="s">
        <v>181</v>
      </c>
      <c r="B75" t="s">
        <v>40</v>
      </c>
      <c r="C75" t="s">
        <v>17</v>
      </c>
      <c r="D75">
        <v>52</v>
      </c>
      <c r="E75" t="s">
        <v>18</v>
      </c>
      <c r="F75" t="s">
        <v>19</v>
      </c>
      <c r="G75" t="s">
        <v>28</v>
      </c>
      <c r="H75">
        <v>113000</v>
      </c>
      <c r="I75">
        <v>11</v>
      </c>
      <c r="J75">
        <v>5</v>
      </c>
      <c r="K75">
        <v>5</v>
      </c>
      <c r="L75" t="s">
        <v>21</v>
      </c>
      <c r="M75" t="s">
        <v>29</v>
      </c>
      <c r="N75" t="s">
        <v>22</v>
      </c>
      <c r="O75" t="s">
        <v>43</v>
      </c>
    </row>
    <row r="76" spans="1:15" x14ac:dyDescent="0.3">
      <c r="A76" t="s">
        <v>182</v>
      </c>
      <c r="B76" t="s">
        <v>116</v>
      </c>
      <c r="C76" t="s">
        <v>17</v>
      </c>
      <c r="D76">
        <v>25</v>
      </c>
      <c r="E76" t="s">
        <v>18</v>
      </c>
      <c r="F76" t="s">
        <v>126</v>
      </c>
      <c r="G76" t="s">
        <v>20</v>
      </c>
      <c r="H76">
        <v>48000</v>
      </c>
      <c r="I76">
        <v>3</v>
      </c>
      <c r="J76">
        <v>4</v>
      </c>
      <c r="K76">
        <v>4</v>
      </c>
      <c r="L76" t="s">
        <v>29</v>
      </c>
      <c r="M76" t="s">
        <v>29</v>
      </c>
      <c r="N76" t="s">
        <v>22</v>
      </c>
      <c r="O76" t="s">
        <v>70</v>
      </c>
    </row>
    <row r="77" spans="1:15" x14ac:dyDescent="0.3">
      <c r="A77" t="s">
        <v>183</v>
      </c>
      <c r="B77" t="s">
        <v>134</v>
      </c>
      <c r="C77" t="s">
        <v>37</v>
      </c>
      <c r="D77">
        <v>43</v>
      </c>
      <c r="E77" t="s">
        <v>57</v>
      </c>
      <c r="F77" t="s">
        <v>27</v>
      </c>
      <c r="G77" t="s">
        <v>20</v>
      </c>
      <c r="H77">
        <v>68000</v>
      </c>
      <c r="I77">
        <v>2</v>
      </c>
      <c r="J77">
        <v>3</v>
      </c>
      <c r="K77">
        <v>5</v>
      </c>
      <c r="L77" t="s">
        <v>29</v>
      </c>
      <c r="M77" t="s">
        <v>29</v>
      </c>
      <c r="N77" t="s">
        <v>34</v>
      </c>
      <c r="O77" t="s">
        <v>23</v>
      </c>
    </row>
    <row r="78" spans="1:15" x14ac:dyDescent="0.3">
      <c r="A78" t="s">
        <v>184</v>
      </c>
      <c r="B78" t="s">
        <v>142</v>
      </c>
      <c r="C78" t="s">
        <v>37</v>
      </c>
      <c r="D78">
        <v>30</v>
      </c>
      <c r="E78" t="s">
        <v>57</v>
      </c>
      <c r="F78" t="s">
        <v>27</v>
      </c>
      <c r="G78" t="s">
        <v>46</v>
      </c>
      <c r="H78">
        <v>67000</v>
      </c>
      <c r="I78">
        <v>0</v>
      </c>
      <c r="J78">
        <v>4</v>
      </c>
      <c r="K78">
        <v>2</v>
      </c>
      <c r="L78" t="s">
        <v>21</v>
      </c>
      <c r="M78" t="s">
        <v>29</v>
      </c>
      <c r="N78" t="s">
        <v>34</v>
      </c>
      <c r="O78" t="s">
        <v>30</v>
      </c>
    </row>
    <row r="79" spans="1:15" x14ac:dyDescent="0.3">
      <c r="A79" t="s">
        <v>185</v>
      </c>
      <c r="B79" t="s">
        <v>186</v>
      </c>
      <c r="C79" t="s">
        <v>37</v>
      </c>
      <c r="D79">
        <v>50</v>
      </c>
      <c r="E79" t="s">
        <v>18</v>
      </c>
      <c r="F79" t="s">
        <v>126</v>
      </c>
      <c r="G79" t="s">
        <v>33</v>
      </c>
      <c r="H79">
        <v>102000</v>
      </c>
      <c r="I79">
        <v>20</v>
      </c>
      <c r="J79">
        <v>3</v>
      </c>
      <c r="K79">
        <v>5</v>
      </c>
      <c r="L79" t="s">
        <v>29</v>
      </c>
      <c r="M79" t="s">
        <v>29</v>
      </c>
      <c r="N79" t="s">
        <v>22</v>
      </c>
      <c r="O79" t="s">
        <v>70</v>
      </c>
    </row>
    <row r="80" spans="1:15" x14ac:dyDescent="0.3">
      <c r="A80" t="s">
        <v>187</v>
      </c>
      <c r="B80" t="s">
        <v>188</v>
      </c>
      <c r="C80" t="s">
        <v>37</v>
      </c>
      <c r="D80">
        <v>40</v>
      </c>
      <c r="E80" t="s">
        <v>26</v>
      </c>
      <c r="F80" t="s">
        <v>27</v>
      </c>
      <c r="G80" t="s">
        <v>33</v>
      </c>
      <c r="H80">
        <v>52000</v>
      </c>
      <c r="I80">
        <v>8</v>
      </c>
      <c r="J80">
        <v>4</v>
      </c>
      <c r="K80">
        <v>1</v>
      </c>
      <c r="L80" t="s">
        <v>29</v>
      </c>
      <c r="M80" t="s">
        <v>29</v>
      </c>
      <c r="N80" t="s">
        <v>22</v>
      </c>
      <c r="O80" t="s">
        <v>38</v>
      </c>
    </row>
    <row r="81" spans="1:15" x14ac:dyDescent="0.3">
      <c r="A81" t="s">
        <v>189</v>
      </c>
      <c r="B81" t="s">
        <v>98</v>
      </c>
      <c r="C81" t="s">
        <v>17</v>
      </c>
      <c r="D81">
        <v>49</v>
      </c>
      <c r="E81" t="s">
        <v>49</v>
      </c>
      <c r="F81" t="s">
        <v>50</v>
      </c>
      <c r="G81" t="s">
        <v>28</v>
      </c>
      <c r="H81">
        <v>66000</v>
      </c>
      <c r="I81">
        <v>12</v>
      </c>
      <c r="J81">
        <v>4</v>
      </c>
      <c r="K81">
        <v>4</v>
      </c>
      <c r="L81" t="s">
        <v>29</v>
      </c>
      <c r="M81" t="s">
        <v>29</v>
      </c>
      <c r="N81" t="s">
        <v>34</v>
      </c>
      <c r="O81" t="s">
        <v>23</v>
      </c>
    </row>
    <row r="82" spans="1:15" x14ac:dyDescent="0.3">
      <c r="A82" t="s">
        <v>190</v>
      </c>
      <c r="B82" t="s">
        <v>191</v>
      </c>
      <c r="C82" t="s">
        <v>17</v>
      </c>
      <c r="D82">
        <v>48</v>
      </c>
      <c r="E82" t="s">
        <v>49</v>
      </c>
      <c r="F82" t="s">
        <v>27</v>
      </c>
      <c r="G82" t="s">
        <v>46</v>
      </c>
      <c r="H82">
        <v>87000</v>
      </c>
      <c r="I82">
        <v>20</v>
      </c>
      <c r="J82">
        <v>3</v>
      </c>
      <c r="K82">
        <v>2</v>
      </c>
      <c r="L82" t="s">
        <v>29</v>
      </c>
      <c r="M82" t="s">
        <v>29</v>
      </c>
      <c r="N82" t="s">
        <v>34</v>
      </c>
      <c r="O82" t="s">
        <v>30</v>
      </c>
    </row>
    <row r="83" spans="1:15" x14ac:dyDescent="0.3">
      <c r="A83" t="s">
        <v>192</v>
      </c>
      <c r="B83" t="s">
        <v>114</v>
      </c>
      <c r="C83" t="s">
        <v>17</v>
      </c>
      <c r="D83">
        <v>54</v>
      </c>
      <c r="E83" t="s">
        <v>66</v>
      </c>
      <c r="F83" t="s">
        <v>82</v>
      </c>
      <c r="G83" t="s">
        <v>20</v>
      </c>
      <c r="H83">
        <v>74000</v>
      </c>
      <c r="I83">
        <v>12</v>
      </c>
      <c r="J83">
        <v>3</v>
      </c>
      <c r="K83">
        <v>1</v>
      </c>
      <c r="L83" t="s">
        <v>21</v>
      </c>
      <c r="M83" t="s">
        <v>21</v>
      </c>
      <c r="N83" t="s">
        <v>34</v>
      </c>
      <c r="O83" t="s">
        <v>23</v>
      </c>
    </row>
    <row r="84" spans="1:15" x14ac:dyDescent="0.3">
      <c r="A84" t="s">
        <v>193</v>
      </c>
      <c r="B84" t="s">
        <v>194</v>
      </c>
      <c r="C84" t="s">
        <v>37</v>
      </c>
      <c r="D84">
        <v>28</v>
      </c>
      <c r="E84" t="s">
        <v>49</v>
      </c>
      <c r="F84" t="s">
        <v>50</v>
      </c>
      <c r="G84" t="s">
        <v>28</v>
      </c>
      <c r="H84">
        <v>108000</v>
      </c>
      <c r="I84">
        <v>7</v>
      </c>
      <c r="J84">
        <v>5</v>
      </c>
      <c r="K84">
        <v>4</v>
      </c>
      <c r="L84" t="s">
        <v>21</v>
      </c>
      <c r="M84" t="s">
        <v>29</v>
      </c>
      <c r="N84" t="s">
        <v>34</v>
      </c>
      <c r="O84" t="s">
        <v>30</v>
      </c>
    </row>
    <row r="85" spans="1:15" x14ac:dyDescent="0.3">
      <c r="A85" t="s">
        <v>195</v>
      </c>
      <c r="B85" t="s">
        <v>158</v>
      </c>
      <c r="C85" t="s">
        <v>17</v>
      </c>
      <c r="D85">
        <v>22</v>
      </c>
      <c r="E85" t="s">
        <v>41</v>
      </c>
      <c r="F85" t="s">
        <v>42</v>
      </c>
      <c r="G85" t="s">
        <v>28</v>
      </c>
      <c r="H85">
        <v>69000</v>
      </c>
      <c r="I85">
        <v>1</v>
      </c>
      <c r="J85">
        <v>2</v>
      </c>
      <c r="K85">
        <v>2</v>
      </c>
      <c r="L85" t="s">
        <v>29</v>
      </c>
      <c r="M85" t="s">
        <v>29</v>
      </c>
      <c r="N85" t="s">
        <v>34</v>
      </c>
      <c r="O85" t="s">
        <v>70</v>
      </c>
    </row>
    <row r="86" spans="1:15" x14ac:dyDescent="0.3">
      <c r="A86" t="s">
        <v>196</v>
      </c>
      <c r="B86" t="s">
        <v>197</v>
      </c>
      <c r="C86" t="s">
        <v>17</v>
      </c>
      <c r="D86">
        <v>52</v>
      </c>
      <c r="E86" t="s">
        <v>49</v>
      </c>
      <c r="F86" t="s">
        <v>50</v>
      </c>
      <c r="G86" t="s">
        <v>20</v>
      </c>
      <c r="H86">
        <v>104000</v>
      </c>
      <c r="I86">
        <v>0</v>
      </c>
      <c r="J86">
        <v>3</v>
      </c>
      <c r="K86">
        <v>5</v>
      </c>
      <c r="L86" t="s">
        <v>29</v>
      </c>
      <c r="M86" t="s">
        <v>29</v>
      </c>
      <c r="N86" t="s">
        <v>34</v>
      </c>
      <c r="O86" t="s">
        <v>70</v>
      </c>
    </row>
    <row r="87" spans="1:15" x14ac:dyDescent="0.3">
      <c r="A87" t="s">
        <v>198</v>
      </c>
      <c r="B87" t="s">
        <v>199</v>
      </c>
      <c r="C87" t="s">
        <v>17</v>
      </c>
      <c r="D87">
        <v>37</v>
      </c>
      <c r="E87" t="s">
        <v>41</v>
      </c>
      <c r="F87" t="s">
        <v>73</v>
      </c>
      <c r="G87" t="s">
        <v>20</v>
      </c>
      <c r="H87">
        <v>32000</v>
      </c>
      <c r="I87">
        <v>16</v>
      </c>
      <c r="J87">
        <v>4</v>
      </c>
      <c r="K87">
        <v>3</v>
      </c>
      <c r="L87" t="s">
        <v>29</v>
      </c>
      <c r="M87" t="s">
        <v>29</v>
      </c>
      <c r="N87" t="s">
        <v>22</v>
      </c>
      <c r="O87" t="s">
        <v>51</v>
      </c>
    </row>
    <row r="88" spans="1:15" x14ac:dyDescent="0.3">
      <c r="A88" t="s">
        <v>200</v>
      </c>
      <c r="B88" t="s">
        <v>201</v>
      </c>
      <c r="C88" t="s">
        <v>37</v>
      </c>
      <c r="D88">
        <v>31</v>
      </c>
      <c r="E88" t="s">
        <v>49</v>
      </c>
      <c r="F88" t="s">
        <v>50</v>
      </c>
      <c r="G88" t="s">
        <v>20</v>
      </c>
      <c r="H88">
        <v>78000</v>
      </c>
      <c r="I88">
        <v>10</v>
      </c>
      <c r="J88">
        <v>3</v>
      </c>
      <c r="K88">
        <v>4</v>
      </c>
      <c r="L88" t="s">
        <v>29</v>
      </c>
      <c r="M88" t="s">
        <v>29</v>
      </c>
      <c r="N88" t="s">
        <v>22</v>
      </c>
      <c r="O88" t="s">
        <v>51</v>
      </c>
    </row>
    <row r="89" spans="1:15" x14ac:dyDescent="0.3">
      <c r="A89" t="s">
        <v>202</v>
      </c>
      <c r="B89" t="s">
        <v>203</v>
      </c>
      <c r="C89" t="s">
        <v>37</v>
      </c>
      <c r="D89">
        <v>31</v>
      </c>
      <c r="E89" t="s">
        <v>18</v>
      </c>
      <c r="F89" t="s">
        <v>126</v>
      </c>
      <c r="G89" t="s">
        <v>33</v>
      </c>
      <c r="H89">
        <v>113000</v>
      </c>
      <c r="I89">
        <v>9</v>
      </c>
      <c r="J89">
        <v>4</v>
      </c>
      <c r="K89">
        <v>4</v>
      </c>
      <c r="L89" t="s">
        <v>21</v>
      </c>
      <c r="M89" t="s">
        <v>29</v>
      </c>
      <c r="N89" t="s">
        <v>34</v>
      </c>
      <c r="O89" t="s">
        <v>70</v>
      </c>
    </row>
    <row r="90" spans="1:15" x14ac:dyDescent="0.3">
      <c r="A90" t="s">
        <v>204</v>
      </c>
      <c r="B90" t="s">
        <v>205</v>
      </c>
      <c r="C90" t="s">
        <v>37</v>
      </c>
      <c r="D90">
        <v>54</v>
      </c>
      <c r="E90" t="s">
        <v>57</v>
      </c>
      <c r="F90" t="s">
        <v>27</v>
      </c>
      <c r="G90" t="s">
        <v>20</v>
      </c>
      <c r="H90">
        <v>74000</v>
      </c>
      <c r="I90">
        <v>1</v>
      </c>
      <c r="J90">
        <v>3</v>
      </c>
      <c r="K90">
        <v>2</v>
      </c>
      <c r="L90" t="s">
        <v>29</v>
      </c>
      <c r="M90" t="s">
        <v>29</v>
      </c>
      <c r="N90" t="s">
        <v>34</v>
      </c>
      <c r="O90" t="s">
        <v>43</v>
      </c>
    </row>
    <row r="91" spans="1:15" x14ac:dyDescent="0.3">
      <c r="A91" t="s">
        <v>206</v>
      </c>
      <c r="B91" t="s">
        <v>207</v>
      </c>
      <c r="C91" t="s">
        <v>17</v>
      </c>
      <c r="D91">
        <v>29</v>
      </c>
      <c r="E91" t="s">
        <v>49</v>
      </c>
      <c r="F91" t="s">
        <v>50</v>
      </c>
      <c r="G91" t="s">
        <v>33</v>
      </c>
      <c r="H91">
        <v>59000</v>
      </c>
      <c r="I91">
        <v>3</v>
      </c>
      <c r="J91">
        <v>5</v>
      </c>
      <c r="K91">
        <v>2</v>
      </c>
      <c r="L91" t="s">
        <v>29</v>
      </c>
      <c r="M91" t="s">
        <v>29</v>
      </c>
      <c r="N91" t="s">
        <v>34</v>
      </c>
      <c r="O91" t="s">
        <v>23</v>
      </c>
    </row>
    <row r="92" spans="1:15" x14ac:dyDescent="0.3">
      <c r="A92" t="s">
        <v>208</v>
      </c>
      <c r="B92" t="s">
        <v>116</v>
      </c>
      <c r="C92" t="s">
        <v>37</v>
      </c>
      <c r="D92">
        <v>55</v>
      </c>
      <c r="E92" t="s">
        <v>66</v>
      </c>
      <c r="F92" t="s">
        <v>82</v>
      </c>
      <c r="G92" t="s">
        <v>33</v>
      </c>
      <c r="H92">
        <v>113000</v>
      </c>
      <c r="I92">
        <v>1</v>
      </c>
      <c r="J92">
        <v>3</v>
      </c>
      <c r="K92">
        <v>1</v>
      </c>
      <c r="L92" t="s">
        <v>29</v>
      </c>
      <c r="M92" t="s">
        <v>21</v>
      </c>
      <c r="N92" t="s">
        <v>22</v>
      </c>
      <c r="O92" t="s">
        <v>38</v>
      </c>
    </row>
    <row r="93" spans="1:15" x14ac:dyDescent="0.3">
      <c r="A93" t="s">
        <v>209</v>
      </c>
      <c r="B93" t="s">
        <v>210</v>
      </c>
      <c r="C93" t="s">
        <v>37</v>
      </c>
      <c r="D93">
        <v>51</v>
      </c>
      <c r="E93" t="s">
        <v>18</v>
      </c>
      <c r="F93" t="s">
        <v>19</v>
      </c>
      <c r="G93" t="s">
        <v>28</v>
      </c>
      <c r="H93">
        <v>73000</v>
      </c>
      <c r="I93">
        <v>14</v>
      </c>
      <c r="J93">
        <v>3</v>
      </c>
      <c r="K93">
        <v>1</v>
      </c>
      <c r="L93" t="s">
        <v>21</v>
      </c>
      <c r="M93" t="s">
        <v>29</v>
      </c>
      <c r="N93" t="s">
        <v>34</v>
      </c>
      <c r="O93" t="s">
        <v>30</v>
      </c>
    </row>
    <row r="94" spans="1:15" x14ac:dyDescent="0.3">
      <c r="A94" t="s">
        <v>211</v>
      </c>
      <c r="B94" t="s">
        <v>210</v>
      </c>
      <c r="C94" t="s">
        <v>37</v>
      </c>
      <c r="D94">
        <v>38</v>
      </c>
      <c r="E94" t="s">
        <v>18</v>
      </c>
      <c r="F94" t="s">
        <v>126</v>
      </c>
      <c r="G94" t="s">
        <v>33</v>
      </c>
      <c r="H94">
        <v>65000</v>
      </c>
      <c r="I94">
        <v>14</v>
      </c>
      <c r="J94">
        <v>4</v>
      </c>
      <c r="K94">
        <v>5</v>
      </c>
      <c r="L94" t="s">
        <v>21</v>
      </c>
      <c r="M94" t="s">
        <v>29</v>
      </c>
      <c r="N94" t="s">
        <v>22</v>
      </c>
      <c r="O94" t="s">
        <v>38</v>
      </c>
    </row>
    <row r="95" spans="1:15" x14ac:dyDescent="0.3">
      <c r="A95" t="s">
        <v>212</v>
      </c>
      <c r="B95" t="s">
        <v>56</v>
      </c>
      <c r="C95" t="s">
        <v>37</v>
      </c>
      <c r="D95">
        <v>33</v>
      </c>
      <c r="E95" t="s">
        <v>18</v>
      </c>
      <c r="F95" t="s">
        <v>19</v>
      </c>
      <c r="G95" t="s">
        <v>33</v>
      </c>
      <c r="H95">
        <v>108000</v>
      </c>
      <c r="I95">
        <v>12</v>
      </c>
      <c r="J95">
        <v>5</v>
      </c>
      <c r="K95">
        <v>5</v>
      </c>
      <c r="L95" t="s">
        <v>21</v>
      </c>
      <c r="M95" t="s">
        <v>29</v>
      </c>
      <c r="N95" t="s">
        <v>22</v>
      </c>
      <c r="O95" t="s">
        <v>54</v>
      </c>
    </row>
    <row r="96" spans="1:15" x14ac:dyDescent="0.3">
      <c r="A96" t="s">
        <v>213</v>
      </c>
      <c r="B96" t="s">
        <v>130</v>
      </c>
      <c r="C96" t="s">
        <v>37</v>
      </c>
      <c r="D96">
        <v>48</v>
      </c>
      <c r="E96" t="s">
        <v>18</v>
      </c>
      <c r="F96" t="s">
        <v>19</v>
      </c>
      <c r="G96" t="s">
        <v>33</v>
      </c>
      <c r="H96">
        <v>73000</v>
      </c>
      <c r="I96">
        <v>14</v>
      </c>
      <c r="J96">
        <v>3</v>
      </c>
      <c r="K96">
        <v>4</v>
      </c>
      <c r="L96" t="s">
        <v>21</v>
      </c>
      <c r="M96" t="s">
        <v>29</v>
      </c>
      <c r="N96" t="s">
        <v>22</v>
      </c>
      <c r="O96" t="s">
        <v>70</v>
      </c>
    </row>
    <row r="97" spans="1:15" x14ac:dyDescent="0.3">
      <c r="A97" t="s">
        <v>214</v>
      </c>
      <c r="B97" t="s">
        <v>215</v>
      </c>
      <c r="C97" t="s">
        <v>17</v>
      </c>
      <c r="D97">
        <v>47</v>
      </c>
      <c r="E97" t="s">
        <v>18</v>
      </c>
      <c r="F97" t="s">
        <v>126</v>
      </c>
      <c r="G97" t="s">
        <v>46</v>
      </c>
      <c r="H97">
        <v>51000</v>
      </c>
      <c r="I97">
        <v>3</v>
      </c>
      <c r="J97">
        <v>5</v>
      </c>
      <c r="K97">
        <v>2</v>
      </c>
      <c r="L97" t="s">
        <v>21</v>
      </c>
      <c r="M97" t="s">
        <v>21</v>
      </c>
      <c r="N97" t="s">
        <v>22</v>
      </c>
      <c r="O97" t="s">
        <v>54</v>
      </c>
    </row>
    <row r="98" spans="1:15" x14ac:dyDescent="0.3">
      <c r="A98" t="s">
        <v>216</v>
      </c>
      <c r="B98" t="s">
        <v>217</v>
      </c>
      <c r="C98" t="s">
        <v>37</v>
      </c>
      <c r="D98">
        <v>26</v>
      </c>
      <c r="E98" t="s">
        <v>41</v>
      </c>
      <c r="F98" t="s">
        <v>73</v>
      </c>
      <c r="G98" t="s">
        <v>28</v>
      </c>
      <c r="H98">
        <v>112000</v>
      </c>
      <c r="I98">
        <v>5</v>
      </c>
      <c r="J98">
        <v>5</v>
      </c>
      <c r="K98">
        <v>2</v>
      </c>
      <c r="L98" t="s">
        <v>29</v>
      </c>
      <c r="M98" t="s">
        <v>29</v>
      </c>
      <c r="N98" t="s">
        <v>22</v>
      </c>
      <c r="O98" t="s">
        <v>43</v>
      </c>
    </row>
    <row r="99" spans="1:15" x14ac:dyDescent="0.3">
      <c r="A99" t="s">
        <v>218</v>
      </c>
      <c r="B99" t="s">
        <v>219</v>
      </c>
      <c r="C99" t="s">
        <v>37</v>
      </c>
      <c r="D99">
        <v>53</v>
      </c>
      <c r="E99" t="s">
        <v>41</v>
      </c>
      <c r="F99" t="s">
        <v>42</v>
      </c>
      <c r="G99" t="s">
        <v>46</v>
      </c>
      <c r="H99">
        <v>92000</v>
      </c>
      <c r="I99">
        <v>19</v>
      </c>
      <c r="J99">
        <v>2</v>
      </c>
      <c r="K99">
        <v>5</v>
      </c>
      <c r="L99" t="s">
        <v>21</v>
      </c>
      <c r="M99" t="s">
        <v>29</v>
      </c>
      <c r="N99" t="s">
        <v>22</v>
      </c>
      <c r="O99" t="s">
        <v>70</v>
      </c>
    </row>
    <row r="100" spans="1:15" x14ac:dyDescent="0.3">
      <c r="A100" t="s">
        <v>220</v>
      </c>
      <c r="B100" t="s">
        <v>221</v>
      </c>
      <c r="C100" t="s">
        <v>37</v>
      </c>
      <c r="D100">
        <v>51</v>
      </c>
      <c r="E100" t="s">
        <v>18</v>
      </c>
      <c r="F100" t="s">
        <v>126</v>
      </c>
      <c r="G100" t="s">
        <v>20</v>
      </c>
      <c r="H100">
        <v>105000</v>
      </c>
      <c r="I100">
        <v>1</v>
      </c>
      <c r="J100">
        <v>5</v>
      </c>
      <c r="K100">
        <v>3</v>
      </c>
      <c r="L100" t="s">
        <v>29</v>
      </c>
      <c r="M100" t="s">
        <v>29</v>
      </c>
      <c r="N100" t="s">
        <v>34</v>
      </c>
      <c r="O100" t="s">
        <v>30</v>
      </c>
    </row>
    <row r="101" spans="1:15" x14ac:dyDescent="0.3">
      <c r="A101" t="s">
        <v>222</v>
      </c>
      <c r="B101" t="s">
        <v>223</v>
      </c>
      <c r="C101" t="s">
        <v>37</v>
      </c>
      <c r="D101">
        <v>43</v>
      </c>
      <c r="E101" t="s">
        <v>66</v>
      </c>
      <c r="F101" t="s">
        <v>82</v>
      </c>
      <c r="G101" t="s">
        <v>28</v>
      </c>
      <c r="H101">
        <v>46000</v>
      </c>
      <c r="I101">
        <v>16</v>
      </c>
      <c r="J101">
        <v>3</v>
      </c>
      <c r="K101">
        <v>5</v>
      </c>
      <c r="L101" t="s">
        <v>21</v>
      </c>
      <c r="M101" t="s">
        <v>29</v>
      </c>
      <c r="N101" t="s">
        <v>22</v>
      </c>
      <c r="O101" t="s">
        <v>38</v>
      </c>
    </row>
    <row r="102" spans="1:15" x14ac:dyDescent="0.3">
      <c r="A102" t="s">
        <v>224</v>
      </c>
      <c r="B102" t="s">
        <v>225</v>
      </c>
      <c r="C102" t="s">
        <v>37</v>
      </c>
      <c r="D102">
        <v>50</v>
      </c>
      <c r="E102" t="s">
        <v>57</v>
      </c>
      <c r="F102" t="s">
        <v>27</v>
      </c>
      <c r="G102" t="s">
        <v>33</v>
      </c>
      <c r="H102">
        <v>76000</v>
      </c>
      <c r="I102">
        <v>12</v>
      </c>
      <c r="J102">
        <v>2</v>
      </c>
      <c r="K102">
        <v>3</v>
      </c>
      <c r="L102" t="s">
        <v>21</v>
      </c>
      <c r="M102" t="s">
        <v>29</v>
      </c>
      <c r="N102" t="s">
        <v>34</v>
      </c>
      <c r="O102" t="s">
        <v>54</v>
      </c>
    </row>
    <row r="103" spans="1:15" x14ac:dyDescent="0.3">
      <c r="A103" t="s">
        <v>226</v>
      </c>
      <c r="B103" t="s">
        <v>227</v>
      </c>
      <c r="C103" t="s">
        <v>37</v>
      </c>
      <c r="D103">
        <v>34</v>
      </c>
      <c r="E103" t="s">
        <v>26</v>
      </c>
      <c r="F103" t="s">
        <v>50</v>
      </c>
      <c r="G103" t="s">
        <v>20</v>
      </c>
      <c r="H103">
        <v>62000</v>
      </c>
      <c r="I103">
        <v>9</v>
      </c>
      <c r="J103">
        <v>4</v>
      </c>
      <c r="K103">
        <v>2</v>
      </c>
      <c r="L103" t="s">
        <v>29</v>
      </c>
      <c r="M103" t="s">
        <v>29</v>
      </c>
      <c r="N103" t="s">
        <v>22</v>
      </c>
      <c r="O103" t="s">
        <v>43</v>
      </c>
    </row>
    <row r="104" spans="1:15" x14ac:dyDescent="0.3">
      <c r="A104" t="s">
        <v>228</v>
      </c>
      <c r="B104" t="s">
        <v>229</v>
      </c>
      <c r="C104" t="s">
        <v>37</v>
      </c>
      <c r="D104">
        <v>40</v>
      </c>
      <c r="E104" t="s">
        <v>57</v>
      </c>
      <c r="F104" t="s">
        <v>27</v>
      </c>
      <c r="G104" t="s">
        <v>20</v>
      </c>
      <c r="H104">
        <v>46000</v>
      </c>
      <c r="I104">
        <v>5</v>
      </c>
      <c r="J104">
        <v>2</v>
      </c>
      <c r="K104">
        <v>5</v>
      </c>
      <c r="L104" t="s">
        <v>21</v>
      </c>
      <c r="M104" t="s">
        <v>29</v>
      </c>
      <c r="N104" t="s">
        <v>34</v>
      </c>
      <c r="O104" t="s">
        <v>23</v>
      </c>
    </row>
    <row r="105" spans="1:15" x14ac:dyDescent="0.3">
      <c r="A105" t="s">
        <v>230</v>
      </c>
      <c r="B105" t="s">
        <v>128</v>
      </c>
      <c r="C105" t="s">
        <v>37</v>
      </c>
      <c r="D105">
        <v>50</v>
      </c>
      <c r="E105" t="s">
        <v>57</v>
      </c>
      <c r="F105" t="s">
        <v>27</v>
      </c>
      <c r="G105" t="s">
        <v>28</v>
      </c>
      <c r="H105">
        <v>100000</v>
      </c>
      <c r="I105">
        <v>11</v>
      </c>
      <c r="J105">
        <v>5</v>
      </c>
      <c r="K105">
        <v>5</v>
      </c>
      <c r="L105" t="s">
        <v>21</v>
      </c>
      <c r="M105" t="s">
        <v>29</v>
      </c>
      <c r="N105" t="s">
        <v>34</v>
      </c>
      <c r="O105" t="s">
        <v>38</v>
      </c>
    </row>
    <row r="106" spans="1:15" x14ac:dyDescent="0.3">
      <c r="A106" t="s">
        <v>231</v>
      </c>
      <c r="B106" t="s">
        <v>56</v>
      </c>
      <c r="C106" t="s">
        <v>17</v>
      </c>
      <c r="D106">
        <v>49</v>
      </c>
      <c r="E106" t="s">
        <v>41</v>
      </c>
      <c r="F106" t="s">
        <v>42</v>
      </c>
      <c r="G106" t="s">
        <v>28</v>
      </c>
      <c r="H106">
        <v>57000</v>
      </c>
      <c r="I106">
        <v>7</v>
      </c>
      <c r="J106">
        <v>5</v>
      </c>
      <c r="K106">
        <v>1</v>
      </c>
      <c r="L106" t="s">
        <v>21</v>
      </c>
      <c r="M106" t="s">
        <v>21</v>
      </c>
      <c r="N106" t="s">
        <v>34</v>
      </c>
      <c r="O106" t="s">
        <v>43</v>
      </c>
    </row>
    <row r="107" spans="1:15" x14ac:dyDescent="0.3">
      <c r="A107" t="s">
        <v>232</v>
      </c>
      <c r="B107" t="s">
        <v>233</v>
      </c>
      <c r="C107" t="s">
        <v>17</v>
      </c>
      <c r="D107">
        <v>38</v>
      </c>
      <c r="E107" t="s">
        <v>41</v>
      </c>
      <c r="F107" t="s">
        <v>73</v>
      </c>
      <c r="G107" t="s">
        <v>33</v>
      </c>
      <c r="H107">
        <v>92000</v>
      </c>
      <c r="I107">
        <v>15</v>
      </c>
      <c r="J107">
        <v>3</v>
      </c>
      <c r="K107">
        <v>1</v>
      </c>
      <c r="L107" t="s">
        <v>21</v>
      </c>
      <c r="M107" t="s">
        <v>21</v>
      </c>
      <c r="N107" t="s">
        <v>34</v>
      </c>
      <c r="O107" t="s">
        <v>43</v>
      </c>
    </row>
    <row r="108" spans="1:15" x14ac:dyDescent="0.3">
      <c r="A108" t="s">
        <v>234</v>
      </c>
      <c r="B108" t="s">
        <v>217</v>
      </c>
      <c r="C108" t="s">
        <v>37</v>
      </c>
      <c r="D108">
        <v>36</v>
      </c>
      <c r="E108" t="s">
        <v>41</v>
      </c>
      <c r="F108" t="s">
        <v>73</v>
      </c>
      <c r="G108" t="s">
        <v>46</v>
      </c>
      <c r="H108">
        <v>101000</v>
      </c>
      <c r="I108">
        <v>13</v>
      </c>
      <c r="J108">
        <v>3</v>
      </c>
      <c r="K108">
        <v>5</v>
      </c>
      <c r="L108" t="s">
        <v>21</v>
      </c>
      <c r="M108" t="s">
        <v>29</v>
      </c>
      <c r="N108" t="s">
        <v>34</v>
      </c>
      <c r="O108" t="s">
        <v>43</v>
      </c>
    </row>
    <row r="109" spans="1:15" x14ac:dyDescent="0.3">
      <c r="A109" t="s">
        <v>235</v>
      </c>
      <c r="B109" t="s">
        <v>25</v>
      </c>
      <c r="C109" t="s">
        <v>37</v>
      </c>
      <c r="D109">
        <v>35</v>
      </c>
      <c r="E109" t="s">
        <v>26</v>
      </c>
      <c r="F109" t="s">
        <v>50</v>
      </c>
      <c r="G109" t="s">
        <v>33</v>
      </c>
      <c r="H109">
        <v>29000</v>
      </c>
      <c r="I109">
        <v>13</v>
      </c>
      <c r="J109">
        <v>4</v>
      </c>
      <c r="K109">
        <v>5</v>
      </c>
      <c r="L109" t="s">
        <v>29</v>
      </c>
      <c r="M109" t="s">
        <v>29</v>
      </c>
      <c r="N109" t="s">
        <v>22</v>
      </c>
      <c r="O109" t="s">
        <v>43</v>
      </c>
    </row>
    <row r="110" spans="1:15" x14ac:dyDescent="0.3">
      <c r="A110" t="s">
        <v>236</v>
      </c>
      <c r="B110" t="s">
        <v>109</v>
      </c>
      <c r="C110" t="s">
        <v>37</v>
      </c>
      <c r="D110">
        <v>29</v>
      </c>
      <c r="E110" t="s">
        <v>49</v>
      </c>
      <c r="F110" t="s">
        <v>27</v>
      </c>
      <c r="G110" t="s">
        <v>46</v>
      </c>
      <c r="H110">
        <v>46000</v>
      </c>
      <c r="I110">
        <v>8</v>
      </c>
      <c r="J110">
        <v>4</v>
      </c>
      <c r="K110">
        <v>4</v>
      </c>
      <c r="L110" t="s">
        <v>29</v>
      </c>
      <c r="M110" t="s">
        <v>29</v>
      </c>
      <c r="N110" t="s">
        <v>22</v>
      </c>
      <c r="O110" t="s">
        <v>38</v>
      </c>
    </row>
    <row r="111" spans="1:15" x14ac:dyDescent="0.3">
      <c r="A111" t="s">
        <v>237</v>
      </c>
      <c r="B111" t="s">
        <v>238</v>
      </c>
      <c r="C111" t="s">
        <v>17</v>
      </c>
      <c r="D111">
        <v>29</v>
      </c>
      <c r="E111" t="s">
        <v>26</v>
      </c>
      <c r="F111" t="s">
        <v>27</v>
      </c>
      <c r="G111" t="s">
        <v>20</v>
      </c>
      <c r="H111">
        <v>104000</v>
      </c>
      <c r="I111">
        <v>8</v>
      </c>
      <c r="J111">
        <v>5</v>
      </c>
      <c r="K111">
        <v>3</v>
      </c>
      <c r="L111" t="s">
        <v>21</v>
      </c>
      <c r="M111" t="s">
        <v>29</v>
      </c>
      <c r="N111" t="s">
        <v>34</v>
      </c>
      <c r="O111" t="s">
        <v>30</v>
      </c>
    </row>
    <row r="112" spans="1:15" x14ac:dyDescent="0.3">
      <c r="A112" t="s">
        <v>239</v>
      </c>
      <c r="B112" t="s">
        <v>240</v>
      </c>
      <c r="C112" t="s">
        <v>17</v>
      </c>
      <c r="D112">
        <v>43</v>
      </c>
      <c r="E112" t="s">
        <v>26</v>
      </c>
      <c r="F112" t="s">
        <v>50</v>
      </c>
      <c r="G112" t="s">
        <v>28</v>
      </c>
      <c r="H112">
        <v>93000</v>
      </c>
      <c r="I112">
        <v>16</v>
      </c>
      <c r="J112">
        <v>4</v>
      </c>
      <c r="K112">
        <v>4</v>
      </c>
      <c r="L112" t="s">
        <v>29</v>
      </c>
      <c r="M112" t="s">
        <v>29</v>
      </c>
      <c r="N112" t="s">
        <v>34</v>
      </c>
      <c r="O112" t="s">
        <v>30</v>
      </c>
    </row>
    <row r="113" spans="1:15" x14ac:dyDescent="0.3">
      <c r="A113" t="s">
        <v>241</v>
      </c>
      <c r="B113" t="s">
        <v>242</v>
      </c>
      <c r="C113" t="s">
        <v>17</v>
      </c>
      <c r="D113">
        <v>23</v>
      </c>
      <c r="E113" t="s">
        <v>66</v>
      </c>
      <c r="F113" t="s">
        <v>82</v>
      </c>
      <c r="G113" t="s">
        <v>28</v>
      </c>
      <c r="H113">
        <v>110000</v>
      </c>
      <c r="I113">
        <v>2</v>
      </c>
      <c r="J113">
        <v>4</v>
      </c>
      <c r="K113">
        <v>5</v>
      </c>
      <c r="L113" t="s">
        <v>21</v>
      </c>
      <c r="M113" t="s">
        <v>29</v>
      </c>
      <c r="N113" t="s">
        <v>34</v>
      </c>
      <c r="O113" t="s">
        <v>43</v>
      </c>
    </row>
    <row r="114" spans="1:15" x14ac:dyDescent="0.3">
      <c r="A114" t="s">
        <v>243</v>
      </c>
      <c r="B114" t="s">
        <v>244</v>
      </c>
      <c r="C114" t="s">
        <v>17</v>
      </c>
      <c r="D114">
        <v>31</v>
      </c>
      <c r="E114" t="s">
        <v>57</v>
      </c>
      <c r="F114" t="s">
        <v>27</v>
      </c>
      <c r="G114" t="s">
        <v>46</v>
      </c>
      <c r="H114">
        <v>94000</v>
      </c>
      <c r="I114">
        <v>4</v>
      </c>
      <c r="J114">
        <v>5</v>
      </c>
      <c r="K114">
        <v>1</v>
      </c>
      <c r="L114" t="s">
        <v>29</v>
      </c>
      <c r="M114" t="s">
        <v>29</v>
      </c>
      <c r="N114" t="s">
        <v>34</v>
      </c>
      <c r="O114" t="s">
        <v>70</v>
      </c>
    </row>
    <row r="115" spans="1:15" x14ac:dyDescent="0.3">
      <c r="A115" t="s">
        <v>245</v>
      </c>
      <c r="B115" t="s">
        <v>246</v>
      </c>
      <c r="C115" t="s">
        <v>17</v>
      </c>
      <c r="D115">
        <v>34</v>
      </c>
      <c r="E115" t="s">
        <v>57</v>
      </c>
      <c r="F115" t="s">
        <v>27</v>
      </c>
      <c r="G115" t="s">
        <v>20</v>
      </c>
      <c r="H115">
        <v>109000</v>
      </c>
      <c r="I115">
        <v>13</v>
      </c>
      <c r="J115">
        <v>4</v>
      </c>
      <c r="K115">
        <v>1</v>
      </c>
      <c r="L115" t="s">
        <v>29</v>
      </c>
      <c r="M115" t="s">
        <v>29</v>
      </c>
      <c r="N115" t="s">
        <v>22</v>
      </c>
      <c r="O115" t="s">
        <v>23</v>
      </c>
    </row>
    <row r="116" spans="1:15" x14ac:dyDescent="0.3">
      <c r="A116" t="s">
        <v>247</v>
      </c>
      <c r="B116" t="s">
        <v>162</v>
      </c>
      <c r="C116" t="s">
        <v>37</v>
      </c>
      <c r="D116">
        <v>29</v>
      </c>
      <c r="E116" t="s">
        <v>18</v>
      </c>
      <c r="F116" t="s">
        <v>126</v>
      </c>
      <c r="G116" t="s">
        <v>33</v>
      </c>
      <c r="H116">
        <v>31000</v>
      </c>
      <c r="I116">
        <v>8</v>
      </c>
      <c r="J116">
        <v>2</v>
      </c>
      <c r="K116">
        <v>3</v>
      </c>
      <c r="L116" t="s">
        <v>21</v>
      </c>
      <c r="M116" t="s">
        <v>29</v>
      </c>
      <c r="N116" t="s">
        <v>22</v>
      </c>
      <c r="O116" t="s">
        <v>70</v>
      </c>
    </row>
    <row r="117" spans="1:15" x14ac:dyDescent="0.3">
      <c r="A117" t="s">
        <v>248</v>
      </c>
      <c r="B117" t="s">
        <v>249</v>
      </c>
      <c r="C117" t="s">
        <v>17</v>
      </c>
      <c r="D117">
        <v>39</v>
      </c>
      <c r="E117" t="s">
        <v>57</v>
      </c>
      <c r="F117" t="s">
        <v>27</v>
      </c>
      <c r="G117" t="s">
        <v>20</v>
      </c>
      <c r="H117">
        <v>52000</v>
      </c>
      <c r="I117">
        <v>13</v>
      </c>
      <c r="J117">
        <v>4</v>
      </c>
      <c r="K117">
        <v>4</v>
      </c>
      <c r="L117" t="s">
        <v>29</v>
      </c>
      <c r="M117" t="s">
        <v>29</v>
      </c>
      <c r="N117" t="s">
        <v>34</v>
      </c>
      <c r="O117" t="s">
        <v>75</v>
      </c>
    </row>
    <row r="118" spans="1:15" x14ac:dyDescent="0.3">
      <c r="A118" t="s">
        <v>250</v>
      </c>
      <c r="B118" t="s">
        <v>251</v>
      </c>
      <c r="C118" t="s">
        <v>17</v>
      </c>
      <c r="D118">
        <v>30</v>
      </c>
      <c r="E118" t="s">
        <v>18</v>
      </c>
      <c r="F118" t="s">
        <v>19</v>
      </c>
      <c r="G118" t="s">
        <v>20</v>
      </c>
      <c r="H118">
        <v>34000</v>
      </c>
      <c r="I118">
        <v>9</v>
      </c>
      <c r="J118">
        <v>4</v>
      </c>
      <c r="K118">
        <v>1</v>
      </c>
      <c r="L118" t="s">
        <v>29</v>
      </c>
      <c r="M118" t="s">
        <v>29</v>
      </c>
      <c r="N118" t="s">
        <v>34</v>
      </c>
      <c r="O118" t="s">
        <v>70</v>
      </c>
    </row>
    <row r="119" spans="1:15" x14ac:dyDescent="0.3">
      <c r="A119" t="s">
        <v>252</v>
      </c>
      <c r="B119" t="s">
        <v>253</v>
      </c>
      <c r="C119" t="s">
        <v>17</v>
      </c>
      <c r="D119">
        <v>24</v>
      </c>
      <c r="E119" t="s">
        <v>18</v>
      </c>
      <c r="F119" t="s">
        <v>126</v>
      </c>
      <c r="G119" t="s">
        <v>33</v>
      </c>
      <c r="H119">
        <v>62000</v>
      </c>
      <c r="I119">
        <v>3</v>
      </c>
      <c r="J119">
        <v>2</v>
      </c>
      <c r="K119">
        <v>3</v>
      </c>
      <c r="L119" t="s">
        <v>29</v>
      </c>
      <c r="M119" t="s">
        <v>29</v>
      </c>
      <c r="N119" t="s">
        <v>34</v>
      </c>
      <c r="O119" t="s">
        <v>23</v>
      </c>
    </row>
    <row r="120" spans="1:15" x14ac:dyDescent="0.3">
      <c r="A120" t="s">
        <v>254</v>
      </c>
      <c r="B120" t="s">
        <v>102</v>
      </c>
      <c r="C120" t="s">
        <v>17</v>
      </c>
      <c r="D120">
        <v>53</v>
      </c>
      <c r="E120" t="s">
        <v>57</v>
      </c>
      <c r="F120" t="s">
        <v>27</v>
      </c>
      <c r="G120" t="s">
        <v>28</v>
      </c>
      <c r="H120">
        <v>53000</v>
      </c>
      <c r="I120">
        <v>6</v>
      </c>
      <c r="J120">
        <v>2</v>
      </c>
      <c r="K120">
        <v>2</v>
      </c>
      <c r="L120" t="s">
        <v>29</v>
      </c>
      <c r="M120" t="s">
        <v>29</v>
      </c>
      <c r="N120" t="s">
        <v>22</v>
      </c>
      <c r="O120" t="s">
        <v>70</v>
      </c>
    </row>
    <row r="121" spans="1:15" x14ac:dyDescent="0.3">
      <c r="A121" t="s">
        <v>255</v>
      </c>
      <c r="B121" t="s">
        <v>256</v>
      </c>
      <c r="C121" t="s">
        <v>37</v>
      </c>
      <c r="D121">
        <v>39</v>
      </c>
      <c r="E121" t="s">
        <v>49</v>
      </c>
      <c r="F121" t="s">
        <v>50</v>
      </c>
      <c r="G121" t="s">
        <v>33</v>
      </c>
      <c r="H121">
        <v>104000</v>
      </c>
      <c r="I121">
        <v>3</v>
      </c>
      <c r="J121">
        <v>3</v>
      </c>
      <c r="K121">
        <v>4</v>
      </c>
      <c r="L121" t="s">
        <v>21</v>
      </c>
      <c r="M121" t="s">
        <v>29</v>
      </c>
      <c r="N121" t="s">
        <v>22</v>
      </c>
      <c r="O121" t="s">
        <v>43</v>
      </c>
    </row>
    <row r="122" spans="1:15" x14ac:dyDescent="0.3">
      <c r="A122" t="s">
        <v>257</v>
      </c>
      <c r="B122" t="s">
        <v>56</v>
      </c>
      <c r="C122" t="s">
        <v>17</v>
      </c>
      <c r="D122">
        <v>47</v>
      </c>
      <c r="E122" t="s">
        <v>57</v>
      </c>
      <c r="F122" t="s">
        <v>27</v>
      </c>
      <c r="G122" t="s">
        <v>20</v>
      </c>
      <c r="H122">
        <v>94000</v>
      </c>
      <c r="I122">
        <v>0</v>
      </c>
      <c r="J122">
        <v>2</v>
      </c>
      <c r="K122">
        <v>1</v>
      </c>
      <c r="L122" t="s">
        <v>21</v>
      </c>
      <c r="M122" t="s">
        <v>21</v>
      </c>
      <c r="N122" t="s">
        <v>34</v>
      </c>
      <c r="O122" t="s">
        <v>38</v>
      </c>
    </row>
    <row r="123" spans="1:15" x14ac:dyDescent="0.3">
      <c r="A123" t="s">
        <v>258</v>
      </c>
      <c r="B123" t="s">
        <v>259</v>
      </c>
      <c r="C123" t="s">
        <v>17</v>
      </c>
      <c r="D123">
        <v>29</v>
      </c>
      <c r="E123" t="s">
        <v>49</v>
      </c>
      <c r="F123" t="s">
        <v>50</v>
      </c>
      <c r="G123" t="s">
        <v>20</v>
      </c>
      <c r="H123">
        <v>41000</v>
      </c>
      <c r="I123">
        <v>8</v>
      </c>
      <c r="J123">
        <v>2</v>
      </c>
      <c r="K123">
        <v>2</v>
      </c>
      <c r="L123" t="s">
        <v>21</v>
      </c>
      <c r="M123" t="s">
        <v>29</v>
      </c>
      <c r="N123" t="s">
        <v>34</v>
      </c>
      <c r="O123" t="s">
        <v>43</v>
      </c>
    </row>
    <row r="124" spans="1:15" x14ac:dyDescent="0.3">
      <c r="A124" t="s">
        <v>260</v>
      </c>
      <c r="B124" t="s">
        <v>261</v>
      </c>
      <c r="C124" t="s">
        <v>17</v>
      </c>
      <c r="D124">
        <v>34</v>
      </c>
      <c r="E124" t="s">
        <v>49</v>
      </c>
      <c r="F124" t="s">
        <v>50</v>
      </c>
      <c r="G124" t="s">
        <v>28</v>
      </c>
      <c r="H124">
        <v>67000</v>
      </c>
      <c r="I124">
        <v>9</v>
      </c>
      <c r="J124">
        <v>5</v>
      </c>
      <c r="K124">
        <v>3</v>
      </c>
      <c r="L124" t="s">
        <v>21</v>
      </c>
      <c r="M124" t="s">
        <v>29</v>
      </c>
      <c r="N124" t="s">
        <v>22</v>
      </c>
      <c r="O124" t="s">
        <v>54</v>
      </c>
    </row>
    <row r="125" spans="1:15" x14ac:dyDescent="0.3">
      <c r="A125" t="s">
        <v>262</v>
      </c>
      <c r="B125" t="s">
        <v>263</v>
      </c>
      <c r="C125" t="s">
        <v>17</v>
      </c>
      <c r="D125">
        <v>48</v>
      </c>
      <c r="E125" t="s">
        <v>66</v>
      </c>
      <c r="F125" t="s">
        <v>67</v>
      </c>
      <c r="G125" t="s">
        <v>20</v>
      </c>
      <c r="H125">
        <v>76000</v>
      </c>
      <c r="I125">
        <v>16</v>
      </c>
      <c r="J125">
        <v>2</v>
      </c>
      <c r="K125">
        <v>4</v>
      </c>
      <c r="L125" t="s">
        <v>29</v>
      </c>
      <c r="M125" t="s">
        <v>29</v>
      </c>
      <c r="N125" t="s">
        <v>34</v>
      </c>
      <c r="O125" t="s">
        <v>23</v>
      </c>
    </row>
    <row r="126" spans="1:15" x14ac:dyDescent="0.3">
      <c r="A126" t="s">
        <v>264</v>
      </c>
      <c r="B126" t="s">
        <v>265</v>
      </c>
      <c r="C126" t="s">
        <v>37</v>
      </c>
      <c r="D126">
        <v>40</v>
      </c>
      <c r="E126" t="s">
        <v>57</v>
      </c>
      <c r="F126" t="s">
        <v>27</v>
      </c>
      <c r="G126" t="s">
        <v>46</v>
      </c>
      <c r="H126">
        <v>75000</v>
      </c>
      <c r="I126">
        <v>18</v>
      </c>
      <c r="J126">
        <v>4</v>
      </c>
      <c r="K126">
        <v>2</v>
      </c>
      <c r="L126" t="s">
        <v>21</v>
      </c>
      <c r="M126" t="s">
        <v>29</v>
      </c>
      <c r="N126" t="s">
        <v>22</v>
      </c>
      <c r="O126" t="s">
        <v>54</v>
      </c>
    </row>
    <row r="127" spans="1:15" x14ac:dyDescent="0.3">
      <c r="A127" t="s">
        <v>266</v>
      </c>
      <c r="B127" t="s">
        <v>267</v>
      </c>
      <c r="C127" t="s">
        <v>17</v>
      </c>
      <c r="D127">
        <v>53</v>
      </c>
      <c r="E127" t="s">
        <v>26</v>
      </c>
      <c r="F127" t="s">
        <v>27</v>
      </c>
      <c r="G127" t="s">
        <v>46</v>
      </c>
      <c r="H127">
        <v>34000</v>
      </c>
      <c r="I127">
        <v>10</v>
      </c>
      <c r="J127">
        <v>3</v>
      </c>
      <c r="K127">
        <v>5</v>
      </c>
      <c r="L127" t="s">
        <v>21</v>
      </c>
      <c r="M127" t="s">
        <v>29</v>
      </c>
      <c r="N127" t="s">
        <v>22</v>
      </c>
      <c r="O127" t="s">
        <v>75</v>
      </c>
    </row>
    <row r="128" spans="1:15" x14ac:dyDescent="0.3">
      <c r="A128" t="s">
        <v>268</v>
      </c>
      <c r="B128" t="s">
        <v>269</v>
      </c>
      <c r="C128" t="s">
        <v>17</v>
      </c>
      <c r="D128">
        <v>28</v>
      </c>
      <c r="E128" t="s">
        <v>26</v>
      </c>
      <c r="F128" t="s">
        <v>27</v>
      </c>
      <c r="G128" t="s">
        <v>28</v>
      </c>
      <c r="H128">
        <v>29000</v>
      </c>
      <c r="I128">
        <v>7</v>
      </c>
      <c r="J128">
        <v>3</v>
      </c>
      <c r="K128">
        <v>4</v>
      </c>
      <c r="L128" t="s">
        <v>29</v>
      </c>
      <c r="M128" t="s">
        <v>29</v>
      </c>
      <c r="N128" t="s">
        <v>22</v>
      </c>
      <c r="O128" t="s">
        <v>23</v>
      </c>
    </row>
    <row r="129" spans="1:15" x14ac:dyDescent="0.3">
      <c r="A129" t="s">
        <v>270</v>
      </c>
      <c r="B129" t="s">
        <v>118</v>
      </c>
      <c r="C129" t="s">
        <v>17</v>
      </c>
      <c r="D129">
        <v>31</v>
      </c>
      <c r="E129" t="s">
        <v>18</v>
      </c>
      <c r="F129" t="s">
        <v>19</v>
      </c>
      <c r="G129" t="s">
        <v>28</v>
      </c>
      <c r="H129">
        <v>49000</v>
      </c>
      <c r="I129">
        <v>4</v>
      </c>
      <c r="J129">
        <v>2</v>
      </c>
      <c r="K129">
        <v>4</v>
      </c>
      <c r="L129" t="s">
        <v>29</v>
      </c>
      <c r="M129" t="s">
        <v>29</v>
      </c>
      <c r="N129" t="s">
        <v>34</v>
      </c>
      <c r="O129" t="s">
        <v>75</v>
      </c>
    </row>
    <row r="130" spans="1:15" x14ac:dyDescent="0.3">
      <c r="A130" t="s">
        <v>271</v>
      </c>
      <c r="B130" t="s">
        <v>136</v>
      </c>
      <c r="C130" t="s">
        <v>17</v>
      </c>
      <c r="D130">
        <v>45</v>
      </c>
      <c r="E130" t="s">
        <v>18</v>
      </c>
      <c r="F130" t="s">
        <v>126</v>
      </c>
      <c r="G130" t="s">
        <v>28</v>
      </c>
      <c r="H130">
        <v>97000</v>
      </c>
      <c r="I130">
        <v>17</v>
      </c>
      <c r="J130">
        <v>4</v>
      </c>
      <c r="K130">
        <v>4</v>
      </c>
      <c r="L130" t="s">
        <v>21</v>
      </c>
      <c r="M130" t="s">
        <v>29</v>
      </c>
      <c r="N130" t="s">
        <v>34</v>
      </c>
      <c r="O130" t="s">
        <v>38</v>
      </c>
    </row>
    <row r="131" spans="1:15" x14ac:dyDescent="0.3">
      <c r="A131" t="s">
        <v>272</v>
      </c>
      <c r="B131" t="s">
        <v>273</v>
      </c>
      <c r="C131" t="s">
        <v>37</v>
      </c>
      <c r="D131">
        <v>51</v>
      </c>
      <c r="E131" t="s">
        <v>18</v>
      </c>
      <c r="F131" t="s">
        <v>19</v>
      </c>
      <c r="G131" t="s">
        <v>28</v>
      </c>
      <c r="H131">
        <v>35000</v>
      </c>
      <c r="I131">
        <v>5</v>
      </c>
      <c r="J131">
        <v>2</v>
      </c>
      <c r="K131">
        <v>2</v>
      </c>
      <c r="L131" t="s">
        <v>21</v>
      </c>
      <c r="M131" t="s">
        <v>21</v>
      </c>
      <c r="N131" t="s">
        <v>22</v>
      </c>
      <c r="O131" t="s">
        <v>75</v>
      </c>
    </row>
    <row r="132" spans="1:15" x14ac:dyDescent="0.3">
      <c r="A132" t="s">
        <v>274</v>
      </c>
      <c r="B132" t="s">
        <v>45</v>
      </c>
      <c r="C132" t="s">
        <v>37</v>
      </c>
      <c r="D132">
        <v>46</v>
      </c>
      <c r="E132" t="s">
        <v>26</v>
      </c>
      <c r="F132" t="s">
        <v>50</v>
      </c>
      <c r="G132" t="s">
        <v>20</v>
      </c>
      <c r="H132">
        <v>100000</v>
      </c>
      <c r="I132">
        <v>20</v>
      </c>
      <c r="J132">
        <v>4</v>
      </c>
      <c r="K132">
        <v>2</v>
      </c>
      <c r="L132" t="s">
        <v>21</v>
      </c>
      <c r="M132" t="s">
        <v>21</v>
      </c>
      <c r="N132" t="s">
        <v>22</v>
      </c>
      <c r="O132" t="s">
        <v>38</v>
      </c>
    </row>
    <row r="133" spans="1:15" x14ac:dyDescent="0.3">
      <c r="A133" t="s">
        <v>275</v>
      </c>
      <c r="B133" t="s">
        <v>201</v>
      </c>
      <c r="C133" t="s">
        <v>37</v>
      </c>
      <c r="D133">
        <v>27</v>
      </c>
      <c r="E133" t="s">
        <v>49</v>
      </c>
      <c r="F133" t="s">
        <v>27</v>
      </c>
      <c r="G133" t="s">
        <v>20</v>
      </c>
      <c r="H133">
        <v>73000</v>
      </c>
      <c r="I133">
        <v>2</v>
      </c>
      <c r="J133">
        <v>5</v>
      </c>
      <c r="K133">
        <v>5</v>
      </c>
      <c r="L133" t="s">
        <v>29</v>
      </c>
      <c r="M133" t="s">
        <v>29</v>
      </c>
      <c r="N133" t="s">
        <v>34</v>
      </c>
      <c r="O133" t="s">
        <v>51</v>
      </c>
    </row>
    <row r="134" spans="1:15" x14ac:dyDescent="0.3">
      <c r="A134" t="s">
        <v>276</v>
      </c>
      <c r="B134" t="s">
        <v>225</v>
      </c>
      <c r="C134" t="s">
        <v>17</v>
      </c>
      <c r="D134">
        <v>32</v>
      </c>
      <c r="E134" t="s">
        <v>57</v>
      </c>
      <c r="F134" t="s">
        <v>27</v>
      </c>
      <c r="G134" t="s">
        <v>33</v>
      </c>
      <c r="H134">
        <v>102000</v>
      </c>
      <c r="I134">
        <v>11</v>
      </c>
      <c r="J134">
        <v>3</v>
      </c>
      <c r="K134">
        <v>2</v>
      </c>
      <c r="L134" t="s">
        <v>29</v>
      </c>
      <c r="M134" t="s">
        <v>29</v>
      </c>
      <c r="N134" t="s">
        <v>34</v>
      </c>
      <c r="O134" t="s">
        <v>70</v>
      </c>
    </row>
    <row r="135" spans="1:15" x14ac:dyDescent="0.3">
      <c r="A135" t="s">
        <v>277</v>
      </c>
      <c r="B135" t="s">
        <v>278</v>
      </c>
      <c r="C135" t="s">
        <v>37</v>
      </c>
      <c r="D135">
        <v>22</v>
      </c>
      <c r="E135" t="s">
        <v>49</v>
      </c>
      <c r="F135" t="s">
        <v>50</v>
      </c>
      <c r="G135" t="s">
        <v>33</v>
      </c>
      <c r="H135">
        <v>89000</v>
      </c>
      <c r="I135">
        <v>1</v>
      </c>
      <c r="J135">
        <v>2</v>
      </c>
      <c r="K135">
        <v>5</v>
      </c>
      <c r="L135" t="s">
        <v>21</v>
      </c>
      <c r="M135" t="s">
        <v>29</v>
      </c>
      <c r="N135" t="s">
        <v>22</v>
      </c>
      <c r="O135" t="s">
        <v>70</v>
      </c>
    </row>
    <row r="136" spans="1:15" x14ac:dyDescent="0.3">
      <c r="A136" t="s">
        <v>279</v>
      </c>
      <c r="B136" t="s">
        <v>107</v>
      </c>
      <c r="C136" t="s">
        <v>37</v>
      </c>
      <c r="D136">
        <v>52</v>
      </c>
      <c r="E136" t="s">
        <v>66</v>
      </c>
      <c r="F136" t="s">
        <v>82</v>
      </c>
      <c r="G136" t="s">
        <v>28</v>
      </c>
      <c r="H136">
        <v>108000</v>
      </c>
      <c r="I136">
        <v>8</v>
      </c>
      <c r="J136">
        <v>2</v>
      </c>
      <c r="K136">
        <v>4</v>
      </c>
      <c r="L136" t="s">
        <v>29</v>
      </c>
      <c r="M136" t="s">
        <v>29</v>
      </c>
      <c r="N136" t="s">
        <v>22</v>
      </c>
      <c r="O136" t="s">
        <v>30</v>
      </c>
    </row>
    <row r="137" spans="1:15" x14ac:dyDescent="0.3">
      <c r="A137" t="s">
        <v>280</v>
      </c>
      <c r="B137" t="s">
        <v>217</v>
      </c>
      <c r="C137" t="s">
        <v>37</v>
      </c>
      <c r="D137">
        <v>36</v>
      </c>
      <c r="E137" t="s">
        <v>66</v>
      </c>
      <c r="F137" t="s">
        <v>67</v>
      </c>
      <c r="G137" t="s">
        <v>33</v>
      </c>
      <c r="H137">
        <v>108000</v>
      </c>
      <c r="I137">
        <v>15</v>
      </c>
      <c r="J137">
        <v>4</v>
      </c>
      <c r="K137">
        <v>4</v>
      </c>
      <c r="L137" t="s">
        <v>29</v>
      </c>
      <c r="M137" t="s">
        <v>29</v>
      </c>
      <c r="N137" t="s">
        <v>34</v>
      </c>
      <c r="O137" t="s">
        <v>23</v>
      </c>
    </row>
    <row r="138" spans="1:15" x14ac:dyDescent="0.3">
      <c r="A138" t="s">
        <v>281</v>
      </c>
      <c r="B138" t="s">
        <v>282</v>
      </c>
      <c r="C138" t="s">
        <v>17</v>
      </c>
      <c r="D138">
        <v>48</v>
      </c>
      <c r="E138" t="s">
        <v>49</v>
      </c>
      <c r="F138" t="s">
        <v>27</v>
      </c>
      <c r="G138" t="s">
        <v>46</v>
      </c>
      <c r="H138">
        <v>60000</v>
      </c>
      <c r="I138">
        <v>18</v>
      </c>
      <c r="J138">
        <v>5</v>
      </c>
      <c r="K138">
        <v>1</v>
      </c>
      <c r="L138" t="s">
        <v>29</v>
      </c>
      <c r="M138" t="s">
        <v>29</v>
      </c>
      <c r="N138" t="s">
        <v>34</v>
      </c>
      <c r="O138" t="s">
        <v>43</v>
      </c>
    </row>
    <row r="139" spans="1:15" x14ac:dyDescent="0.3">
      <c r="A139" t="s">
        <v>283</v>
      </c>
      <c r="B139" t="s">
        <v>284</v>
      </c>
      <c r="C139" t="s">
        <v>37</v>
      </c>
      <c r="D139">
        <v>55</v>
      </c>
      <c r="E139" t="s">
        <v>57</v>
      </c>
      <c r="F139" t="s">
        <v>50</v>
      </c>
      <c r="G139" t="s">
        <v>33</v>
      </c>
      <c r="H139">
        <v>39000</v>
      </c>
      <c r="I139">
        <v>14</v>
      </c>
      <c r="J139">
        <v>5</v>
      </c>
      <c r="K139">
        <v>5</v>
      </c>
      <c r="L139" t="s">
        <v>21</v>
      </c>
      <c r="M139" t="s">
        <v>29</v>
      </c>
      <c r="N139" t="s">
        <v>34</v>
      </c>
      <c r="O139" t="s">
        <v>43</v>
      </c>
    </row>
    <row r="140" spans="1:15" x14ac:dyDescent="0.3">
      <c r="A140" t="s">
        <v>285</v>
      </c>
      <c r="B140" t="s">
        <v>261</v>
      </c>
      <c r="C140" t="s">
        <v>37</v>
      </c>
      <c r="D140">
        <v>54</v>
      </c>
      <c r="E140" t="s">
        <v>26</v>
      </c>
      <c r="F140" t="s">
        <v>27</v>
      </c>
      <c r="G140" t="s">
        <v>20</v>
      </c>
      <c r="H140">
        <v>33000</v>
      </c>
      <c r="I140">
        <v>11</v>
      </c>
      <c r="J140">
        <v>5</v>
      </c>
      <c r="K140">
        <v>1</v>
      </c>
      <c r="L140" t="s">
        <v>21</v>
      </c>
      <c r="M140" t="s">
        <v>29</v>
      </c>
      <c r="N140" t="s">
        <v>34</v>
      </c>
      <c r="O140" t="s">
        <v>30</v>
      </c>
    </row>
    <row r="141" spans="1:15" x14ac:dyDescent="0.3">
      <c r="A141" t="s">
        <v>286</v>
      </c>
      <c r="B141" t="s">
        <v>194</v>
      </c>
      <c r="C141" t="s">
        <v>17</v>
      </c>
      <c r="D141">
        <v>24</v>
      </c>
      <c r="E141" t="s">
        <v>66</v>
      </c>
      <c r="F141" t="s">
        <v>82</v>
      </c>
      <c r="G141" t="s">
        <v>33</v>
      </c>
      <c r="H141">
        <v>96000</v>
      </c>
      <c r="I141">
        <v>3</v>
      </c>
      <c r="J141">
        <v>2</v>
      </c>
      <c r="K141">
        <v>4</v>
      </c>
      <c r="L141" t="s">
        <v>29</v>
      </c>
      <c r="M141" t="s">
        <v>29</v>
      </c>
      <c r="N141" t="s">
        <v>34</v>
      </c>
      <c r="O141" t="s">
        <v>23</v>
      </c>
    </row>
    <row r="142" spans="1:15" x14ac:dyDescent="0.3">
      <c r="A142" t="s">
        <v>287</v>
      </c>
      <c r="B142" t="s">
        <v>217</v>
      </c>
      <c r="C142" t="s">
        <v>17</v>
      </c>
      <c r="D142">
        <v>30</v>
      </c>
      <c r="E142" t="s">
        <v>26</v>
      </c>
      <c r="F142" t="s">
        <v>50</v>
      </c>
      <c r="G142" t="s">
        <v>20</v>
      </c>
      <c r="H142">
        <v>93000</v>
      </c>
      <c r="I142">
        <v>9</v>
      </c>
      <c r="J142">
        <v>2</v>
      </c>
      <c r="K142">
        <v>1</v>
      </c>
      <c r="L142" t="s">
        <v>21</v>
      </c>
      <c r="M142" t="s">
        <v>29</v>
      </c>
      <c r="N142" t="s">
        <v>34</v>
      </c>
      <c r="O142" t="s">
        <v>70</v>
      </c>
    </row>
    <row r="143" spans="1:15" x14ac:dyDescent="0.3">
      <c r="A143" t="s">
        <v>288</v>
      </c>
      <c r="B143" t="s">
        <v>191</v>
      </c>
      <c r="C143" t="s">
        <v>17</v>
      </c>
      <c r="D143">
        <v>52</v>
      </c>
      <c r="E143" t="s">
        <v>26</v>
      </c>
      <c r="F143" t="s">
        <v>27</v>
      </c>
      <c r="G143" t="s">
        <v>33</v>
      </c>
      <c r="H143">
        <v>106000</v>
      </c>
      <c r="I143">
        <v>9</v>
      </c>
      <c r="J143">
        <v>2</v>
      </c>
      <c r="K143">
        <v>5</v>
      </c>
      <c r="L143" t="s">
        <v>29</v>
      </c>
      <c r="M143" t="s">
        <v>29</v>
      </c>
      <c r="N143" t="s">
        <v>22</v>
      </c>
      <c r="O143" t="s">
        <v>51</v>
      </c>
    </row>
    <row r="144" spans="1:15" x14ac:dyDescent="0.3">
      <c r="A144" t="s">
        <v>289</v>
      </c>
      <c r="B144" t="s">
        <v>210</v>
      </c>
      <c r="C144" t="s">
        <v>17</v>
      </c>
      <c r="D144">
        <v>34</v>
      </c>
      <c r="E144" t="s">
        <v>57</v>
      </c>
      <c r="F144" t="s">
        <v>27</v>
      </c>
      <c r="G144" t="s">
        <v>20</v>
      </c>
      <c r="H144">
        <v>40000</v>
      </c>
      <c r="I144">
        <v>2</v>
      </c>
      <c r="J144">
        <v>4</v>
      </c>
      <c r="K144">
        <v>1</v>
      </c>
      <c r="L144" t="s">
        <v>29</v>
      </c>
      <c r="M144" t="s">
        <v>29</v>
      </c>
      <c r="N144" t="s">
        <v>22</v>
      </c>
      <c r="O144" t="s">
        <v>30</v>
      </c>
    </row>
    <row r="145" spans="1:15" x14ac:dyDescent="0.3">
      <c r="A145" t="s">
        <v>290</v>
      </c>
      <c r="B145" t="s">
        <v>79</v>
      </c>
      <c r="C145" t="s">
        <v>17</v>
      </c>
      <c r="D145">
        <v>44</v>
      </c>
      <c r="E145" t="s">
        <v>49</v>
      </c>
      <c r="F145" t="s">
        <v>50</v>
      </c>
      <c r="G145" t="s">
        <v>20</v>
      </c>
      <c r="H145">
        <v>76000</v>
      </c>
      <c r="I145">
        <v>7</v>
      </c>
      <c r="J145">
        <v>3</v>
      </c>
      <c r="K145">
        <v>5</v>
      </c>
      <c r="L145" t="s">
        <v>29</v>
      </c>
      <c r="M145" t="s">
        <v>29</v>
      </c>
      <c r="N145" t="s">
        <v>22</v>
      </c>
      <c r="O145" t="s">
        <v>30</v>
      </c>
    </row>
    <row r="146" spans="1:15" x14ac:dyDescent="0.3">
      <c r="A146" t="s">
        <v>291</v>
      </c>
      <c r="B146" t="s">
        <v>292</v>
      </c>
      <c r="C146" t="s">
        <v>17</v>
      </c>
      <c r="D146">
        <v>45</v>
      </c>
      <c r="E146" t="s">
        <v>26</v>
      </c>
      <c r="F146" t="s">
        <v>27</v>
      </c>
      <c r="G146" t="s">
        <v>28</v>
      </c>
      <c r="H146">
        <v>40000</v>
      </c>
      <c r="I146">
        <v>6</v>
      </c>
      <c r="J146">
        <v>4</v>
      </c>
      <c r="K146">
        <v>2</v>
      </c>
      <c r="L146" t="s">
        <v>29</v>
      </c>
      <c r="M146" t="s">
        <v>29</v>
      </c>
      <c r="N146" t="s">
        <v>34</v>
      </c>
      <c r="O146" t="s">
        <v>75</v>
      </c>
    </row>
    <row r="147" spans="1:15" x14ac:dyDescent="0.3">
      <c r="A147" t="s">
        <v>293</v>
      </c>
      <c r="B147" t="s">
        <v>263</v>
      </c>
      <c r="C147" t="s">
        <v>37</v>
      </c>
      <c r="D147">
        <v>43</v>
      </c>
      <c r="E147" t="s">
        <v>57</v>
      </c>
      <c r="F147" t="s">
        <v>27</v>
      </c>
      <c r="G147" t="s">
        <v>46</v>
      </c>
      <c r="H147">
        <v>35000</v>
      </c>
      <c r="I147">
        <v>4</v>
      </c>
      <c r="J147">
        <v>3</v>
      </c>
      <c r="K147">
        <v>2</v>
      </c>
      <c r="L147" t="s">
        <v>21</v>
      </c>
      <c r="M147" t="s">
        <v>21</v>
      </c>
      <c r="N147" t="s">
        <v>34</v>
      </c>
      <c r="O147" t="s">
        <v>43</v>
      </c>
    </row>
    <row r="148" spans="1:15" x14ac:dyDescent="0.3">
      <c r="A148" t="s">
        <v>294</v>
      </c>
      <c r="B148" t="s">
        <v>295</v>
      </c>
      <c r="C148" t="s">
        <v>37</v>
      </c>
      <c r="D148">
        <v>29</v>
      </c>
      <c r="E148" t="s">
        <v>26</v>
      </c>
      <c r="F148" t="s">
        <v>27</v>
      </c>
      <c r="G148" t="s">
        <v>20</v>
      </c>
      <c r="H148">
        <v>38000</v>
      </c>
      <c r="I148">
        <v>8</v>
      </c>
      <c r="J148">
        <v>3</v>
      </c>
      <c r="K148">
        <v>4</v>
      </c>
      <c r="L148" t="s">
        <v>21</v>
      </c>
      <c r="M148" t="s">
        <v>29</v>
      </c>
      <c r="N148" t="s">
        <v>34</v>
      </c>
      <c r="O148" t="s">
        <v>43</v>
      </c>
    </row>
    <row r="149" spans="1:15" x14ac:dyDescent="0.3">
      <c r="A149" t="s">
        <v>296</v>
      </c>
      <c r="B149" t="s">
        <v>297</v>
      </c>
      <c r="C149" t="s">
        <v>17</v>
      </c>
      <c r="D149">
        <v>26</v>
      </c>
      <c r="E149" t="s">
        <v>41</v>
      </c>
      <c r="F149" t="s">
        <v>73</v>
      </c>
      <c r="G149" t="s">
        <v>20</v>
      </c>
      <c r="H149">
        <v>28000</v>
      </c>
      <c r="I149">
        <v>5</v>
      </c>
      <c r="J149">
        <v>2</v>
      </c>
      <c r="K149">
        <v>1</v>
      </c>
      <c r="L149" t="s">
        <v>21</v>
      </c>
      <c r="M149" t="s">
        <v>29</v>
      </c>
      <c r="N149" t="s">
        <v>22</v>
      </c>
      <c r="O149" t="s">
        <v>38</v>
      </c>
    </row>
    <row r="150" spans="1:15" x14ac:dyDescent="0.3">
      <c r="A150" t="s">
        <v>298</v>
      </c>
      <c r="B150" t="s">
        <v>263</v>
      </c>
      <c r="C150" t="s">
        <v>37</v>
      </c>
      <c r="D150">
        <v>36</v>
      </c>
      <c r="E150" t="s">
        <v>18</v>
      </c>
      <c r="F150" t="s">
        <v>19</v>
      </c>
      <c r="G150" t="s">
        <v>46</v>
      </c>
      <c r="H150">
        <v>86000</v>
      </c>
      <c r="I150">
        <v>13</v>
      </c>
      <c r="J150">
        <v>4</v>
      </c>
      <c r="K150">
        <v>1</v>
      </c>
      <c r="L150" t="s">
        <v>29</v>
      </c>
      <c r="M150" t="s">
        <v>29</v>
      </c>
      <c r="N150" t="s">
        <v>22</v>
      </c>
      <c r="O150" t="s">
        <v>23</v>
      </c>
    </row>
    <row r="151" spans="1:15" x14ac:dyDescent="0.3">
      <c r="A151" t="s">
        <v>299</v>
      </c>
      <c r="B151" t="s">
        <v>300</v>
      </c>
      <c r="C151" t="s">
        <v>37</v>
      </c>
      <c r="D151">
        <v>53</v>
      </c>
      <c r="E151" t="s">
        <v>26</v>
      </c>
      <c r="F151" t="s">
        <v>27</v>
      </c>
      <c r="G151" t="s">
        <v>28</v>
      </c>
      <c r="H151">
        <v>62000</v>
      </c>
      <c r="I151">
        <v>1</v>
      </c>
      <c r="J151">
        <v>4</v>
      </c>
      <c r="K151">
        <v>2</v>
      </c>
      <c r="L151" t="s">
        <v>29</v>
      </c>
      <c r="M151" t="s">
        <v>29</v>
      </c>
      <c r="N151" t="s">
        <v>34</v>
      </c>
      <c r="O151" t="s">
        <v>38</v>
      </c>
    </row>
    <row r="152" spans="1:15" x14ac:dyDescent="0.3">
      <c r="A152" t="s">
        <v>301</v>
      </c>
      <c r="B152" t="s">
        <v>302</v>
      </c>
      <c r="C152" t="s">
        <v>17</v>
      </c>
      <c r="D152">
        <v>55</v>
      </c>
      <c r="E152" t="s">
        <v>49</v>
      </c>
      <c r="F152" t="s">
        <v>27</v>
      </c>
      <c r="G152" t="s">
        <v>28</v>
      </c>
      <c r="H152">
        <v>78000</v>
      </c>
      <c r="I152">
        <v>13</v>
      </c>
      <c r="J152">
        <v>3</v>
      </c>
      <c r="K152">
        <v>3</v>
      </c>
      <c r="L152" t="s">
        <v>29</v>
      </c>
      <c r="M152" t="s">
        <v>29</v>
      </c>
      <c r="N152" t="s">
        <v>22</v>
      </c>
      <c r="O152" t="s">
        <v>54</v>
      </c>
    </row>
    <row r="153" spans="1:15" x14ac:dyDescent="0.3">
      <c r="A153" t="s">
        <v>303</v>
      </c>
      <c r="B153" t="s">
        <v>240</v>
      </c>
      <c r="C153" t="s">
        <v>17</v>
      </c>
      <c r="D153">
        <v>43</v>
      </c>
      <c r="E153" t="s">
        <v>26</v>
      </c>
      <c r="F153" t="s">
        <v>50</v>
      </c>
      <c r="G153" t="s">
        <v>46</v>
      </c>
      <c r="H153">
        <v>44000</v>
      </c>
      <c r="I153">
        <v>19</v>
      </c>
      <c r="J153">
        <v>2</v>
      </c>
      <c r="K153">
        <v>5</v>
      </c>
      <c r="L153" t="s">
        <v>29</v>
      </c>
      <c r="M153" t="s">
        <v>29</v>
      </c>
      <c r="N153" t="s">
        <v>34</v>
      </c>
      <c r="O153" t="s">
        <v>38</v>
      </c>
    </row>
    <row r="154" spans="1:15" x14ac:dyDescent="0.3">
      <c r="A154" t="s">
        <v>304</v>
      </c>
      <c r="B154" t="s">
        <v>210</v>
      </c>
      <c r="C154" t="s">
        <v>37</v>
      </c>
      <c r="D154">
        <v>31</v>
      </c>
      <c r="E154" t="s">
        <v>26</v>
      </c>
      <c r="F154" t="s">
        <v>27</v>
      </c>
      <c r="G154" t="s">
        <v>20</v>
      </c>
      <c r="H154">
        <v>30000</v>
      </c>
      <c r="I154">
        <v>10</v>
      </c>
      <c r="J154">
        <v>2</v>
      </c>
      <c r="K154">
        <v>5</v>
      </c>
      <c r="L154" t="s">
        <v>29</v>
      </c>
      <c r="M154" t="s">
        <v>29</v>
      </c>
      <c r="N154" t="s">
        <v>34</v>
      </c>
      <c r="O154" t="s">
        <v>75</v>
      </c>
    </row>
    <row r="155" spans="1:15" x14ac:dyDescent="0.3">
      <c r="A155" t="s">
        <v>305</v>
      </c>
      <c r="B155" t="s">
        <v>306</v>
      </c>
      <c r="C155" t="s">
        <v>37</v>
      </c>
      <c r="D155">
        <v>35</v>
      </c>
      <c r="E155" t="s">
        <v>18</v>
      </c>
      <c r="F155" t="s">
        <v>126</v>
      </c>
      <c r="G155" t="s">
        <v>20</v>
      </c>
      <c r="H155">
        <v>114000</v>
      </c>
      <c r="I155">
        <v>4</v>
      </c>
      <c r="J155">
        <v>3</v>
      </c>
      <c r="K155">
        <v>1</v>
      </c>
      <c r="L155" t="s">
        <v>21</v>
      </c>
      <c r="M155" t="s">
        <v>21</v>
      </c>
      <c r="N155" t="s">
        <v>22</v>
      </c>
      <c r="O155" t="s">
        <v>54</v>
      </c>
    </row>
    <row r="156" spans="1:15" x14ac:dyDescent="0.3">
      <c r="A156" t="s">
        <v>307</v>
      </c>
      <c r="B156" t="s">
        <v>308</v>
      </c>
      <c r="C156" t="s">
        <v>37</v>
      </c>
      <c r="D156">
        <v>25</v>
      </c>
      <c r="E156" t="s">
        <v>18</v>
      </c>
      <c r="F156" t="s">
        <v>19</v>
      </c>
      <c r="G156" t="s">
        <v>33</v>
      </c>
      <c r="H156">
        <v>96000</v>
      </c>
      <c r="I156">
        <v>4</v>
      </c>
      <c r="J156">
        <v>4</v>
      </c>
      <c r="K156">
        <v>2</v>
      </c>
      <c r="L156" t="s">
        <v>21</v>
      </c>
      <c r="M156" t="s">
        <v>29</v>
      </c>
      <c r="N156" t="s">
        <v>22</v>
      </c>
      <c r="O156" t="s">
        <v>38</v>
      </c>
    </row>
    <row r="157" spans="1:15" x14ac:dyDescent="0.3">
      <c r="A157" t="s">
        <v>309</v>
      </c>
      <c r="B157" t="s">
        <v>308</v>
      </c>
      <c r="C157" t="s">
        <v>37</v>
      </c>
      <c r="D157">
        <v>24</v>
      </c>
      <c r="E157" t="s">
        <v>26</v>
      </c>
      <c r="F157" t="s">
        <v>27</v>
      </c>
      <c r="G157" t="s">
        <v>33</v>
      </c>
      <c r="H157">
        <v>88000</v>
      </c>
      <c r="I157">
        <v>3</v>
      </c>
      <c r="J157">
        <v>5</v>
      </c>
      <c r="K157">
        <v>4</v>
      </c>
      <c r="L157" t="s">
        <v>29</v>
      </c>
      <c r="M157" t="s">
        <v>29</v>
      </c>
      <c r="N157" t="s">
        <v>34</v>
      </c>
      <c r="O157" t="s">
        <v>54</v>
      </c>
    </row>
    <row r="158" spans="1:15" x14ac:dyDescent="0.3">
      <c r="A158" t="s">
        <v>310</v>
      </c>
      <c r="B158" t="s">
        <v>263</v>
      </c>
      <c r="C158" t="s">
        <v>17</v>
      </c>
      <c r="D158">
        <v>44</v>
      </c>
      <c r="E158" t="s">
        <v>57</v>
      </c>
      <c r="F158" t="s">
        <v>27</v>
      </c>
      <c r="G158" t="s">
        <v>46</v>
      </c>
      <c r="H158">
        <v>104000</v>
      </c>
      <c r="I158">
        <v>14</v>
      </c>
      <c r="J158">
        <v>5</v>
      </c>
      <c r="K158">
        <v>2</v>
      </c>
      <c r="L158" t="s">
        <v>21</v>
      </c>
      <c r="M158" t="s">
        <v>21</v>
      </c>
      <c r="N158" t="s">
        <v>22</v>
      </c>
      <c r="O158" t="s">
        <v>23</v>
      </c>
    </row>
    <row r="159" spans="1:15" x14ac:dyDescent="0.3">
      <c r="A159" t="s">
        <v>311</v>
      </c>
      <c r="B159" t="s">
        <v>172</v>
      </c>
      <c r="C159" t="s">
        <v>17</v>
      </c>
      <c r="D159">
        <v>45</v>
      </c>
      <c r="E159" t="s">
        <v>57</v>
      </c>
      <c r="F159" t="s">
        <v>27</v>
      </c>
      <c r="G159" t="s">
        <v>28</v>
      </c>
      <c r="H159">
        <v>82000</v>
      </c>
      <c r="I159">
        <v>9</v>
      </c>
      <c r="J159">
        <v>3</v>
      </c>
      <c r="K159">
        <v>4</v>
      </c>
      <c r="L159" t="s">
        <v>29</v>
      </c>
      <c r="M159" t="s">
        <v>29</v>
      </c>
      <c r="N159" t="s">
        <v>22</v>
      </c>
      <c r="O159" t="s">
        <v>43</v>
      </c>
    </row>
    <row r="160" spans="1:15" x14ac:dyDescent="0.3">
      <c r="A160" t="s">
        <v>312</v>
      </c>
      <c r="B160" t="s">
        <v>92</v>
      </c>
      <c r="C160" t="s">
        <v>17</v>
      </c>
      <c r="D160">
        <v>25</v>
      </c>
      <c r="E160" t="s">
        <v>49</v>
      </c>
      <c r="F160" t="s">
        <v>50</v>
      </c>
      <c r="G160" t="s">
        <v>46</v>
      </c>
      <c r="H160">
        <v>120000</v>
      </c>
      <c r="I160">
        <v>4</v>
      </c>
      <c r="J160">
        <v>5</v>
      </c>
      <c r="K160">
        <v>5</v>
      </c>
      <c r="L160" t="s">
        <v>21</v>
      </c>
      <c r="M160" t="s">
        <v>29</v>
      </c>
      <c r="N160" t="s">
        <v>22</v>
      </c>
      <c r="O160" t="s">
        <v>38</v>
      </c>
    </row>
    <row r="161" spans="1:15" x14ac:dyDescent="0.3">
      <c r="A161" t="s">
        <v>313</v>
      </c>
      <c r="B161" t="s">
        <v>314</v>
      </c>
      <c r="C161" t="s">
        <v>37</v>
      </c>
      <c r="D161">
        <v>35</v>
      </c>
      <c r="E161" t="s">
        <v>49</v>
      </c>
      <c r="F161" t="s">
        <v>50</v>
      </c>
      <c r="G161" t="s">
        <v>46</v>
      </c>
      <c r="H161">
        <v>56000</v>
      </c>
      <c r="I161">
        <v>14</v>
      </c>
      <c r="J161">
        <v>5</v>
      </c>
      <c r="K161">
        <v>3</v>
      </c>
      <c r="L161" t="s">
        <v>29</v>
      </c>
      <c r="M161" t="s">
        <v>29</v>
      </c>
      <c r="N161" t="s">
        <v>34</v>
      </c>
      <c r="O161" t="s">
        <v>23</v>
      </c>
    </row>
    <row r="162" spans="1:15" x14ac:dyDescent="0.3">
      <c r="A162" t="s">
        <v>315</v>
      </c>
      <c r="B162" t="s">
        <v>229</v>
      </c>
      <c r="C162" t="s">
        <v>37</v>
      </c>
      <c r="D162">
        <v>44</v>
      </c>
      <c r="E162" t="s">
        <v>26</v>
      </c>
      <c r="F162" t="s">
        <v>27</v>
      </c>
      <c r="G162" t="s">
        <v>46</v>
      </c>
      <c r="H162">
        <v>115000</v>
      </c>
      <c r="I162">
        <v>19</v>
      </c>
      <c r="J162">
        <v>5</v>
      </c>
      <c r="K162">
        <v>2</v>
      </c>
      <c r="L162" t="s">
        <v>21</v>
      </c>
      <c r="M162" t="s">
        <v>21</v>
      </c>
      <c r="N162" t="s">
        <v>22</v>
      </c>
      <c r="O162" t="s">
        <v>75</v>
      </c>
    </row>
    <row r="163" spans="1:15" x14ac:dyDescent="0.3">
      <c r="A163" t="s">
        <v>316</v>
      </c>
      <c r="B163" t="s">
        <v>242</v>
      </c>
      <c r="C163" t="s">
        <v>37</v>
      </c>
      <c r="D163">
        <v>48</v>
      </c>
      <c r="E163" t="s">
        <v>18</v>
      </c>
      <c r="F163" t="s">
        <v>126</v>
      </c>
      <c r="G163" t="s">
        <v>20</v>
      </c>
      <c r="H163">
        <v>27000</v>
      </c>
      <c r="I163">
        <v>0</v>
      </c>
      <c r="J163">
        <v>4</v>
      </c>
      <c r="K163">
        <v>2</v>
      </c>
      <c r="L163" t="s">
        <v>29</v>
      </c>
      <c r="M163" t="s">
        <v>29</v>
      </c>
      <c r="N163" t="s">
        <v>22</v>
      </c>
      <c r="O163" t="s">
        <v>75</v>
      </c>
    </row>
    <row r="164" spans="1:15" x14ac:dyDescent="0.3">
      <c r="A164" t="s">
        <v>317</v>
      </c>
      <c r="B164" t="s">
        <v>77</v>
      </c>
      <c r="C164" t="s">
        <v>17</v>
      </c>
      <c r="D164">
        <v>49</v>
      </c>
      <c r="E164" t="s">
        <v>18</v>
      </c>
      <c r="F164" t="s">
        <v>19</v>
      </c>
      <c r="G164" t="s">
        <v>28</v>
      </c>
      <c r="H164">
        <v>37000</v>
      </c>
      <c r="I164">
        <v>15</v>
      </c>
      <c r="J164">
        <v>4</v>
      </c>
      <c r="K164">
        <v>3</v>
      </c>
      <c r="L164" t="s">
        <v>21</v>
      </c>
      <c r="M164" t="s">
        <v>29</v>
      </c>
      <c r="N164" t="s">
        <v>22</v>
      </c>
      <c r="O164" t="s">
        <v>70</v>
      </c>
    </row>
    <row r="165" spans="1:15" x14ac:dyDescent="0.3">
      <c r="A165" t="s">
        <v>318</v>
      </c>
      <c r="B165" t="s">
        <v>102</v>
      </c>
      <c r="C165" t="s">
        <v>37</v>
      </c>
      <c r="D165">
        <v>49</v>
      </c>
      <c r="E165" t="s">
        <v>66</v>
      </c>
      <c r="F165" t="s">
        <v>67</v>
      </c>
      <c r="G165" t="s">
        <v>46</v>
      </c>
      <c r="H165">
        <v>53000</v>
      </c>
      <c r="I165">
        <v>12</v>
      </c>
      <c r="J165">
        <v>5</v>
      </c>
      <c r="K165">
        <v>3</v>
      </c>
      <c r="L165" t="s">
        <v>21</v>
      </c>
      <c r="M165" t="s">
        <v>29</v>
      </c>
      <c r="N165" t="s">
        <v>34</v>
      </c>
      <c r="O165" t="s">
        <v>54</v>
      </c>
    </row>
    <row r="166" spans="1:15" x14ac:dyDescent="0.3">
      <c r="A166" t="s">
        <v>319</v>
      </c>
      <c r="B166" t="s">
        <v>320</v>
      </c>
      <c r="C166" t="s">
        <v>37</v>
      </c>
      <c r="D166">
        <v>43</v>
      </c>
      <c r="E166" t="s">
        <v>41</v>
      </c>
      <c r="F166" t="s">
        <v>73</v>
      </c>
      <c r="G166" t="s">
        <v>33</v>
      </c>
      <c r="H166">
        <v>28000</v>
      </c>
      <c r="I166">
        <v>4</v>
      </c>
      <c r="J166">
        <v>4</v>
      </c>
      <c r="K166">
        <v>2</v>
      </c>
      <c r="L166" t="s">
        <v>29</v>
      </c>
      <c r="M166" t="s">
        <v>29</v>
      </c>
      <c r="N166" t="s">
        <v>34</v>
      </c>
      <c r="O166" t="s">
        <v>54</v>
      </c>
    </row>
    <row r="167" spans="1:15" x14ac:dyDescent="0.3">
      <c r="A167" t="s">
        <v>321</v>
      </c>
      <c r="B167" t="s">
        <v>72</v>
      </c>
      <c r="C167" t="s">
        <v>37</v>
      </c>
      <c r="D167">
        <v>34</v>
      </c>
      <c r="E167" t="s">
        <v>18</v>
      </c>
      <c r="F167" t="s">
        <v>126</v>
      </c>
      <c r="G167" t="s">
        <v>28</v>
      </c>
      <c r="H167">
        <v>47000</v>
      </c>
      <c r="I167">
        <v>13</v>
      </c>
      <c r="J167">
        <v>5</v>
      </c>
      <c r="K167">
        <v>4</v>
      </c>
      <c r="L167" t="s">
        <v>29</v>
      </c>
      <c r="M167" t="s">
        <v>29</v>
      </c>
      <c r="N167" t="s">
        <v>22</v>
      </c>
      <c r="O167" t="s">
        <v>43</v>
      </c>
    </row>
    <row r="168" spans="1:15" x14ac:dyDescent="0.3">
      <c r="A168" t="s">
        <v>322</v>
      </c>
      <c r="B168" t="s">
        <v>154</v>
      </c>
      <c r="C168" t="s">
        <v>37</v>
      </c>
      <c r="D168">
        <v>40</v>
      </c>
      <c r="E168" t="s">
        <v>57</v>
      </c>
      <c r="F168" t="s">
        <v>27</v>
      </c>
      <c r="G168" t="s">
        <v>20</v>
      </c>
      <c r="H168">
        <v>79000</v>
      </c>
      <c r="I168">
        <v>0</v>
      </c>
      <c r="J168">
        <v>4</v>
      </c>
      <c r="K168">
        <v>3</v>
      </c>
      <c r="L168" t="s">
        <v>21</v>
      </c>
      <c r="M168" t="s">
        <v>29</v>
      </c>
      <c r="N168" t="s">
        <v>22</v>
      </c>
      <c r="O168" t="s">
        <v>70</v>
      </c>
    </row>
    <row r="169" spans="1:15" x14ac:dyDescent="0.3">
      <c r="A169" t="s">
        <v>323</v>
      </c>
      <c r="B169" t="s">
        <v>246</v>
      </c>
      <c r="C169" t="s">
        <v>17</v>
      </c>
      <c r="D169">
        <v>45</v>
      </c>
      <c r="E169" t="s">
        <v>18</v>
      </c>
      <c r="F169" t="s">
        <v>126</v>
      </c>
      <c r="G169" t="s">
        <v>33</v>
      </c>
      <c r="H169">
        <v>92000</v>
      </c>
      <c r="I169">
        <v>17</v>
      </c>
      <c r="J169">
        <v>4</v>
      </c>
      <c r="K169">
        <v>2</v>
      </c>
      <c r="L169" t="s">
        <v>29</v>
      </c>
      <c r="M169" t="s">
        <v>29</v>
      </c>
      <c r="N169" t="s">
        <v>22</v>
      </c>
      <c r="O169" t="s">
        <v>38</v>
      </c>
    </row>
    <row r="170" spans="1:15" x14ac:dyDescent="0.3">
      <c r="A170" t="s">
        <v>324</v>
      </c>
      <c r="B170" t="s">
        <v>84</v>
      </c>
      <c r="C170" t="s">
        <v>37</v>
      </c>
      <c r="D170">
        <v>47</v>
      </c>
      <c r="E170" t="s">
        <v>49</v>
      </c>
      <c r="F170" t="s">
        <v>50</v>
      </c>
      <c r="G170" t="s">
        <v>46</v>
      </c>
      <c r="H170">
        <v>109000</v>
      </c>
      <c r="I170">
        <v>1</v>
      </c>
      <c r="J170">
        <v>4</v>
      </c>
      <c r="K170">
        <v>1</v>
      </c>
      <c r="L170" t="s">
        <v>21</v>
      </c>
      <c r="M170" t="s">
        <v>29</v>
      </c>
      <c r="N170" t="s">
        <v>34</v>
      </c>
      <c r="O170" t="s">
        <v>75</v>
      </c>
    </row>
    <row r="171" spans="1:15" x14ac:dyDescent="0.3">
      <c r="A171" t="s">
        <v>325</v>
      </c>
      <c r="B171" t="s">
        <v>326</v>
      </c>
      <c r="C171" t="s">
        <v>17</v>
      </c>
      <c r="D171">
        <v>28</v>
      </c>
      <c r="E171" t="s">
        <v>18</v>
      </c>
      <c r="F171" t="s">
        <v>126</v>
      </c>
      <c r="G171" t="s">
        <v>20</v>
      </c>
      <c r="H171">
        <v>97000</v>
      </c>
      <c r="I171">
        <v>3</v>
      </c>
      <c r="J171">
        <v>3</v>
      </c>
      <c r="K171">
        <v>4</v>
      </c>
      <c r="L171" t="s">
        <v>21</v>
      </c>
      <c r="M171" t="s">
        <v>29</v>
      </c>
      <c r="N171" t="s">
        <v>34</v>
      </c>
      <c r="O171" t="s">
        <v>51</v>
      </c>
    </row>
    <row r="172" spans="1:15" x14ac:dyDescent="0.3">
      <c r="A172" t="s">
        <v>327</v>
      </c>
      <c r="B172" t="s">
        <v>328</v>
      </c>
      <c r="C172" t="s">
        <v>37</v>
      </c>
      <c r="D172">
        <v>36</v>
      </c>
      <c r="E172" t="s">
        <v>66</v>
      </c>
      <c r="F172" t="s">
        <v>67</v>
      </c>
      <c r="G172" t="s">
        <v>28</v>
      </c>
      <c r="H172">
        <v>111000</v>
      </c>
      <c r="I172">
        <v>15</v>
      </c>
      <c r="J172">
        <v>2</v>
      </c>
      <c r="K172">
        <v>1</v>
      </c>
      <c r="L172" t="s">
        <v>29</v>
      </c>
      <c r="M172" t="s">
        <v>29</v>
      </c>
      <c r="N172" t="s">
        <v>34</v>
      </c>
      <c r="O172" t="s">
        <v>54</v>
      </c>
    </row>
    <row r="173" spans="1:15" x14ac:dyDescent="0.3">
      <c r="A173" t="s">
        <v>329</v>
      </c>
      <c r="B173" t="s">
        <v>330</v>
      </c>
      <c r="C173" t="s">
        <v>37</v>
      </c>
      <c r="D173">
        <v>44</v>
      </c>
      <c r="E173" t="s">
        <v>66</v>
      </c>
      <c r="F173" t="s">
        <v>82</v>
      </c>
      <c r="G173" t="s">
        <v>28</v>
      </c>
      <c r="H173">
        <v>64000</v>
      </c>
      <c r="I173">
        <v>9</v>
      </c>
      <c r="J173">
        <v>2</v>
      </c>
      <c r="K173">
        <v>2</v>
      </c>
      <c r="L173" t="s">
        <v>21</v>
      </c>
      <c r="M173" t="s">
        <v>21</v>
      </c>
      <c r="N173" t="s">
        <v>34</v>
      </c>
      <c r="O173" t="s">
        <v>54</v>
      </c>
    </row>
    <row r="174" spans="1:15" x14ac:dyDescent="0.3">
      <c r="A174" t="s">
        <v>331</v>
      </c>
      <c r="B174" t="s">
        <v>36</v>
      </c>
      <c r="C174" t="s">
        <v>37</v>
      </c>
      <c r="D174">
        <v>47</v>
      </c>
      <c r="E174" t="s">
        <v>41</v>
      </c>
      <c r="F174" t="s">
        <v>73</v>
      </c>
      <c r="G174" t="s">
        <v>46</v>
      </c>
      <c r="H174">
        <v>55000</v>
      </c>
      <c r="I174">
        <v>13</v>
      </c>
      <c r="J174">
        <v>4</v>
      </c>
      <c r="K174">
        <v>3</v>
      </c>
      <c r="L174" t="s">
        <v>21</v>
      </c>
      <c r="M174" t="s">
        <v>29</v>
      </c>
      <c r="N174" t="s">
        <v>34</v>
      </c>
      <c r="O174" t="s">
        <v>43</v>
      </c>
    </row>
    <row r="175" spans="1:15" x14ac:dyDescent="0.3">
      <c r="A175" t="s">
        <v>332</v>
      </c>
      <c r="B175" t="s">
        <v>221</v>
      </c>
      <c r="C175" t="s">
        <v>17</v>
      </c>
      <c r="D175">
        <v>27</v>
      </c>
      <c r="E175" t="s">
        <v>41</v>
      </c>
      <c r="F175" t="s">
        <v>42</v>
      </c>
      <c r="G175" t="s">
        <v>20</v>
      </c>
      <c r="H175">
        <v>108000</v>
      </c>
      <c r="I175">
        <v>6</v>
      </c>
      <c r="J175">
        <v>5</v>
      </c>
      <c r="K175">
        <v>1</v>
      </c>
      <c r="L175" t="s">
        <v>21</v>
      </c>
      <c r="M175" t="s">
        <v>21</v>
      </c>
      <c r="N175" t="s">
        <v>34</v>
      </c>
      <c r="O175" t="s">
        <v>75</v>
      </c>
    </row>
    <row r="176" spans="1:15" x14ac:dyDescent="0.3">
      <c r="A176" t="s">
        <v>333</v>
      </c>
      <c r="B176" t="s">
        <v>308</v>
      </c>
      <c r="C176" t="s">
        <v>17</v>
      </c>
      <c r="D176">
        <v>34</v>
      </c>
      <c r="E176" t="s">
        <v>49</v>
      </c>
      <c r="F176" t="s">
        <v>50</v>
      </c>
      <c r="G176" t="s">
        <v>33</v>
      </c>
      <c r="H176">
        <v>42000</v>
      </c>
      <c r="I176">
        <v>13</v>
      </c>
      <c r="J176">
        <v>3</v>
      </c>
      <c r="K176">
        <v>3</v>
      </c>
      <c r="L176" t="s">
        <v>29</v>
      </c>
      <c r="M176" t="s">
        <v>29</v>
      </c>
      <c r="N176" t="s">
        <v>22</v>
      </c>
      <c r="O176" t="s">
        <v>30</v>
      </c>
    </row>
    <row r="177" spans="1:15" x14ac:dyDescent="0.3">
      <c r="A177" t="s">
        <v>334</v>
      </c>
      <c r="B177" t="s">
        <v>335</v>
      </c>
      <c r="C177" t="s">
        <v>37</v>
      </c>
      <c r="D177">
        <v>22</v>
      </c>
      <c r="E177" t="s">
        <v>26</v>
      </c>
      <c r="F177" t="s">
        <v>27</v>
      </c>
      <c r="G177" t="s">
        <v>33</v>
      </c>
      <c r="H177">
        <v>80000</v>
      </c>
      <c r="I177">
        <v>1</v>
      </c>
      <c r="J177">
        <v>5</v>
      </c>
      <c r="K177">
        <v>1</v>
      </c>
      <c r="L177" t="s">
        <v>21</v>
      </c>
      <c r="M177" t="s">
        <v>29</v>
      </c>
      <c r="N177" t="s">
        <v>34</v>
      </c>
      <c r="O177" t="s">
        <v>70</v>
      </c>
    </row>
    <row r="178" spans="1:15" x14ac:dyDescent="0.3">
      <c r="A178" t="s">
        <v>336</v>
      </c>
      <c r="B178" t="s">
        <v>194</v>
      </c>
      <c r="C178" t="s">
        <v>17</v>
      </c>
      <c r="D178">
        <v>33</v>
      </c>
      <c r="E178" t="s">
        <v>18</v>
      </c>
      <c r="F178" t="s">
        <v>19</v>
      </c>
      <c r="G178" t="s">
        <v>46</v>
      </c>
      <c r="H178">
        <v>101000</v>
      </c>
      <c r="I178">
        <v>12</v>
      </c>
      <c r="J178">
        <v>2</v>
      </c>
      <c r="K178">
        <v>4</v>
      </c>
      <c r="L178" t="s">
        <v>29</v>
      </c>
      <c r="M178" t="s">
        <v>29</v>
      </c>
      <c r="N178" t="s">
        <v>22</v>
      </c>
      <c r="O178" t="s">
        <v>30</v>
      </c>
    </row>
    <row r="179" spans="1:15" x14ac:dyDescent="0.3">
      <c r="A179" t="s">
        <v>337</v>
      </c>
      <c r="B179" t="s">
        <v>69</v>
      </c>
      <c r="C179" t="s">
        <v>37</v>
      </c>
      <c r="D179">
        <v>50</v>
      </c>
      <c r="E179" t="s">
        <v>41</v>
      </c>
      <c r="F179" t="s">
        <v>73</v>
      </c>
      <c r="G179" t="s">
        <v>20</v>
      </c>
      <c r="H179">
        <v>83000</v>
      </c>
      <c r="I179">
        <v>8</v>
      </c>
      <c r="J179">
        <v>3</v>
      </c>
      <c r="K179">
        <v>3</v>
      </c>
      <c r="L179" t="s">
        <v>29</v>
      </c>
      <c r="M179" t="s">
        <v>29</v>
      </c>
      <c r="N179" t="s">
        <v>22</v>
      </c>
      <c r="O179" t="s">
        <v>30</v>
      </c>
    </row>
    <row r="180" spans="1:15" x14ac:dyDescent="0.3">
      <c r="A180" t="s">
        <v>338</v>
      </c>
      <c r="B180" t="s">
        <v>205</v>
      </c>
      <c r="C180" t="s">
        <v>17</v>
      </c>
      <c r="D180">
        <v>24</v>
      </c>
      <c r="E180" t="s">
        <v>66</v>
      </c>
      <c r="F180" t="s">
        <v>67</v>
      </c>
      <c r="G180" t="s">
        <v>28</v>
      </c>
      <c r="H180">
        <v>88000</v>
      </c>
      <c r="I180">
        <v>3</v>
      </c>
      <c r="J180">
        <v>5</v>
      </c>
      <c r="K180">
        <v>2</v>
      </c>
      <c r="L180" t="s">
        <v>21</v>
      </c>
      <c r="M180" t="s">
        <v>21</v>
      </c>
      <c r="N180" t="s">
        <v>22</v>
      </c>
      <c r="O180" t="s">
        <v>23</v>
      </c>
    </row>
    <row r="181" spans="1:15" x14ac:dyDescent="0.3">
      <c r="A181" t="s">
        <v>339</v>
      </c>
      <c r="B181" t="s">
        <v>308</v>
      </c>
      <c r="C181" t="s">
        <v>37</v>
      </c>
      <c r="D181">
        <v>42</v>
      </c>
      <c r="E181" t="s">
        <v>18</v>
      </c>
      <c r="F181" t="s">
        <v>126</v>
      </c>
      <c r="G181" t="s">
        <v>20</v>
      </c>
      <c r="H181">
        <v>103000</v>
      </c>
      <c r="I181">
        <v>17</v>
      </c>
      <c r="J181">
        <v>2</v>
      </c>
      <c r="K181">
        <v>2</v>
      </c>
      <c r="L181" t="s">
        <v>21</v>
      </c>
      <c r="M181" t="s">
        <v>21</v>
      </c>
      <c r="N181" t="s">
        <v>34</v>
      </c>
      <c r="O181" t="s">
        <v>54</v>
      </c>
    </row>
    <row r="182" spans="1:15" x14ac:dyDescent="0.3">
      <c r="A182" t="s">
        <v>340</v>
      </c>
      <c r="B182" t="s">
        <v>69</v>
      </c>
      <c r="C182" t="s">
        <v>17</v>
      </c>
      <c r="D182">
        <v>27</v>
      </c>
      <c r="E182" t="s">
        <v>26</v>
      </c>
      <c r="F182" t="s">
        <v>50</v>
      </c>
      <c r="G182" t="s">
        <v>46</v>
      </c>
      <c r="H182">
        <v>104000</v>
      </c>
      <c r="I182">
        <v>6</v>
      </c>
      <c r="J182">
        <v>4</v>
      </c>
      <c r="K182">
        <v>2</v>
      </c>
      <c r="L182" t="s">
        <v>29</v>
      </c>
      <c r="M182" t="s">
        <v>29</v>
      </c>
      <c r="N182" t="s">
        <v>22</v>
      </c>
      <c r="O182" t="s">
        <v>54</v>
      </c>
    </row>
    <row r="183" spans="1:15" x14ac:dyDescent="0.3">
      <c r="A183" t="s">
        <v>341</v>
      </c>
      <c r="B183" t="s">
        <v>188</v>
      </c>
      <c r="C183" t="s">
        <v>37</v>
      </c>
      <c r="D183">
        <v>50</v>
      </c>
      <c r="E183" t="s">
        <v>41</v>
      </c>
      <c r="F183" t="s">
        <v>42</v>
      </c>
      <c r="G183" t="s">
        <v>46</v>
      </c>
      <c r="H183">
        <v>90000</v>
      </c>
      <c r="I183">
        <v>19</v>
      </c>
      <c r="J183">
        <v>4</v>
      </c>
      <c r="K183">
        <v>4</v>
      </c>
      <c r="L183" t="s">
        <v>21</v>
      </c>
      <c r="M183" t="s">
        <v>29</v>
      </c>
      <c r="N183" t="s">
        <v>34</v>
      </c>
      <c r="O183" t="s">
        <v>30</v>
      </c>
    </row>
    <row r="184" spans="1:15" x14ac:dyDescent="0.3">
      <c r="A184" t="s">
        <v>342</v>
      </c>
      <c r="B184" t="s">
        <v>328</v>
      </c>
      <c r="C184" t="s">
        <v>17</v>
      </c>
      <c r="D184">
        <v>49</v>
      </c>
      <c r="E184" t="s">
        <v>49</v>
      </c>
      <c r="F184" t="s">
        <v>50</v>
      </c>
      <c r="G184" t="s">
        <v>28</v>
      </c>
      <c r="H184">
        <v>42000</v>
      </c>
      <c r="I184">
        <v>14</v>
      </c>
      <c r="J184">
        <v>4</v>
      </c>
      <c r="K184">
        <v>4</v>
      </c>
      <c r="L184" t="s">
        <v>21</v>
      </c>
      <c r="M184" t="s">
        <v>29</v>
      </c>
      <c r="N184" t="s">
        <v>22</v>
      </c>
      <c r="O184" t="s">
        <v>23</v>
      </c>
    </row>
    <row r="185" spans="1:15" x14ac:dyDescent="0.3">
      <c r="A185" t="s">
        <v>343</v>
      </c>
      <c r="B185" t="s">
        <v>162</v>
      </c>
      <c r="C185" t="s">
        <v>37</v>
      </c>
      <c r="D185">
        <v>31</v>
      </c>
      <c r="E185" t="s">
        <v>26</v>
      </c>
      <c r="F185" t="s">
        <v>50</v>
      </c>
      <c r="G185" t="s">
        <v>46</v>
      </c>
      <c r="H185">
        <v>36000</v>
      </c>
      <c r="I185">
        <v>10</v>
      </c>
      <c r="J185">
        <v>4</v>
      </c>
      <c r="K185">
        <v>3</v>
      </c>
      <c r="L185" t="s">
        <v>29</v>
      </c>
      <c r="M185" t="s">
        <v>29</v>
      </c>
      <c r="N185" t="s">
        <v>22</v>
      </c>
      <c r="O185" t="s">
        <v>43</v>
      </c>
    </row>
    <row r="186" spans="1:15" x14ac:dyDescent="0.3">
      <c r="A186" t="s">
        <v>344</v>
      </c>
      <c r="B186" t="s">
        <v>225</v>
      </c>
      <c r="C186" t="s">
        <v>17</v>
      </c>
      <c r="D186">
        <v>55</v>
      </c>
      <c r="E186" t="s">
        <v>49</v>
      </c>
      <c r="F186" t="s">
        <v>50</v>
      </c>
      <c r="G186" t="s">
        <v>46</v>
      </c>
      <c r="H186">
        <v>69000</v>
      </c>
      <c r="I186">
        <v>1</v>
      </c>
      <c r="J186">
        <v>2</v>
      </c>
      <c r="K186">
        <v>4</v>
      </c>
      <c r="L186" t="s">
        <v>21</v>
      </c>
      <c r="M186" t="s">
        <v>29</v>
      </c>
      <c r="N186" t="s">
        <v>34</v>
      </c>
      <c r="O186" t="s">
        <v>70</v>
      </c>
    </row>
    <row r="187" spans="1:15" x14ac:dyDescent="0.3">
      <c r="A187" t="s">
        <v>345</v>
      </c>
      <c r="B187" t="s">
        <v>240</v>
      </c>
      <c r="C187" t="s">
        <v>17</v>
      </c>
      <c r="D187">
        <v>54</v>
      </c>
      <c r="E187" t="s">
        <v>66</v>
      </c>
      <c r="F187" t="s">
        <v>67</v>
      </c>
      <c r="G187" t="s">
        <v>46</v>
      </c>
      <c r="H187">
        <v>79000</v>
      </c>
      <c r="I187">
        <v>5</v>
      </c>
      <c r="J187">
        <v>3</v>
      </c>
      <c r="K187">
        <v>2</v>
      </c>
      <c r="L187" t="s">
        <v>21</v>
      </c>
      <c r="M187" t="s">
        <v>29</v>
      </c>
      <c r="N187" t="s">
        <v>34</v>
      </c>
      <c r="O187" t="s">
        <v>75</v>
      </c>
    </row>
    <row r="188" spans="1:15" x14ac:dyDescent="0.3">
      <c r="A188" t="s">
        <v>346</v>
      </c>
      <c r="B188" t="s">
        <v>347</v>
      </c>
      <c r="C188" t="s">
        <v>37</v>
      </c>
      <c r="D188">
        <v>33</v>
      </c>
      <c r="E188" t="s">
        <v>57</v>
      </c>
      <c r="F188" t="s">
        <v>50</v>
      </c>
      <c r="G188" t="s">
        <v>33</v>
      </c>
      <c r="H188">
        <v>105000</v>
      </c>
      <c r="I188">
        <v>2</v>
      </c>
      <c r="J188">
        <v>2</v>
      </c>
      <c r="K188">
        <v>5</v>
      </c>
      <c r="L188" t="s">
        <v>29</v>
      </c>
      <c r="M188" t="s">
        <v>29</v>
      </c>
      <c r="N188" t="s">
        <v>34</v>
      </c>
      <c r="O188" t="s">
        <v>30</v>
      </c>
    </row>
    <row r="189" spans="1:15" x14ac:dyDescent="0.3">
      <c r="A189" t="s">
        <v>348</v>
      </c>
      <c r="B189" t="s">
        <v>253</v>
      </c>
      <c r="C189" t="s">
        <v>37</v>
      </c>
      <c r="D189">
        <v>43</v>
      </c>
      <c r="E189" t="s">
        <v>66</v>
      </c>
      <c r="F189" t="s">
        <v>67</v>
      </c>
      <c r="G189" t="s">
        <v>28</v>
      </c>
      <c r="H189">
        <v>79000</v>
      </c>
      <c r="I189">
        <v>20</v>
      </c>
      <c r="J189">
        <v>2</v>
      </c>
      <c r="K189">
        <v>2</v>
      </c>
      <c r="L189" t="s">
        <v>21</v>
      </c>
      <c r="M189" t="s">
        <v>29</v>
      </c>
      <c r="N189" t="s">
        <v>22</v>
      </c>
      <c r="O189" t="s">
        <v>75</v>
      </c>
    </row>
    <row r="190" spans="1:15" x14ac:dyDescent="0.3">
      <c r="A190" t="s">
        <v>349</v>
      </c>
      <c r="B190" t="s">
        <v>350</v>
      </c>
      <c r="C190" t="s">
        <v>37</v>
      </c>
      <c r="D190">
        <v>39</v>
      </c>
      <c r="E190" t="s">
        <v>49</v>
      </c>
      <c r="F190" t="s">
        <v>50</v>
      </c>
      <c r="G190" t="s">
        <v>28</v>
      </c>
      <c r="H190">
        <v>31000</v>
      </c>
      <c r="I190">
        <v>13</v>
      </c>
      <c r="J190">
        <v>3</v>
      </c>
      <c r="K190">
        <v>5</v>
      </c>
      <c r="L190" t="s">
        <v>21</v>
      </c>
      <c r="M190" t="s">
        <v>29</v>
      </c>
      <c r="N190" t="s">
        <v>34</v>
      </c>
      <c r="O190" t="s">
        <v>51</v>
      </c>
    </row>
    <row r="191" spans="1:15" x14ac:dyDescent="0.3">
      <c r="A191" t="s">
        <v>351</v>
      </c>
      <c r="B191" t="s">
        <v>223</v>
      </c>
      <c r="C191" t="s">
        <v>37</v>
      </c>
      <c r="D191">
        <v>46</v>
      </c>
      <c r="E191" t="s">
        <v>26</v>
      </c>
      <c r="F191" t="s">
        <v>27</v>
      </c>
      <c r="G191" t="s">
        <v>46</v>
      </c>
      <c r="H191">
        <v>65000</v>
      </c>
      <c r="I191">
        <v>12</v>
      </c>
      <c r="J191">
        <v>3</v>
      </c>
      <c r="K191">
        <v>1</v>
      </c>
      <c r="L191" t="s">
        <v>21</v>
      </c>
      <c r="M191" t="s">
        <v>29</v>
      </c>
      <c r="N191" t="s">
        <v>34</v>
      </c>
      <c r="O191" t="s">
        <v>23</v>
      </c>
    </row>
    <row r="192" spans="1:15" x14ac:dyDescent="0.3">
      <c r="A192" t="s">
        <v>352</v>
      </c>
      <c r="B192" t="s">
        <v>149</v>
      </c>
      <c r="C192" t="s">
        <v>17</v>
      </c>
      <c r="D192">
        <v>41</v>
      </c>
      <c r="E192" t="s">
        <v>66</v>
      </c>
      <c r="F192" t="s">
        <v>67</v>
      </c>
      <c r="G192" t="s">
        <v>33</v>
      </c>
      <c r="H192">
        <v>45000</v>
      </c>
      <c r="I192">
        <v>1</v>
      </c>
      <c r="J192">
        <v>5</v>
      </c>
      <c r="K192">
        <v>4</v>
      </c>
      <c r="L192" t="s">
        <v>29</v>
      </c>
      <c r="M192" t="s">
        <v>29</v>
      </c>
      <c r="N192" t="s">
        <v>34</v>
      </c>
      <c r="O192" t="s">
        <v>38</v>
      </c>
    </row>
    <row r="193" spans="1:15" x14ac:dyDescent="0.3">
      <c r="A193" t="s">
        <v>353</v>
      </c>
      <c r="B193" t="s">
        <v>354</v>
      </c>
      <c r="C193" t="s">
        <v>37</v>
      </c>
      <c r="D193">
        <v>46</v>
      </c>
      <c r="E193" t="s">
        <v>18</v>
      </c>
      <c r="F193" t="s">
        <v>126</v>
      </c>
      <c r="G193" t="s">
        <v>33</v>
      </c>
      <c r="H193">
        <v>54000</v>
      </c>
      <c r="I193">
        <v>6</v>
      </c>
      <c r="J193">
        <v>5</v>
      </c>
      <c r="K193">
        <v>3</v>
      </c>
      <c r="L193" t="s">
        <v>29</v>
      </c>
      <c r="M193" t="s">
        <v>29</v>
      </c>
      <c r="N193" t="s">
        <v>34</v>
      </c>
      <c r="O193" t="s">
        <v>54</v>
      </c>
    </row>
    <row r="194" spans="1:15" x14ac:dyDescent="0.3">
      <c r="A194" t="s">
        <v>355</v>
      </c>
      <c r="B194" t="s">
        <v>84</v>
      </c>
      <c r="C194" t="s">
        <v>37</v>
      </c>
      <c r="D194">
        <v>29</v>
      </c>
      <c r="E194" t="s">
        <v>26</v>
      </c>
      <c r="F194" t="s">
        <v>27</v>
      </c>
      <c r="G194" t="s">
        <v>20</v>
      </c>
      <c r="H194">
        <v>73000</v>
      </c>
      <c r="I194">
        <v>8</v>
      </c>
      <c r="J194">
        <v>5</v>
      </c>
      <c r="K194">
        <v>5</v>
      </c>
      <c r="L194" t="s">
        <v>21</v>
      </c>
      <c r="M194" t="s">
        <v>29</v>
      </c>
      <c r="N194" t="s">
        <v>22</v>
      </c>
      <c r="O194" t="s">
        <v>54</v>
      </c>
    </row>
    <row r="195" spans="1:15" x14ac:dyDescent="0.3">
      <c r="A195" t="s">
        <v>356</v>
      </c>
      <c r="B195" t="s">
        <v>357</v>
      </c>
      <c r="C195" t="s">
        <v>37</v>
      </c>
      <c r="D195">
        <v>51</v>
      </c>
      <c r="E195" t="s">
        <v>57</v>
      </c>
      <c r="F195" t="s">
        <v>27</v>
      </c>
      <c r="G195" t="s">
        <v>46</v>
      </c>
      <c r="H195">
        <v>110000</v>
      </c>
      <c r="I195">
        <v>17</v>
      </c>
      <c r="J195">
        <v>2</v>
      </c>
      <c r="K195">
        <v>2</v>
      </c>
      <c r="L195" t="s">
        <v>21</v>
      </c>
      <c r="M195" t="s">
        <v>21</v>
      </c>
      <c r="N195" t="s">
        <v>22</v>
      </c>
      <c r="O195" t="s">
        <v>38</v>
      </c>
    </row>
    <row r="196" spans="1:15" x14ac:dyDescent="0.3">
      <c r="A196" t="s">
        <v>358</v>
      </c>
      <c r="B196" t="s">
        <v>326</v>
      </c>
      <c r="C196" t="s">
        <v>37</v>
      </c>
      <c r="D196">
        <v>41</v>
      </c>
      <c r="E196" t="s">
        <v>41</v>
      </c>
      <c r="F196" t="s">
        <v>42</v>
      </c>
      <c r="G196" t="s">
        <v>28</v>
      </c>
      <c r="H196">
        <v>38000</v>
      </c>
      <c r="I196">
        <v>5</v>
      </c>
      <c r="J196">
        <v>3</v>
      </c>
      <c r="K196">
        <v>1</v>
      </c>
      <c r="L196" t="s">
        <v>29</v>
      </c>
      <c r="M196" t="s">
        <v>21</v>
      </c>
      <c r="N196" t="s">
        <v>34</v>
      </c>
      <c r="O196" t="s">
        <v>70</v>
      </c>
    </row>
    <row r="197" spans="1:15" x14ac:dyDescent="0.3">
      <c r="A197" t="s">
        <v>359</v>
      </c>
      <c r="B197" t="s">
        <v>360</v>
      </c>
      <c r="C197" t="s">
        <v>17</v>
      </c>
      <c r="D197">
        <v>40</v>
      </c>
      <c r="E197" t="s">
        <v>26</v>
      </c>
      <c r="F197" t="s">
        <v>27</v>
      </c>
      <c r="G197" t="s">
        <v>20</v>
      </c>
      <c r="H197">
        <v>58000</v>
      </c>
      <c r="I197">
        <v>19</v>
      </c>
      <c r="J197">
        <v>2</v>
      </c>
      <c r="K197">
        <v>2</v>
      </c>
      <c r="L197" t="s">
        <v>29</v>
      </c>
      <c r="M197" t="s">
        <v>29</v>
      </c>
      <c r="N197" t="s">
        <v>34</v>
      </c>
      <c r="O197" t="s">
        <v>51</v>
      </c>
    </row>
    <row r="198" spans="1:15" x14ac:dyDescent="0.3">
      <c r="A198" t="s">
        <v>361</v>
      </c>
      <c r="B198" t="s">
        <v>362</v>
      </c>
      <c r="C198" t="s">
        <v>17</v>
      </c>
      <c r="D198">
        <v>50</v>
      </c>
      <c r="E198" t="s">
        <v>66</v>
      </c>
      <c r="F198" t="s">
        <v>82</v>
      </c>
      <c r="G198" t="s">
        <v>33</v>
      </c>
      <c r="H198">
        <v>97000</v>
      </c>
      <c r="I198">
        <v>8</v>
      </c>
      <c r="J198">
        <v>5</v>
      </c>
      <c r="K198">
        <v>2</v>
      </c>
      <c r="L198" t="s">
        <v>29</v>
      </c>
      <c r="M198" t="s">
        <v>29</v>
      </c>
      <c r="N198" t="s">
        <v>22</v>
      </c>
      <c r="O198" t="s">
        <v>30</v>
      </c>
    </row>
    <row r="199" spans="1:15" x14ac:dyDescent="0.3">
      <c r="A199" t="s">
        <v>363</v>
      </c>
      <c r="B199" t="s">
        <v>191</v>
      </c>
      <c r="C199" t="s">
        <v>37</v>
      </c>
      <c r="D199">
        <v>37</v>
      </c>
      <c r="E199" t="s">
        <v>41</v>
      </c>
      <c r="F199" t="s">
        <v>42</v>
      </c>
      <c r="G199" t="s">
        <v>28</v>
      </c>
      <c r="H199">
        <v>96000</v>
      </c>
      <c r="I199">
        <v>6</v>
      </c>
      <c r="J199">
        <v>5</v>
      </c>
      <c r="K199">
        <v>4</v>
      </c>
      <c r="L199" t="s">
        <v>29</v>
      </c>
      <c r="M199" t="s">
        <v>29</v>
      </c>
      <c r="N199" t="s">
        <v>22</v>
      </c>
      <c r="O199" t="s">
        <v>70</v>
      </c>
    </row>
    <row r="200" spans="1:15" x14ac:dyDescent="0.3">
      <c r="A200" t="s">
        <v>364</v>
      </c>
      <c r="B200" t="s">
        <v>79</v>
      </c>
      <c r="C200" t="s">
        <v>17</v>
      </c>
      <c r="D200">
        <v>32</v>
      </c>
      <c r="E200" t="s">
        <v>57</v>
      </c>
      <c r="F200" t="s">
        <v>27</v>
      </c>
      <c r="G200" t="s">
        <v>20</v>
      </c>
      <c r="H200">
        <v>76000</v>
      </c>
      <c r="I200">
        <v>11</v>
      </c>
      <c r="J200">
        <v>4</v>
      </c>
      <c r="K200">
        <v>4</v>
      </c>
      <c r="L200" t="s">
        <v>29</v>
      </c>
      <c r="M200" t="s">
        <v>29</v>
      </c>
      <c r="N200" t="s">
        <v>34</v>
      </c>
      <c r="O200" t="s">
        <v>75</v>
      </c>
    </row>
    <row r="201" spans="1:15" x14ac:dyDescent="0.3">
      <c r="A201" t="s">
        <v>365</v>
      </c>
      <c r="B201" t="s">
        <v>366</v>
      </c>
      <c r="C201" t="s">
        <v>37</v>
      </c>
      <c r="D201">
        <v>37</v>
      </c>
      <c r="E201" t="s">
        <v>66</v>
      </c>
      <c r="F201" t="s">
        <v>67</v>
      </c>
      <c r="G201" t="s">
        <v>46</v>
      </c>
      <c r="H201">
        <v>49000</v>
      </c>
      <c r="I201">
        <v>6</v>
      </c>
      <c r="J201">
        <v>4</v>
      </c>
      <c r="K201">
        <v>3</v>
      </c>
      <c r="L201" t="s">
        <v>29</v>
      </c>
      <c r="M201" t="s">
        <v>29</v>
      </c>
      <c r="N201" t="s">
        <v>22</v>
      </c>
      <c r="O201" t="s">
        <v>38</v>
      </c>
    </row>
    <row r="202" spans="1:15" x14ac:dyDescent="0.3">
      <c r="A202" t="s">
        <v>367</v>
      </c>
      <c r="B202" t="s">
        <v>45</v>
      </c>
      <c r="C202" t="s">
        <v>17</v>
      </c>
      <c r="D202">
        <v>24</v>
      </c>
      <c r="E202" t="s">
        <v>18</v>
      </c>
      <c r="F202" t="s">
        <v>126</v>
      </c>
      <c r="G202" t="s">
        <v>33</v>
      </c>
      <c r="H202">
        <v>108000</v>
      </c>
      <c r="I202">
        <v>3</v>
      </c>
      <c r="J202">
        <v>4</v>
      </c>
      <c r="K202">
        <v>5</v>
      </c>
      <c r="L202" t="s">
        <v>29</v>
      </c>
      <c r="M202" t="s">
        <v>29</v>
      </c>
      <c r="N202" t="s">
        <v>22</v>
      </c>
      <c r="O202" t="s">
        <v>30</v>
      </c>
    </row>
    <row r="203" spans="1:15" x14ac:dyDescent="0.3">
      <c r="A203" t="s">
        <v>368</v>
      </c>
      <c r="B203" t="s">
        <v>98</v>
      </c>
      <c r="C203" t="s">
        <v>37</v>
      </c>
      <c r="D203">
        <v>26</v>
      </c>
      <c r="E203" t="s">
        <v>26</v>
      </c>
      <c r="F203" t="s">
        <v>27</v>
      </c>
      <c r="G203" t="s">
        <v>46</v>
      </c>
      <c r="H203">
        <v>105000</v>
      </c>
      <c r="I203">
        <v>5</v>
      </c>
      <c r="J203">
        <v>5</v>
      </c>
      <c r="K203">
        <v>3</v>
      </c>
      <c r="L203" t="s">
        <v>29</v>
      </c>
      <c r="M203" t="s">
        <v>29</v>
      </c>
      <c r="N203" t="s">
        <v>22</v>
      </c>
      <c r="O203" t="s">
        <v>75</v>
      </c>
    </row>
    <row r="204" spans="1:15" x14ac:dyDescent="0.3">
      <c r="A204" t="s">
        <v>369</v>
      </c>
      <c r="B204" t="s">
        <v>370</v>
      </c>
      <c r="C204" t="s">
        <v>17</v>
      </c>
      <c r="D204">
        <v>51</v>
      </c>
      <c r="E204" t="s">
        <v>49</v>
      </c>
      <c r="F204" t="s">
        <v>50</v>
      </c>
      <c r="G204" t="s">
        <v>28</v>
      </c>
      <c r="H204">
        <v>43000</v>
      </c>
      <c r="I204">
        <v>3</v>
      </c>
      <c r="J204">
        <v>5</v>
      </c>
      <c r="K204">
        <v>4</v>
      </c>
      <c r="L204" t="s">
        <v>29</v>
      </c>
      <c r="M204" t="s">
        <v>29</v>
      </c>
      <c r="N204" t="s">
        <v>34</v>
      </c>
      <c r="O204" t="s">
        <v>51</v>
      </c>
    </row>
    <row r="205" spans="1:15" x14ac:dyDescent="0.3">
      <c r="A205" t="s">
        <v>371</v>
      </c>
      <c r="B205" t="s">
        <v>372</v>
      </c>
      <c r="C205" t="s">
        <v>37</v>
      </c>
      <c r="D205">
        <v>39</v>
      </c>
      <c r="E205" t="s">
        <v>66</v>
      </c>
      <c r="F205" t="s">
        <v>67</v>
      </c>
      <c r="G205" t="s">
        <v>46</v>
      </c>
      <c r="H205">
        <v>75000</v>
      </c>
      <c r="I205">
        <v>15</v>
      </c>
      <c r="J205">
        <v>4</v>
      </c>
      <c r="K205">
        <v>5</v>
      </c>
      <c r="L205" t="s">
        <v>29</v>
      </c>
      <c r="M205" t="s">
        <v>29</v>
      </c>
      <c r="N205" t="s">
        <v>34</v>
      </c>
      <c r="O205" t="s">
        <v>38</v>
      </c>
    </row>
    <row r="206" spans="1:15" x14ac:dyDescent="0.3">
      <c r="A206" t="s">
        <v>373</v>
      </c>
      <c r="B206" t="s">
        <v>63</v>
      </c>
      <c r="C206" t="s">
        <v>37</v>
      </c>
      <c r="D206">
        <v>33</v>
      </c>
      <c r="E206" t="s">
        <v>49</v>
      </c>
      <c r="F206" t="s">
        <v>27</v>
      </c>
      <c r="G206" t="s">
        <v>46</v>
      </c>
      <c r="H206">
        <v>105000</v>
      </c>
      <c r="I206">
        <v>4</v>
      </c>
      <c r="J206">
        <v>4</v>
      </c>
      <c r="K206">
        <v>1</v>
      </c>
      <c r="L206" t="s">
        <v>29</v>
      </c>
      <c r="M206" t="s">
        <v>29</v>
      </c>
      <c r="N206" t="s">
        <v>34</v>
      </c>
      <c r="O206" t="s">
        <v>51</v>
      </c>
    </row>
    <row r="207" spans="1:15" x14ac:dyDescent="0.3">
      <c r="A207" t="s">
        <v>374</v>
      </c>
      <c r="B207" t="s">
        <v>45</v>
      </c>
      <c r="C207" t="s">
        <v>17</v>
      </c>
      <c r="D207">
        <v>51</v>
      </c>
      <c r="E207" t="s">
        <v>18</v>
      </c>
      <c r="F207" t="s">
        <v>19</v>
      </c>
      <c r="G207" t="s">
        <v>46</v>
      </c>
      <c r="H207">
        <v>120000</v>
      </c>
      <c r="I207">
        <v>17</v>
      </c>
      <c r="J207">
        <v>5</v>
      </c>
      <c r="K207">
        <v>4</v>
      </c>
      <c r="L207" t="s">
        <v>29</v>
      </c>
      <c r="M207" t="s">
        <v>29</v>
      </c>
      <c r="N207" t="s">
        <v>22</v>
      </c>
      <c r="O207" t="s">
        <v>43</v>
      </c>
    </row>
    <row r="208" spans="1:15" x14ac:dyDescent="0.3">
      <c r="A208" t="s">
        <v>375</v>
      </c>
      <c r="B208" t="s">
        <v>376</v>
      </c>
      <c r="C208" t="s">
        <v>17</v>
      </c>
      <c r="D208">
        <v>31</v>
      </c>
      <c r="E208" t="s">
        <v>57</v>
      </c>
      <c r="F208" t="s">
        <v>50</v>
      </c>
      <c r="G208" t="s">
        <v>28</v>
      </c>
      <c r="H208">
        <v>113000</v>
      </c>
      <c r="I208">
        <v>10</v>
      </c>
      <c r="J208">
        <v>4</v>
      </c>
      <c r="K208">
        <v>3</v>
      </c>
      <c r="L208" t="s">
        <v>29</v>
      </c>
      <c r="M208" t="s">
        <v>29</v>
      </c>
      <c r="N208" t="s">
        <v>22</v>
      </c>
      <c r="O208" t="s">
        <v>23</v>
      </c>
    </row>
    <row r="209" spans="1:15" x14ac:dyDescent="0.3">
      <c r="A209" t="s">
        <v>377</v>
      </c>
      <c r="B209" t="s">
        <v>166</v>
      </c>
      <c r="C209" t="s">
        <v>37</v>
      </c>
      <c r="D209">
        <v>27</v>
      </c>
      <c r="E209" t="s">
        <v>66</v>
      </c>
      <c r="F209" t="s">
        <v>82</v>
      </c>
      <c r="G209" t="s">
        <v>20</v>
      </c>
      <c r="H209">
        <v>31000</v>
      </c>
      <c r="I209">
        <v>0</v>
      </c>
      <c r="J209">
        <v>5</v>
      </c>
      <c r="K209">
        <v>1</v>
      </c>
      <c r="L209" t="s">
        <v>21</v>
      </c>
      <c r="M209" t="s">
        <v>21</v>
      </c>
      <c r="N209" t="s">
        <v>34</v>
      </c>
      <c r="O209" t="s">
        <v>54</v>
      </c>
    </row>
    <row r="210" spans="1:15" x14ac:dyDescent="0.3">
      <c r="A210" t="s">
        <v>378</v>
      </c>
      <c r="B210" t="s">
        <v>379</v>
      </c>
      <c r="C210" t="s">
        <v>17</v>
      </c>
      <c r="D210">
        <v>25</v>
      </c>
      <c r="E210" t="s">
        <v>66</v>
      </c>
      <c r="F210" t="s">
        <v>67</v>
      </c>
      <c r="G210" t="s">
        <v>28</v>
      </c>
      <c r="H210">
        <v>50000</v>
      </c>
      <c r="I210">
        <v>2</v>
      </c>
      <c r="J210">
        <v>5</v>
      </c>
      <c r="K210">
        <v>5</v>
      </c>
      <c r="L210" t="s">
        <v>21</v>
      </c>
      <c r="M210" t="s">
        <v>29</v>
      </c>
      <c r="N210" t="s">
        <v>34</v>
      </c>
      <c r="O210" t="s">
        <v>54</v>
      </c>
    </row>
    <row r="211" spans="1:15" x14ac:dyDescent="0.3">
      <c r="A211" t="s">
        <v>380</v>
      </c>
      <c r="B211" t="s">
        <v>381</v>
      </c>
      <c r="C211" t="s">
        <v>37</v>
      </c>
      <c r="D211">
        <v>51</v>
      </c>
      <c r="E211" t="s">
        <v>66</v>
      </c>
      <c r="F211" t="s">
        <v>67</v>
      </c>
      <c r="G211" t="s">
        <v>46</v>
      </c>
      <c r="H211">
        <v>37000</v>
      </c>
      <c r="I211">
        <v>18</v>
      </c>
      <c r="J211">
        <v>5</v>
      </c>
      <c r="K211">
        <v>4</v>
      </c>
      <c r="L211" t="s">
        <v>21</v>
      </c>
      <c r="M211" t="s">
        <v>29</v>
      </c>
      <c r="N211" t="s">
        <v>22</v>
      </c>
      <c r="O211" t="s">
        <v>54</v>
      </c>
    </row>
    <row r="212" spans="1:15" x14ac:dyDescent="0.3">
      <c r="A212" t="s">
        <v>382</v>
      </c>
      <c r="B212" t="s">
        <v>203</v>
      </c>
      <c r="C212" t="s">
        <v>37</v>
      </c>
      <c r="D212">
        <v>44</v>
      </c>
      <c r="E212" t="s">
        <v>26</v>
      </c>
      <c r="F212" t="s">
        <v>50</v>
      </c>
      <c r="G212" t="s">
        <v>20</v>
      </c>
      <c r="H212">
        <v>92000</v>
      </c>
      <c r="I212">
        <v>8</v>
      </c>
      <c r="J212">
        <v>4</v>
      </c>
      <c r="K212">
        <v>2</v>
      </c>
      <c r="L212" t="s">
        <v>21</v>
      </c>
      <c r="M212" t="s">
        <v>21</v>
      </c>
      <c r="N212" t="s">
        <v>34</v>
      </c>
      <c r="O212" t="s">
        <v>30</v>
      </c>
    </row>
    <row r="213" spans="1:15" x14ac:dyDescent="0.3">
      <c r="A213" t="s">
        <v>383</v>
      </c>
      <c r="B213" t="s">
        <v>384</v>
      </c>
      <c r="C213" t="s">
        <v>37</v>
      </c>
      <c r="D213">
        <v>26</v>
      </c>
      <c r="E213" t="s">
        <v>57</v>
      </c>
      <c r="F213" t="s">
        <v>27</v>
      </c>
      <c r="G213" t="s">
        <v>33</v>
      </c>
      <c r="H213">
        <v>97000</v>
      </c>
      <c r="I213">
        <v>1</v>
      </c>
      <c r="J213">
        <v>4</v>
      </c>
      <c r="K213">
        <v>4</v>
      </c>
      <c r="L213" t="s">
        <v>21</v>
      </c>
      <c r="M213" t="s">
        <v>29</v>
      </c>
      <c r="N213" t="s">
        <v>34</v>
      </c>
      <c r="O213" t="s">
        <v>43</v>
      </c>
    </row>
    <row r="214" spans="1:15" x14ac:dyDescent="0.3">
      <c r="A214" t="s">
        <v>385</v>
      </c>
      <c r="B214" t="s">
        <v>370</v>
      </c>
      <c r="C214" t="s">
        <v>17</v>
      </c>
      <c r="D214">
        <v>38</v>
      </c>
      <c r="E214" t="s">
        <v>66</v>
      </c>
      <c r="F214" t="s">
        <v>82</v>
      </c>
      <c r="G214" t="s">
        <v>28</v>
      </c>
      <c r="H214">
        <v>64000</v>
      </c>
      <c r="I214">
        <v>15</v>
      </c>
      <c r="J214">
        <v>4</v>
      </c>
      <c r="K214">
        <v>3</v>
      </c>
      <c r="L214" t="s">
        <v>21</v>
      </c>
      <c r="M214" t="s">
        <v>29</v>
      </c>
      <c r="N214" t="s">
        <v>34</v>
      </c>
      <c r="O214" t="s">
        <v>30</v>
      </c>
    </row>
    <row r="215" spans="1:15" x14ac:dyDescent="0.3">
      <c r="A215" t="s">
        <v>386</v>
      </c>
      <c r="B215" t="s">
        <v>205</v>
      </c>
      <c r="C215" t="s">
        <v>37</v>
      </c>
      <c r="D215">
        <v>33</v>
      </c>
      <c r="E215" t="s">
        <v>49</v>
      </c>
      <c r="F215" t="s">
        <v>27</v>
      </c>
      <c r="G215" t="s">
        <v>28</v>
      </c>
      <c r="H215">
        <v>93000</v>
      </c>
      <c r="I215">
        <v>3</v>
      </c>
      <c r="J215">
        <v>5</v>
      </c>
      <c r="K215">
        <v>2</v>
      </c>
      <c r="L215" t="s">
        <v>21</v>
      </c>
      <c r="M215" t="s">
        <v>21</v>
      </c>
      <c r="N215" t="s">
        <v>34</v>
      </c>
      <c r="O215" t="s">
        <v>70</v>
      </c>
    </row>
    <row r="216" spans="1:15" x14ac:dyDescent="0.3">
      <c r="A216" t="s">
        <v>387</v>
      </c>
      <c r="B216" t="s">
        <v>320</v>
      </c>
      <c r="C216" t="s">
        <v>37</v>
      </c>
      <c r="D216">
        <v>23</v>
      </c>
      <c r="E216" t="s">
        <v>66</v>
      </c>
      <c r="F216" t="s">
        <v>82</v>
      </c>
      <c r="G216" t="s">
        <v>20</v>
      </c>
      <c r="H216">
        <v>86000</v>
      </c>
      <c r="I216">
        <v>2</v>
      </c>
      <c r="J216">
        <v>3</v>
      </c>
      <c r="K216">
        <v>1</v>
      </c>
      <c r="L216" t="s">
        <v>21</v>
      </c>
      <c r="M216" t="s">
        <v>29</v>
      </c>
      <c r="N216" t="s">
        <v>22</v>
      </c>
      <c r="O216" t="s">
        <v>54</v>
      </c>
    </row>
    <row r="217" spans="1:15" x14ac:dyDescent="0.3">
      <c r="A217" t="s">
        <v>388</v>
      </c>
      <c r="B217" t="s">
        <v>188</v>
      </c>
      <c r="C217" t="s">
        <v>17</v>
      </c>
      <c r="D217">
        <v>39</v>
      </c>
      <c r="E217" t="s">
        <v>18</v>
      </c>
      <c r="F217" t="s">
        <v>126</v>
      </c>
      <c r="G217" t="s">
        <v>28</v>
      </c>
      <c r="H217">
        <v>71000</v>
      </c>
      <c r="I217">
        <v>12</v>
      </c>
      <c r="J217">
        <v>3</v>
      </c>
      <c r="K217">
        <v>2</v>
      </c>
      <c r="L217" t="s">
        <v>21</v>
      </c>
      <c r="M217" t="s">
        <v>21</v>
      </c>
      <c r="N217" t="s">
        <v>34</v>
      </c>
      <c r="O217" t="s">
        <v>54</v>
      </c>
    </row>
    <row r="218" spans="1:15" x14ac:dyDescent="0.3">
      <c r="A218" t="s">
        <v>389</v>
      </c>
      <c r="B218" t="s">
        <v>390</v>
      </c>
      <c r="C218" t="s">
        <v>17</v>
      </c>
      <c r="D218">
        <v>40</v>
      </c>
      <c r="E218" t="s">
        <v>18</v>
      </c>
      <c r="F218" t="s">
        <v>19</v>
      </c>
      <c r="G218" t="s">
        <v>20</v>
      </c>
      <c r="H218">
        <v>35000</v>
      </c>
      <c r="I218">
        <v>13</v>
      </c>
      <c r="J218">
        <v>4</v>
      </c>
      <c r="K218">
        <v>4</v>
      </c>
      <c r="L218" t="s">
        <v>29</v>
      </c>
      <c r="M218" t="s">
        <v>29</v>
      </c>
      <c r="N218" t="s">
        <v>22</v>
      </c>
      <c r="O218" t="s">
        <v>70</v>
      </c>
    </row>
    <row r="219" spans="1:15" x14ac:dyDescent="0.3">
      <c r="A219" t="s">
        <v>391</v>
      </c>
      <c r="B219" t="s">
        <v>128</v>
      </c>
      <c r="C219" t="s">
        <v>17</v>
      </c>
      <c r="D219">
        <v>40</v>
      </c>
      <c r="E219" t="s">
        <v>41</v>
      </c>
      <c r="F219" t="s">
        <v>42</v>
      </c>
      <c r="G219" t="s">
        <v>46</v>
      </c>
      <c r="H219">
        <v>72000</v>
      </c>
      <c r="I219">
        <v>5</v>
      </c>
      <c r="J219">
        <v>2</v>
      </c>
      <c r="K219">
        <v>2</v>
      </c>
      <c r="L219" t="s">
        <v>29</v>
      </c>
      <c r="M219" t="s">
        <v>29</v>
      </c>
      <c r="N219" t="s">
        <v>34</v>
      </c>
      <c r="O219" t="s">
        <v>23</v>
      </c>
    </row>
    <row r="220" spans="1:15" x14ac:dyDescent="0.3">
      <c r="A220" t="s">
        <v>392</v>
      </c>
      <c r="B220" t="s">
        <v>164</v>
      </c>
      <c r="C220" t="s">
        <v>37</v>
      </c>
      <c r="D220">
        <v>26</v>
      </c>
      <c r="E220" t="s">
        <v>57</v>
      </c>
      <c r="F220" t="s">
        <v>27</v>
      </c>
      <c r="G220" t="s">
        <v>46</v>
      </c>
      <c r="H220">
        <v>55000</v>
      </c>
      <c r="I220">
        <v>5</v>
      </c>
      <c r="J220">
        <v>2</v>
      </c>
      <c r="K220">
        <v>4</v>
      </c>
      <c r="L220" t="s">
        <v>29</v>
      </c>
      <c r="M220" t="s">
        <v>29</v>
      </c>
      <c r="N220" t="s">
        <v>22</v>
      </c>
      <c r="O220" t="s">
        <v>38</v>
      </c>
    </row>
    <row r="221" spans="1:15" x14ac:dyDescent="0.3">
      <c r="A221" t="s">
        <v>393</v>
      </c>
      <c r="B221" t="s">
        <v>394</v>
      </c>
      <c r="C221" t="s">
        <v>17</v>
      </c>
      <c r="D221">
        <v>29</v>
      </c>
      <c r="E221" t="s">
        <v>18</v>
      </c>
      <c r="F221" t="s">
        <v>19</v>
      </c>
      <c r="G221" t="s">
        <v>28</v>
      </c>
      <c r="H221">
        <v>73000</v>
      </c>
      <c r="I221">
        <v>5</v>
      </c>
      <c r="J221">
        <v>4</v>
      </c>
      <c r="K221">
        <v>5</v>
      </c>
      <c r="L221" t="s">
        <v>29</v>
      </c>
      <c r="M221" t="s">
        <v>29</v>
      </c>
      <c r="N221" t="s">
        <v>34</v>
      </c>
      <c r="O221" t="s">
        <v>51</v>
      </c>
    </row>
    <row r="222" spans="1:15" x14ac:dyDescent="0.3">
      <c r="A222" t="s">
        <v>395</v>
      </c>
      <c r="B222" t="s">
        <v>233</v>
      </c>
      <c r="C222" t="s">
        <v>37</v>
      </c>
      <c r="D222">
        <v>49</v>
      </c>
      <c r="E222" t="s">
        <v>18</v>
      </c>
      <c r="F222" t="s">
        <v>126</v>
      </c>
      <c r="G222" t="s">
        <v>46</v>
      </c>
      <c r="H222">
        <v>118000</v>
      </c>
      <c r="I222">
        <v>7</v>
      </c>
      <c r="J222">
        <v>2</v>
      </c>
      <c r="K222">
        <v>4</v>
      </c>
      <c r="L222" t="s">
        <v>29</v>
      </c>
      <c r="M222" t="s">
        <v>29</v>
      </c>
      <c r="N222" t="s">
        <v>22</v>
      </c>
      <c r="O222" t="s">
        <v>70</v>
      </c>
    </row>
    <row r="223" spans="1:15" x14ac:dyDescent="0.3">
      <c r="A223" t="s">
        <v>396</v>
      </c>
      <c r="B223" t="s">
        <v>397</v>
      </c>
      <c r="C223" t="s">
        <v>17</v>
      </c>
      <c r="D223">
        <v>32</v>
      </c>
      <c r="E223" t="s">
        <v>18</v>
      </c>
      <c r="F223" t="s">
        <v>19</v>
      </c>
      <c r="G223" t="s">
        <v>33</v>
      </c>
      <c r="H223">
        <v>112000</v>
      </c>
      <c r="I223">
        <v>11</v>
      </c>
      <c r="J223">
        <v>4</v>
      </c>
      <c r="K223">
        <v>4</v>
      </c>
      <c r="L223" t="s">
        <v>21</v>
      </c>
      <c r="M223" t="s">
        <v>21</v>
      </c>
      <c r="N223" t="s">
        <v>34</v>
      </c>
      <c r="O223" t="s">
        <v>54</v>
      </c>
    </row>
    <row r="224" spans="1:15" x14ac:dyDescent="0.3">
      <c r="A224" t="s">
        <v>398</v>
      </c>
      <c r="B224" t="s">
        <v>100</v>
      </c>
      <c r="C224" t="s">
        <v>37</v>
      </c>
      <c r="D224">
        <v>55</v>
      </c>
      <c r="E224" t="s">
        <v>18</v>
      </c>
      <c r="F224" t="s">
        <v>126</v>
      </c>
      <c r="G224" t="s">
        <v>33</v>
      </c>
      <c r="H224">
        <v>50000</v>
      </c>
      <c r="I224">
        <v>19</v>
      </c>
      <c r="J224">
        <v>3</v>
      </c>
      <c r="K224">
        <v>3</v>
      </c>
      <c r="L224" t="s">
        <v>21</v>
      </c>
      <c r="M224" t="s">
        <v>29</v>
      </c>
      <c r="N224" t="s">
        <v>34</v>
      </c>
      <c r="O224" t="s">
        <v>38</v>
      </c>
    </row>
    <row r="225" spans="1:15" x14ac:dyDescent="0.3">
      <c r="A225" t="s">
        <v>399</v>
      </c>
      <c r="B225" t="s">
        <v>238</v>
      </c>
      <c r="C225" t="s">
        <v>17</v>
      </c>
      <c r="D225">
        <v>25</v>
      </c>
      <c r="E225" t="s">
        <v>18</v>
      </c>
      <c r="F225" t="s">
        <v>19</v>
      </c>
      <c r="G225" t="s">
        <v>46</v>
      </c>
      <c r="H225">
        <v>71000</v>
      </c>
      <c r="I225">
        <v>4</v>
      </c>
      <c r="J225">
        <v>3</v>
      </c>
      <c r="K225">
        <v>4</v>
      </c>
      <c r="L225" t="s">
        <v>21</v>
      </c>
      <c r="M225" t="s">
        <v>29</v>
      </c>
      <c r="N225" t="s">
        <v>22</v>
      </c>
      <c r="O225" t="s">
        <v>30</v>
      </c>
    </row>
    <row r="226" spans="1:15" x14ac:dyDescent="0.3">
      <c r="A226" t="s">
        <v>400</v>
      </c>
      <c r="B226" t="s">
        <v>45</v>
      </c>
      <c r="C226" t="s">
        <v>37</v>
      </c>
      <c r="D226">
        <v>51</v>
      </c>
      <c r="E226" t="s">
        <v>18</v>
      </c>
      <c r="F226" t="s">
        <v>126</v>
      </c>
      <c r="G226" t="s">
        <v>46</v>
      </c>
      <c r="H226">
        <v>107000</v>
      </c>
      <c r="I226">
        <v>5</v>
      </c>
      <c r="J226">
        <v>3</v>
      </c>
      <c r="K226">
        <v>1</v>
      </c>
      <c r="L226" t="s">
        <v>29</v>
      </c>
      <c r="M226" t="s">
        <v>29</v>
      </c>
      <c r="N226" t="s">
        <v>34</v>
      </c>
      <c r="O226" t="s">
        <v>75</v>
      </c>
    </row>
    <row r="227" spans="1:15" x14ac:dyDescent="0.3">
      <c r="A227" t="s">
        <v>401</v>
      </c>
      <c r="B227" t="s">
        <v>330</v>
      </c>
      <c r="C227" t="s">
        <v>37</v>
      </c>
      <c r="D227">
        <v>49</v>
      </c>
      <c r="E227" t="s">
        <v>57</v>
      </c>
      <c r="F227" t="s">
        <v>27</v>
      </c>
      <c r="G227" t="s">
        <v>46</v>
      </c>
      <c r="H227">
        <v>55000</v>
      </c>
      <c r="I227">
        <v>19</v>
      </c>
      <c r="J227">
        <v>4</v>
      </c>
      <c r="K227">
        <v>2</v>
      </c>
      <c r="L227" t="s">
        <v>21</v>
      </c>
      <c r="M227" t="s">
        <v>21</v>
      </c>
      <c r="N227" t="s">
        <v>34</v>
      </c>
      <c r="O227" t="s">
        <v>30</v>
      </c>
    </row>
    <row r="228" spans="1:15" x14ac:dyDescent="0.3">
      <c r="A228" t="s">
        <v>402</v>
      </c>
      <c r="B228" t="s">
        <v>77</v>
      </c>
      <c r="C228" t="s">
        <v>37</v>
      </c>
      <c r="D228">
        <v>26</v>
      </c>
      <c r="E228" t="s">
        <v>41</v>
      </c>
      <c r="F228" t="s">
        <v>42</v>
      </c>
      <c r="G228" t="s">
        <v>46</v>
      </c>
      <c r="H228">
        <v>64000</v>
      </c>
      <c r="I228">
        <v>2</v>
      </c>
      <c r="J228">
        <v>5</v>
      </c>
      <c r="K228">
        <v>3</v>
      </c>
      <c r="L228" t="s">
        <v>29</v>
      </c>
      <c r="M228" t="s">
        <v>29</v>
      </c>
      <c r="N228" t="s">
        <v>22</v>
      </c>
      <c r="O228" t="s">
        <v>70</v>
      </c>
    </row>
    <row r="229" spans="1:15" x14ac:dyDescent="0.3">
      <c r="A229" t="s">
        <v>403</v>
      </c>
      <c r="B229" t="s">
        <v>354</v>
      </c>
      <c r="C229" t="s">
        <v>37</v>
      </c>
      <c r="D229">
        <v>44</v>
      </c>
      <c r="E229" t="s">
        <v>49</v>
      </c>
      <c r="F229" t="s">
        <v>50</v>
      </c>
      <c r="G229" t="s">
        <v>46</v>
      </c>
      <c r="H229">
        <v>94000</v>
      </c>
      <c r="I229">
        <v>10</v>
      </c>
      <c r="J229">
        <v>4</v>
      </c>
      <c r="K229">
        <v>4</v>
      </c>
      <c r="L229" t="s">
        <v>29</v>
      </c>
      <c r="M229" t="s">
        <v>29</v>
      </c>
      <c r="N229" t="s">
        <v>34</v>
      </c>
      <c r="O229" t="s">
        <v>75</v>
      </c>
    </row>
    <row r="230" spans="1:15" x14ac:dyDescent="0.3">
      <c r="A230" t="s">
        <v>404</v>
      </c>
      <c r="B230" t="s">
        <v>335</v>
      </c>
      <c r="C230" t="s">
        <v>17</v>
      </c>
      <c r="D230">
        <v>38</v>
      </c>
      <c r="E230" t="s">
        <v>18</v>
      </c>
      <c r="F230" t="s">
        <v>126</v>
      </c>
      <c r="G230" t="s">
        <v>33</v>
      </c>
      <c r="H230">
        <v>84000</v>
      </c>
      <c r="I230">
        <v>4</v>
      </c>
      <c r="J230">
        <v>3</v>
      </c>
      <c r="K230">
        <v>1</v>
      </c>
      <c r="L230" t="s">
        <v>21</v>
      </c>
      <c r="M230" t="s">
        <v>21</v>
      </c>
      <c r="N230" t="s">
        <v>34</v>
      </c>
      <c r="O230" t="s">
        <v>70</v>
      </c>
    </row>
    <row r="231" spans="1:15" x14ac:dyDescent="0.3">
      <c r="A231" t="s">
        <v>405</v>
      </c>
      <c r="B231" t="s">
        <v>96</v>
      </c>
      <c r="C231" t="s">
        <v>37</v>
      </c>
      <c r="D231">
        <v>38</v>
      </c>
      <c r="E231" t="s">
        <v>26</v>
      </c>
      <c r="F231" t="s">
        <v>50</v>
      </c>
      <c r="G231" t="s">
        <v>28</v>
      </c>
      <c r="H231">
        <v>75000</v>
      </c>
      <c r="I231">
        <v>3</v>
      </c>
      <c r="J231">
        <v>3</v>
      </c>
      <c r="K231">
        <v>4</v>
      </c>
      <c r="L231" t="s">
        <v>21</v>
      </c>
      <c r="M231" t="s">
        <v>29</v>
      </c>
      <c r="N231" t="s">
        <v>34</v>
      </c>
      <c r="O231" t="s">
        <v>43</v>
      </c>
    </row>
    <row r="232" spans="1:15" x14ac:dyDescent="0.3">
      <c r="A232" t="s">
        <v>406</v>
      </c>
      <c r="B232" t="s">
        <v>151</v>
      </c>
      <c r="C232" t="s">
        <v>37</v>
      </c>
      <c r="D232">
        <v>48</v>
      </c>
      <c r="E232" t="s">
        <v>57</v>
      </c>
      <c r="F232" t="s">
        <v>27</v>
      </c>
      <c r="G232" t="s">
        <v>46</v>
      </c>
      <c r="H232">
        <v>72000</v>
      </c>
      <c r="I232">
        <v>9</v>
      </c>
      <c r="J232">
        <v>3</v>
      </c>
      <c r="K232">
        <v>3</v>
      </c>
      <c r="L232" t="s">
        <v>29</v>
      </c>
      <c r="M232" t="s">
        <v>29</v>
      </c>
      <c r="N232" t="s">
        <v>34</v>
      </c>
      <c r="O232" t="s">
        <v>70</v>
      </c>
    </row>
    <row r="233" spans="1:15" x14ac:dyDescent="0.3">
      <c r="A233" t="s">
        <v>407</v>
      </c>
      <c r="B233" t="s">
        <v>104</v>
      </c>
      <c r="C233" t="s">
        <v>17</v>
      </c>
      <c r="D233">
        <v>30</v>
      </c>
      <c r="E233" t="s">
        <v>26</v>
      </c>
      <c r="F233" t="s">
        <v>50</v>
      </c>
      <c r="G233" t="s">
        <v>28</v>
      </c>
      <c r="H233">
        <v>31000</v>
      </c>
      <c r="I233">
        <v>6</v>
      </c>
      <c r="J233">
        <v>3</v>
      </c>
      <c r="K233">
        <v>4</v>
      </c>
      <c r="L233" t="s">
        <v>29</v>
      </c>
      <c r="M233" t="s">
        <v>29</v>
      </c>
      <c r="N233" t="s">
        <v>22</v>
      </c>
      <c r="O233" t="s">
        <v>38</v>
      </c>
    </row>
    <row r="234" spans="1:15" x14ac:dyDescent="0.3">
      <c r="A234" t="s">
        <v>408</v>
      </c>
      <c r="B234" t="s">
        <v>219</v>
      </c>
      <c r="C234" t="s">
        <v>17</v>
      </c>
      <c r="D234">
        <v>48</v>
      </c>
      <c r="E234" t="s">
        <v>66</v>
      </c>
      <c r="F234" t="s">
        <v>82</v>
      </c>
      <c r="G234" t="s">
        <v>46</v>
      </c>
      <c r="H234">
        <v>27000</v>
      </c>
      <c r="I234">
        <v>9</v>
      </c>
      <c r="J234">
        <v>2</v>
      </c>
      <c r="K234">
        <v>1</v>
      </c>
      <c r="L234" t="s">
        <v>29</v>
      </c>
      <c r="M234" t="s">
        <v>29</v>
      </c>
      <c r="N234" t="s">
        <v>22</v>
      </c>
      <c r="O234" t="s">
        <v>30</v>
      </c>
    </row>
    <row r="235" spans="1:15" x14ac:dyDescent="0.3">
      <c r="A235" t="s">
        <v>409</v>
      </c>
      <c r="B235" t="s">
        <v>384</v>
      </c>
      <c r="C235" t="s">
        <v>37</v>
      </c>
      <c r="D235">
        <v>31</v>
      </c>
      <c r="E235" t="s">
        <v>49</v>
      </c>
      <c r="F235" t="s">
        <v>27</v>
      </c>
      <c r="G235" t="s">
        <v>33</v>
      </c>
      <c r="H235">
        <v>79000</v>
      </c>
      <c r="I235">
        <v>9</v>
      </c>
      <c r="J235">
        <v>5</v>
      </c>
      <c r="K235">
        <v>4</v>
      </c>
      <c r="L235" t="s">
        <v>21</v>
      </c>
      <c r="M235" t="s">
        <v>29</v>
      </c>
      <c r="N235" t="s">
        <v>22</v>
      </c>
      <c r="O235" t="s">
        <v>51</v>
      </c>
    </row>
    <row r="236" spans="1:15" x14ac:dyDescent="0.3">
      <c r="A236" t="s">
        <v>410</v>
      </c>
      <c r="B236" t="s">
        <v>136</v>
      </c>
      <c r="C236" t="s">
        <v>17</v>
      </c>
      <c r="D236">
        <v>28</v>
      </c>
      <c r="E236" t="s">
        <v>66</v>
      </c>
      <c r="F236" t="s">
        <v>67</v>
      </c>
      <c r="G236" t="s">
        <v>33</v>
      </c>
      <c r="H236">
        <v>83000</v>
      </c>
      <c r="I236">
        <v>2</v>
      </c>
      <c r="J236">
        <v>2</v>
      </c>
      <c r="K236">
        <v>4</v>
      </c>
      <c r="L236" t="s">
        <v>21</v>
      </c>
      <c r="M236" t="s">
        <v>29</v>
      </c>
      <c r="N236" t="s">
        <v>22</v>
      </c>
      <c r="O236" t="s">
        <v>70</v>
      </c>
    </row>
    <row r="237" spans="1:15" x14ac:dyDescent="0.3">
      <c r="A237" t="s">
        <v>411</v>
      </c>
      <c r="B237" t="s">
        <v>297</v>
      </c>
      <c r="C237" t="s">
        <v>17</v>
      </c>
      <c r="D237">
        <v>23</v>
      </c>
      <c r="E237" t="s">
        <v>26</v>
      </c>
      <c r="F237" t="s">
        <v>27</v>
      </c>
      <c r="G237" t="s">
        <v>28</v>
      </c>
      <c r="H237">
        <v>104000</v>
      </c>
      <c r="I237">
        <v>2</v>
      </c>
      <c r="J237">
        <v>4</v>
      </c>
      <c r="K237">
        <v>5</v>
      </c>
      <c r="L237" t="s">
        <v>21</v>
      </c>
      <c r="M237" t="s">
        <v>21</v>
      </c>
      <c r="N237" t="s">
        <v>34</v>
      </c>
      <c r="O237" t="s">
        <v>70</v>
      </c>
    </row>
    <row r="238" spans="1:15" x14ac:dyDescent="0.3">
      <c r="A238" t="s">
        <v>412</v>
      </c>
      <c r="B238" t="s">
        <v>194</v>
      </c>
      <c r="C238" t="s">
        <v>37</v>
      </c>
      <c r="D238">
        <v>55</v>
      </c>
      <c r="E238" t="s">
        <v>41</v>
      </c>
      <c r="F238" t="s">
        <v>42</v>
      </c>
      <c r="G238" t="s">
        <v>20</v>
      </c>
      <c r="H238">
        <v>57000</v>
      </c>
      <c r="I238">
        <v>15</v>
      </c>
      <c r="J238">
        <v>2</v>
      </c>
      <c r="K238">
        <v>1</v>
      </c>
      <c r="L238" t="s">
        <v>21</v>
      </c>
      <c r="M238" t="s">
        <v>21</v>
      </c>
      <c r="N238" t="s">
        <v>34</v>
      </c>
      <c r="O238" t="s">
        <v>70</v>
      </c>
    </row>
    <row r="239" spans="1:15" x14ac:dyDescent="0.3">
      <c r="A239" t="s">
        <v>413</v>
      </c>
      <c r="B239" t="s">
        <v>414</v>
      </c>
      <c r="C239" t="s">
        <v>37</v>
      </c>
      <c r="D239">
        <v>38</v>
      </c>
      <c r="E239" t="s">
        <v>57</v>
      </c>
      <c r="F239" t="s">
        <v>27</v>
      </c>
      <c r="G239" t="s">
        <v>28</v>
      </c>
      <c r="H239">
        <v>109000</v>
      </c>
      <c r="I239">
        <v>11</v>
      </c>
      <c r="J239">
        <v>3</v>
      </c>
      <c r="K239">
        <v>1</v>
      </c>
      <c r="L239" t="s">
        <v>21</v>
      </c>
      <c r="M239" t="s">
        <v>29</v>
      </c>
      <c r="N239" t="s">
        <v>22</v>
      </c>
      <c r="O239" t="s">
        <v>51</v>
      </c>
    </row>
    <row r="240" spans="1:15" x14ac:dyDescent="0.3">
      <c r="A240" t="s">
        <v>415</v>
      </c>
      <c r="B240" t="s">
        <v>186</v>
      </c>
      <c r="C240" t="s">
        <v>17</v>
      </c>
      <c r="D240">
        <v>31</v>
      </c>
      <c r="E240" t="s">
        <v>49</v>
      </c>
      <c r="F240" t="s">
        <v>27</v>
      </c>
      <c r="G240" t="s">
        <v>28</v>
      </c>
      <c r="H240">
        <v>119000</v>
      </c>
      <c r="I240">
        <v>2</v>
      </c>
      <c r="J240">
        <v>5</v>
      </c>
      <c r="K240">
        <v>5</v>
      </c>
      <c r="L240" t="s">
        <v>29</v>
      </c>
      <c r="M240" t="s">
        <v>29</v>
      </c>
      <c r="N240" t="s">
        <v>22</v>
      </c>
      <c r="O240" t="s">
        <v>43</v>
      </c>
    </row>
    <row r="241" spans="1:15" x14ac:dyDescent="0.3">
      <c r="A241" t="s">
        <v>416</v>
      </c>
      <c r="B241" t="s">
        <v>282</v>
      </c>
      <c r="C241" t="s">
        <v>17</v>
      </c>
      <c r="D241">
        <v>23</v>
      </c>
      <c r="E241" t="s">
        <v>41</v>
      </c>
      <c r="F241" t="s">
        <v>42</v>
      </c>
      <c r="G241" t="s">
        <v>46</v>
      </c>
      <c r="H241">
        <v>120000</v>
      </c>
      <c r="I241">
        <v>2</v>
      </c>
      <c r="J241">
        <v>5</v>
      </c>
      <c r="K241">
        <v>5</v>
      </c>
      <c r="L241" t="s">
        <v>29</v>
      </c>
      <c r="M241" t="s">
        <v>29</v>
      </c>
      <c r="N241" t="s">
        <v>34</v>
      </c>
      <c r="O241" t="s">
        <v>38</v>
      </c>
    </row>
    <row r="242" spans="1:15" x14ac:dyDescent="0.3">
      <c r="A242" t="s">
        <v>417</v>
      </c>
      <c r="B242" t="s">
        <v>418</v>
      </c>
      <c r="C242" t="s">
        <v>17</v>
      </c>
      <c r="D242">
        <v>55</v>
      </c>
      <c r="E242" t="s">
        <v>41</v>
      </c>
      <c r="F242" t="s">
        <v>73</v>
      </c>
      <c r="G242" t="s">
        <v>33</v>
      </c>
      <c r="H242">
        <v>67000</v>
      </c>
      <c r="I242">
        <v>11</v>
      </c>
      <c r="J242">
        <v>5</v>
      </c>
      <c r="K242">
        <v>2</v>
      </c>
      <c r="L242" t="s">
        <v>21</v>
      </c>
      <c r="M242" t="s">
        <v>21</v>
      </c>
      <c r="N242" t="s">
        <v>22</v>
      </c>
      <c r="O242" t="s">
        <v>51</v>
      </c>
    </row>
    <row r="243" spans="1:15" x14ac:dyDescent="0.3">
      <c r="A243" t="s">
        <v>419</v>
      </c>
      <c r="B243" t="s">
        <v>265</v>
      </c>
      <c r="C243" t="s">
        <v>17</v>
      </c>
      <c r="D243">
        <v>52</v>
      </c>
      <c r="E243" t="s">
        <v>49</v>
      </c>
      <c r="F243" t="s">
        <v>50</v>
      </c>
      <c r="G243" t="s">
        <v>33</v>
      </c>
      <c r="H243">
        <v>77000</v>
      </c>
      <c r="I243">
        <v>20</v>
      </c>
      <c r="J243">
        <v>2</v>
      </c>
      <c r="K243">
        <v>5</v>
      </c>
      <c r="L243" t="s">
        <v>21</v>
      </c>
      <c r="M243" t="s">
        <v>29</v>
      </c>
      <c r="N243" t="s">
        <v>34</v>
      </c>
      <c r="O243" t="s">
        <v>54</v>
      </c>
    </row>
    <row r="244" spans="1:15" x14ac:dyDescent="0.3">
      <c r="A244" t="s">
        <v>420</v>
      </c>
      <c r="B244" t="s">
        <v>320</v>
      </c>
      <c r="C244" t="s">
        <v>17</v>
      </c>
      <c r="D244">
        <v>26</v>
      </c>
      <c r="E244" t="s">
        <v>66</v>
      </c>
      <c r="F244" t="s">
        <v>82</v>
      </c>
      <c r="G244" t="s">
        <v>33</v>
      </c>
      <c r="H244">
        <v>65000</v>
      </c>
      <c r="I244">
        <v>5</v>
      </c>
      <c r="J244">
        <v>4</v>
      </c>
      <c r="K244">
        <v>5</v>
      </c>
      <c r="L244" t="s">
        <v>21</v>
      </c>
      <c r="M244" t="s">
        <v>29</v>
      </c>
      <c r="N244" t="s">
        <v>22</v>
      </c>
      <c r="O244" t="s">
        <v>70</v>
      </c>
    </row>
    <row r="245" spans="1:15" x14ac:dyDescent="0.3">
      <c r="A245" t="s">
        <v>421</v>
      </c>
      <c r="B245" t="s">
        <v>138</v>
      </c>
      <c r="C245" t="s">
        <v>37</v>
      </c>
      <c r="D245">
        <v>42</v>
      </c>
      <c r="E245" t="s">
        <v>41</v>
      </c>
      <c r="F245" t="s">
        <v>73</v>
      </c>
      <c r="G245" t="s">
        <v>33</v>
      </c>
      <c r="H245">
        <v>68000</v>
      </c>
      <c r="I245">
        <v>15</v>
      </c>
      <c r="J245">
        <v>3</v>
      </c>
      <c r="K245">
        <v>3</v>
      </c>
      <c r="L245" t="s">
        <v>29</v>
      </c>
      <c r="M245" t="s">
        <v>29</v>
      </c>
      <c r="N245" t="s">
        <v>22</v>
      </c>
      <c r="O245" t="s">
        <v>38</v>
      </c>
    </row>
    <row r="246" spans="1:15" x14ac:dyDescent="0.3">
      <c r="A246" t="s">
        <v>422</v>
      </c>
      <c r="B246" t="s">
        <v>210</v>
      </c>
      <c r="C246" t="s">
        <v>17</v>
      </c>
      <c r="D246">
        <v>41</v>
      </c>
      <c r="E246" t="s">
        <v>66</v>
      </c>
      <c r="F246" t="s">
        <v>82</v>
      </c>
      <c r="G246" t="s">
        <v>33</v>
      </c>
      <c r="H246">
        <v>94000</v>
      </c>
      <c r="I246">
        <v>11</v>
      </c>
      <c r="J246">
        <v>4</v>
      </c>
      <c r="K246">
        <v>4</v>
      </c>
      <c r="L246" t="s">
        <v>21</v>
      </c>
      <c r="M246" t="s">
        <v>29</v>
      </c>
      <c r="N246" t="s">
        <v>34</v>
      </c>
      <c r="O246" t="s">
        <v>51</v>
      </c>
    </row>
    <row r="247" spans="1:15" x14ac:dyDescent="0.3">
      <c r="A247" t="s">
        <v>423</v>
      </c>
      <c r="B247" t="s">
        <v>201</v>
      </c>
      <c r="C247" t="s">
        <v>17</v>
      </c>
      <c r="D247">
        <v>33</v>
      </c>
      <c r="E247" t="s">
        <v>66</v>
      </c>
      <c r="F247" t="s">
        <v>82</v>
      </c>
      <c r="G247" t="s">
        <v>46</v>
      </c>
      <c r="H247">
        <v>53000</v>
      </c>
      <c r="I247">
        <v>11</v>
      </c>
      <c r="J247">
        <v>3</v>
      </c>
      <c r="K247">
        <v>2</v>
      </c>
      <c r="L247" t="s">
        <v>21</v>
      </c>
      <c r="M247" t="s">
        <v>21</v>
      </c>
      <c r="N247" t="s">
        <v>22</v>
      </c>
      <c r="O247" t="s">
        <v>30</v>
      </c>
    </row>
    <row r="248" spans="1:15" x14ac:dyDescent="0.3">
      <c r="A248" t="s">
        <v>424</v>
      </c>
      <c r="B248" t="s">
        <v>149</v>
      </c>
      <c r="C248" t="s">
        <v>37</v>
      </c>
      <c r="D248">
        <v>31</v>
      </c>
      <c r="E248" t="s">
        <v>66</v>
      </c>
      <c r="F248" t="s">
        <v>67</v>
      </c>
      <c r="G248" t="s">
        <v>33</v>
      </c>
      <c r="H248">
        <v>57000</v>
      </c>
      <c r="I248">
        <v>6</v>
      </c>
      <c r="J248">
        <v>2</v>
      </c>
      <c r="K248">
        <v>3</v>
      </c>
      <c r="L248" t="s">
        <v>21</v>
      </c>
      <c r="M248" t="s">
        <v>29</v>
      </c>
      <c r="N248" t="s">
        <v>22</v>
      </c>
      <c r="O248" t="s">
        <v>23</v>
      </c>
    </row>
    <row r="249" spans="1:15" x14ac:dyDescent="0.3">
      <c r="A249" t="s">
        <v>425</v>
      </c>
      <c r="B249" t="s">
        <v>25</v>
      </c>
      <c r="C249" t="s">
        <v>17</v>
      </c>
      <c r="D249">
        <v>47</v>
      </c>
      <c r="E249" t="s">
        <v>18</v>
      </c>
      <c r="F249" t="s">
        <v>19</v>
      </c>
      <c r="G249" t="s">
        <v>28</v>
      </c>
      <c r="H249">
        <v>53000</v>
      </c>
      <c r="I249">
        <v>2</v>
      </c>
      <c r="J249">
        <v>2</v>
      </c>
      <c r="K249">
        <v>2</v>
      </c>
      <c r="L249" t="s">
        <v>21</v>
      </c>
      <c r="M249" t="s">
        <v>29</v>
      </c>
      <c r="N249" t="s">
        <v>34</v>
      </c>
      <c r="O249" t="s">
        <v>23</v>
      </c>
    </row>
    <row r="250" spans="1:15" x14ac:dyDescent="0.3">
      <c r="A250" t="s">
        <v>426</v>
      </c>
      <c r="B250" t="s">
        <v>242</v>
      </c>
      <c r="C250" t="s">
        <v>37</v>
      </c>
      <c r="D250">
        <v>23</v>
      </c>
      <c r="E250" t="s">
        <v>26</v>
      </c>
      <c r="F250" t="s">
        <v>27</v>
      </c>
      <c r="G250" t="s">
        <v>33</v>
      </c>
      <c r="H250">
        <v>53000</v>
      </c>
      <c r="I250">
        <v>2</v>
      </c>
      <c r="J250">
        <v>4</v>
      </c>
      <c r="K250">
        <v>1</v>
      </c>
      <c r="L250" t="s">
        <v>29</v>
      </c>
      <c r="M250" t="s">
        <v>29</v>
      </c>
      <c r="N250" t="s">
        <v>34</v>
      </c>
      <c r="O250" t="s">
        <v>70</v>
      </c>
    </row>
    <row r="251" spans="1:15" x14ac:dyDescent="0.3">
      <c r="A251" t="s">
        <v>427</v>
      </c>
      <c r="B251" t="s">
        <v>397</v>
      </c>
      <c r="C251" t="s">
        <v>37</v>
      </c>
      <c r="D251">
        <v>44</v>
      </c>
      <c r="E251" t="s">
        <v>49</v>
      </c>
      <c r="F251" t="s">
        <v>27</v>
      </c>
      <c r="G251" t="s">
        <v>33</v>
      </c>
      <c r="H251">
        <v>71000</v>
      </c>
      <c r="I251">
        <v>13</v>
      </c>
      <c r="J251">
        <v>4</v>
      </c>
      <c r="K251">
        <v>5</v>
      </c>
      <c r="L251" t="s">
        <v>21</v>
      </c>
      <c r="M251" t="s">
        <v>29</v>
      </c>
      <c r="N251" t="s">
        <v>22</v>
      </c>
      <c r="O251" t="s">
        <v>70</v>
      </c>
    </row>
    <row r="252" spans="1:15" x14ac:dyDescent="0.3">
      <c r="A252" t="s">
        <v>428</v>
      </c>
      <c r="B252" t="s">
        <v>227</v>
      </c>
      <c r="C252" t="s">
        <v>37</v>
      </c>
      <c r="D252">
        <v>33</v>
      </c>
      <c r="E252" t="s">
        <v>49</v>
      </c>
      <c r="F252" t="s">
        <v>50</v>
      </c>
      <c r="G252" t="s">
        <v>46</v>
      </c>
      <c r="H252">
        <v>96000</v>
      </c>
      <c r="I252">
        <v>12</v>
      </c>
      <c r="J252">
        <v>4</v>
      </c>
      <c r="K252">
        <v>3</v>
      </c>
      <c r="L252" t="s">
        <v>21</v>
      </c>
      <c r="M252" t="s">
        <v>29</v>
      </c>
      <c r="N252" t="s">
        <v>34</v>
      </c>
      <c r="O252" t="s">
        <v>51</v>
      </c>
    </row>
    <row r="253" spans="1:15" x14ac:dyDescent="0.3">
      <c r="A253" t="s">
        <v>429</v>
      </c>
      <c r="B253" t="s">
        <v>81</v>
      </c>
      <c r="C253" t="s">
        <v>37</v>
      </c>
      <c r="D253">
        <v>32</v>
      </c>
      <c r="E253" t="s">
        <v>49</v>
      </c>
      <c r="F253" t="s">
        <v>27</v>
      </c>
      <c r="G253" t="s">
        <v>33</v>
      </c>
      <c r="H253">
        <v>58000</v>
      </c>
      <c r="I253">
        <v>11</v>
      </c>
      <c r="J253">
        <v>4</v>
      </c>
      <c r="K253">
        <v>1</v>
      </c>
      <c r="L253" t="s">
        <v>21</v>
      </c>
      <c r="M253" t="s">
        <v>21</v>
      </c>
      <c r="N253" t="s">
        <v>34</v>
      </c>
      <c r="O253" t="s">
        <v>38</v>
      </c>
    </row>
    <row r="254" spans="1:15" x14ac:dyDescent="0.3">
      <c r="A254" t="s">
        <v>430</v>
      </c>
      <c r="B254" t="s">
        <v>16</v>
      </c>
      <c r="C254" t="s">
        <v>37</v>
      </c>
      <c r="D254">
        <v>28</v>
      </c>
      <c r="E254" t="s">
        <v>66</v>
      </c>
      <c r="F254" t="s">
        <v>82</v>
      </c>
      <c r="G254" t="s">
        <v>33</v>
      </c>
      <c r="H254">
        <v>83000</v>
      </c>
      <c r="I254">
        <v>2</v>
      </c>
      <c r="J254">
        <v>2</v>
      </c>
      <c r="K254">
        <v>2</v>
      </c>
      <c r="L254" t="s">
        <v>29</v>
      </c>
      <c r="M254" t="s">
        <v>29</v>
      </c>
      <c r="N254" t="s">
        <v>34</v>
      </c>
      <c r="O254" t="s">
        <v>75</v>
      </c>
    </row>
    <row r="255" spans="1:15" x14ac:dyDescent="0.3">
      <c r="A255" t="s">
        <v>431</v>
      </c>
      <c r="B255" t="s">
        <v>145</v>
      </c>
      <c r="C255" t="s">
        <v>37</v>
      </c>
      <c r="D255">
        <v>47</v>
      </c>
      <c r="E255" t="s">
        <v>41</v>
      </c>
      <c r="F255" t="s">
        <v>42</v>
      </c>
      <c r="G255" t="s">
        <v>33</v>
      </c>
      <c r="H255">
        <v>70000</v>
      </c>
      <c r="I255">
        <v>10</v>
      </c>
      <c r="J255">
        <v>2</v>
      </c>
      <c r="K255">
        <v>5</v>
      </c>
      <c r="L255" t="s">
        <v>21</v>
      </c>
      <c r="M255" t="s">
        <v>21</v>
      </c>
      <c r="N255" t="s">
        <v>22</v>
      </c>
      <c r="O255" t="s">
        <v>23</v>
      </c>
    </row>
    <row r="256" spans="1:15" x14ac:dyDescent="0.3">
      <c r="A256" t="s">
        <v>432</v>
      </c>
      <c r="B256" t="s">
        <v>326</v>
      </c>
      <c r="C256" t="s">
        <v>17</v>
      </c>
      <c r="D256">
        <v>42</v>
      </c>
      <c r="E256" t="s">
        <v>66</v>
      </c>
      <c r="F256" t="s">
        <v>67</v>
      </c>
      <c r="G256" t="s">
        <v>33</v>
      </c>
      <c r="H256">
        <v>40000</v>
      </c>
      <c r="I256">
        <v>9</v>
      </c>
      <c r="J256">
        <v>4</v>
      </c>
      <c r="K256">
        <v>2</v>
      </c>
      <c r="L256" t="s">
        <v>29</v>
      </c>
      <c r="M256" t="s">
        <v>29</v>
      </c>
      <c r="N256" t="s">
        <v>34</v>
      </c>
      <c r="O256" t="s">
        <v>38</v>
      </c>
    </row>
    <row r="257" spans="1:15" x14ac:dyDescent="0.3">
      <c r="A257" t="s">
        <v>433</v>
      </c>
      <c r="B257" t="s">
        <v>314</v>
      </c>
      <c r="C257" t="s">
        <v>17</v>
      </c>
      <c r="D257">
        <v>52</v>
      </c>
      <c r="E257" t="s">
        <v>18</v>
      </c>
      <c r="F257" t="s">
        <v>126</v>
      </c>
      <c r="G257" t="s">
        <v>46</v>
      </c>
      <c r="H257">
        <v>51000</v>
      </c>
      <c r="I257">
        <v>7</v>
      </c>
      <c r="J257">
        <v>4</v>
      </c>
      <c r="K257">
        <v>1</v>
      </c>
      <c r="L257" t="s">
        <v>21</v>
      </c>
      <c r="M257" t="s">
        <v>21</v>
      </c>
      <c r="N257" t="s">
        <v>34</v>
      </c>
      <c r="O257" t="s">
        <v>23</v>
      </c>
    </row>
    <row r="258" spans="1:15" x14ac:dyDescent="0.3">
      <c r="A258" t="s">
        <v>434</v>
      </c>
      <c r="B258" t="s">
        <v>111</v>
      </c>
      <c r="C258" t="s">
        <v>17</v>
      </c>
      <c r="D258">
        <v>33</v>
      </c>
      <c r="E258" t="s">
        <v>26</v>
      </c>
      <c r="F258" t="s">
        <v>50</v>
      </c>
      <c r="G258" t="s">
        <v>33</v>
      </c>
      <c r="H258">
        <v>34000</v>
      </c>
      <c r="I258">
        <v>9</v>
      </c>
      <c r="J258">
        <v>3</v>
      </c>
      <c r="K258">
        <v>2</v>
      </c>
      <c r="L258" t="s">
        <v>29</v>
      </c>
      <c r="M258" t="s">
        <v>29</v>
      </c>
      <c r="N258" t="s">
        <v>34</v>
      </c>
      <c r="O258" t="s">
        <v>30</v>
      </c>
    </row>
    <row r="259" spans="1:15" x14ac:dyDescent="0.3">
      <c r="A259" t="s">
        <v>435</v>
      </c>
      <c r="B259" t="s">
        <v>320</v>
      </c>
      <c r="C259" t="s">
        <v>37</v>
      </c>
      <c r="D259">
        <v>54</v>
      </c>
      <c r="E259" t="s">
        <v>26</v>
      </c>
      <c r="F259" t="s">
        <v>27</v>
      </c>
      <c r="G259" t="s">
        <v>46</v>
      </c>
      <c r="H259">
        <v>26000</v>
      </c>
      <c r="I259">
        <v>9</v>
      </c>
      <c r="J259">
        <v>2</v>
      </c>
      <c r="K259">
        <v>4</v>
      </c>
      <c r="L259" t="s">
        <v>29</v>
      </c>
      <c r="M259" t="s">
        <v>29</v>
      </c>
      <c r="N259" t="s">
        <v>22</v>
      </c>
      <c r="O259" t="s">
        <v>30</v>
      </c>
    </row>
    <row r="260" spans="1:15" x14ac:dyDescent="0.3">
      <c r="A260" t="s">
        <v>436</v>
      </c>
      <c r="B260" t="s">
        <v>186</v>
      </c>
      <c r="C260" t="s">
        <v>17</v>
      </c>
      <c r="D260">
        <v>34</v>
      </c>
      <c r="E260" t="s">
        <v>18</v>
      </c>
      <c r="F260" t="s">
        <v>126</v>
      </c>
      <c r="G260" t="s">
        <v>20</v>
      </c>
      <c r="H260">
        <v>29000</v>
      </c>
      <c r="I260">
        <v>0</v>
      </c>
      <c r="J260">
        <v>3</v>
      </c>
      <c r="K260">
        <v>3</v>
      </c>
      <c r="L260" t="s">
        <v>21</v>
      </c>
      <c r="M260" t="s">
        <v>29</v>
      </c>
      <c r="N260" t="s">
        <v>22</v>
      </c>
      <c r="O260" t="s">
        <v>54</v>
      </c>
    </row>
    <row r="261" spans="1:15" x14ac:dyDescent="0.3">
      <c r="A261" t="s">
        <v>437</v>
      </c>
      <c r="B261" t="s">
        <v>357</v>
      </c>
      <c r="C261" t="s">
        <v>37</v>
      </c>
      <c r="D261">
        <v>39</v>
      </c>
      <c r="E261" t="s">
        <v>18</v>
      </c>
      <c r="F261" t="s">
        <v>19</v>
      </c>
      <c r="G261" t="s">
        <v>28</v>
      </c>
      <c r="H261">
        <v>105000</v>
      </c>
      <c r="I261">
        <v>16</v>
      </c>
      <c r="J261">
        <v>2</v>
      </c>
      <c r="K261">
        <v>2</v>
      </c>
      <c r="L261" t="s">
        <v>21</v>
      </c>
      <c r="M261" t="s">
        <v>21</v>
      </c>
      <c r="N261" t="s">
        <v>22</v>
      </c>
      <c r="O261" t="s">
        <v>75</v>
      </c>
    </row>
    <row r="262" spans="1:15" x14ac:dyDescent="0.3">
      <c r="A262" t="s">
        <v>438</v>
      </c>
      <c r="B262" t="s">
        <v>439</v>
      </c>
      <c r="C262" t="s">
        <v>17</v>
      </c>
      <c r="D262">
        <v>49</v>
      </c>
      <c r="E262" t="s">
        <v>41</v>
      </c>
      <c r="F262" t="s">
        <v>42</v>
      </c>
      <c r="G262" t="s">
        <v>46</v>
      </c>
      <c r="H262">
        <v>50000</v>
      </c>
      <c r="I262">
        <v>10</v>
      </c>
      <c r="J262">
        <v>3</v>
      </c>
      <c r="K262">
        <v>1</v>
      </c>
      <c r="L262" t="s">
        <v>21</v>
      </c>
      <c r="M262" t="s">
        <v>21</v>
      </c>
      <c r="N262" t="s">
        <v>22</v>
      </c>
      <c r="O262" t="s">
        <v>38</v>
      </c>
    </row>
    <row r="263" spans="1:15" x14ac:dyDescent="0.3">
      <c r="A263" t="s">
        <v>440</v>
      </c>
      <c r="B263" t="s">
        <v>147</v>
      </c>
      <c r="C263" t="s">
        <v>17</v>
      </c>
      <c r="D263">
        <v>48</v>
      </c>
      <c r="E263" t="s">
        <v>41</v>
      </c>
      <c r="F263" t="s">
        <v>42</v>
      </c>
      <c r="G263" t="s">
        <v>20</v>
      </c>
      <c r="H263">
        <v>120000</v>
      </c>
      <c r="I263">
        <v>2</v>
      </c>
      <c r="J263">
        <v>2</v>
      </c>
      <c r="K263">
        <v>1</v>
      </c>
      <c r="L263" t="s">
        <v>29</v>
      </c>
      <c r="M263" t="s">
        <v>29</v>
      </c>
      <c r="N263" t="s">
        <v>34</v>
      </c>
      <c r="O263" t="s">
        <v>54</v>
      </c>
    </row>
    <row r="264" spans="1:15" x14ac:dyDescent="0.3">
      <c r="A264" t="s">
        <v>441</v>
      </c>
      <c r="B264" t="s">
        <v>320</v>
      </c>
      <c r="C264" t="s">
        <v>37</v>
      </c>
      <c r="D264">
        <v>22</v>
      </c>
      <c r="E264" t="s">
        <v>41</v>
      </c>
      <c r="F264" t="s">
        <v>42</v>
      </c>
      <c r="G264" t="s">
        <v>46</v>
      </c>
      <c r="H264">
        <v>82000</v>
      </c>
      <c r="I264">
        <v>1</v>
      </c>
      <c r="J264">
        <v>3</v>
      </c>
      <c r="K264">
        <v>4</v>
      </c>
      <c r="L264" t="s">
        <v>21</v>
      </c>
      <c r="M264" t="s">
        <v>29</v>
      </c>
      <c r="N264" t="s">
        <v>22</v>
      </c>
      <c r="O264" t="s">
        <v>30</v>
      </c>
    </row>
    <row r="265" spans="1:15" x14ac:dyDescent="0.3">
      <c r="A265" t="s">
        <v>442</v>
      </c>
      <c r="B265" t="s">
        <v>151</v>
      </c>
      <c r="C265" t="s">
        <v>17</v>
      </c>
      <c r="D265">
        <v>30</v>
      </c>
      <c r="E265" t="s">
        <v>18</v>
      </c>
      <c r="F265" t="s">
        <v>19</v>
      </c>
      <c r="G265" t="s">
        <v>33</v>
      </c>
      <c r="H265">
        <v>35000</v>
      </c>
      <c r="I265">
        <v>8</v>
      </c>
      <c r="J265">
        <v>3</v>
      </c>
      <c r="K265">
        <v>1</v>
      </c>
      <c r="L265" t="s">
        <v>29</v>
      </c>
      <c r="M265" t="s">
        <v>21</v>
      </c>
      <c r="N265" t="s">
        <v>34</v>
      </c>
      <c r="O265" t="s">
        <v>54</v>
      </c>
    </row>
    <row r="266" spans="1:15" x14ac:dyDescent="0.3">
      <c r="A266" t="s">
        <v>443</v>
      </c>
      <c r="B266" t="s">
        <v>244</v>
      </c>
      <c r="C266" t="s">
        <v>37</v>
      </c>
      <c r="D266">
        <v>33</v>
      </c>
      <c r="E266" t="s">
        <v>49</v>
      </c>
      <c r="F266" t="s">
        <v>50</v>
      </c>
      <c r="G266" t="s">
        <v>46</v>
      </c>
      <c r="H266">
        <v>51000</v>
      </c>
      <c r="I266">
        <v>10</v>
      </c>
      <c r="J266">
        <v>4</v>
      </c>
      <c r="K266">
        <v>3</v>
      </c>
      <c r="L266" t="s">
        <v>29</v>
      </c>
      <c r="M266" t="s">
        <v>29</v>
      </c>
      <c r="N266" t="s">
        <v>22</v>
      </c>
      <c r="O266" t="s">
        <v>23</v>
      </c>
    </row>
    <row r="267" spans="1:15" x14ac:dyDescent="0.3">
      <c r="A267" t="s">
        <v>444</v>
      </c>
      <c r="B267" t="s">
        <v>219</v>
      </c>
      <c r="C267" t="s">
        <v>37</v>
      </c>
      <c r="D267">
        <v>38</v>
      </c>
      <c r="E267" t="s">
        <v>41</v>
      </c>
      <c r="F267" t="s">
        <v>42</v>
      </c>
      <c r="G267" t="s">
        <v>28</v>
      </c>
      <c r="H267">
        <v>48000</v>
      </c>
      <c r="I267">
        <v>12</v>
      </c>
      <c r="J267">
        <v>3</v>
      </c>
      <c r="K267">
        <v>5</v>
      </c>
      <c r="L267" t="s">
        <v>29</v>
      </c>
      <c r="M267" t="s">
        <v>29</v>
      </c>
      <c r="N267" t="s">
        <v>22</v>
      </c>
      <c r="O267" t="s">
        <v>30</v>
      </c>
    </row>
    <row r="268" spans="1:15" x14ac:dyDescent="0.3">
      <c r="A268" t="s">
        <v>445</v>
      </c>
      <c r="B268" t="s">
        <v>446</v>
      </c>
      <c r="C268" t="s">
        <v>17</v>
      </c>
      <c r="D268">
        <v>24</v>
      </c>
      <c r="E268" t="s">
        <v>57</v>
      </c>
      <c r="F268" t="s">
        <v>50</v>
      </c>
      <c r="G268" t="s">
        <v>33</v>
      </c>
      <c r="H268">
        <v>75000</v>
      </c>
      <c r="I268">
        <v>0</v>
      </c>
      <c r="J268">
        <v>3</v>
      </c>
      <c r="K268">
        <v>1</v>
      </c>
      <c r="L268" t="s">
        <v>29</v>
      </c>
      <c r="M268" t="s">
        <v>29</v>
      </c>
      <c r="N268" t="s">
        <v>34</v>
      </c>
      <c r="O268" t="s">
        <v>51</v>
      </c>
    </row>
    <row r="269" spans="1:15" x14ac:dyDescent="0.3">
      <c r="A269" t="s">
        <v>447</v>
      </c>
      <c r="B269" t="s">
        <v>448</v>
      </c>
      <c r="C269" t="s">
        <v>37</v>
      </c>
      <c r="D269">
        <v>55</v>
      </c>
      <c r="E269" t="s">
        <v>26</v>
      </c>
      <c r="F269" t="s">
        <v>50</v>
      </c>
      <c r="G269" t="s">
        <v>46</v>
      </c>
      <c r="H269">
        <v>109000</v>
      </c>
      <c r="I269">
        <v>6</v>
      </c>
      <c r="J269">
        <v>4</v>
      </c>
      <c r="K269">
        <v>3</v>
      </c>
      <c r="L269" t="s">
        <v>21</v>
      </c>
      <c r="M269" t="s">
        <v>29</v>
      </c>
      <c r="N269" t="s">
        <v>34</v>
      </c>
      <c r="O269" t="s">
        <v>30</v>
      </c>
    </row>
    <row r="270" spans="1:15" x14ac:dyDescent="0.3">
      <c r="A270" t="s">
        <v>449</v>
      </c>
      <c r="B270" t="s">
        <v>96</v>
      </c>
      <c r="C270" t="s">
        <v>17</v>
      </c>
      <c r="D270">
        <v>24</v>
      </c>
      <c r="E270" t="s">
        <v>49</v>
      </c>
      <c r="F270" t="s">
        <v>27</v>
      </c>
      <c r="G270" t="s">
        <v>33</v>
      </c>
      <c r="H270">
        <v>89000</v>
      </c>
      <c r="I270">
        <v>3</v>
      </c>
      <c r="J270">
        <v>4</v>
      </c>
      <c r="K270">
        <v>5</v>
      </c>
      <c r="L270" t="s">
        <v>21</v>
      </c>
      <c r="M270" t="s">
        <v>29</v>
      </c>
      <c r="N270" t="s">
        <v>22</v>
      </c>
      <c r="O270" t="s">
        <v>30</v>
      </c>
    </row>
    <row r="271" spans="1:15" x14ac:dyDescent="0.3">
      <c r="A271" t="s">
        <v>450</v>
      </c>
      <c r="B271" t="s">
        <v>381</v>
      </c>
      <c r="C271" t="s">
        <v>37</v>
      </c>
      <c r="D271">
        <v>54</v>
      </c>
      <c r="E271" t="s">
        <v>66</v>
      </c>
      <c r="F271" t="s">
        <v>67</v>
      </c>
      <c r="G271" t="s">
        <v>28</v>
      </c>
      <c r="H271">
        <v>100000</v>
      </c>
      <c r="I271">
        <v>19</v>
      </c>
      <c r="J271">
        <v>3</v>
      </c>
      <c r="K271">
        <v>5</v>
      </c>
      <c r="L271" t="s">
        <v>29</v>
      </c>
      <c r="M271" t="s">
        <v>29</v>
      </c>
      <c r="N271" t="s">
        <v>22</v>
      </c>
      <c r="O271" t="s">
        <v>70</v>
      </c>
    </row>
    <row r="272" spans="1:15" x14ac:dyDescent="0.3">
      <c r="A272" t="s">
        <v>451</v>
      </c>
      <c r="B272" t="s">
        <v>92</v>
      </c>
      <c r="C272" t="s">
        <v>17</v>
      </c>
      <c r="D272">
        <v>22</v>
      </c>
      <c r="E272" t="s">
        <v>66</v>
      </c>
      <c r="F272" t="s">
        <v>82</v>
      </c>
      <c r="G272" t="s">
        <v>46</v>
      </c>
      <c r="H272">
        <v>25000</v>
      </c>
      <c r="I272">
        <v>1</v>
      </c>
      <c r="J272">
        <v>3</v>
      </c>
      <c r="K272">
        <v>2</v>
      </c>
      <c r="L272" t="s">
        <v>29</v>
      </c>
      <c r="M272" t="s">
        <v>29</v>
      </c>
      <c r="N272" t="s">
        <v>34</v>
      </c>
      <c r="O272" t="s">
        <v>70</v>
      </c>
    </row>
    <row r="273" spans="1:15" x14ac:dyDescent="0.3">
      <c r="A273" t="s">
        <v>452</v>
      </c>
      <c r="B273" t="s">
        <v>166</v>
      </c>
      <c r="C273" t="s">
        <v>37</v>
      </c>
      <c r="D273">
        <v>22</v>
      </c>
      <c r="E273" t="s">
        <v>49</v>
      </c>
      <c r="F273" t="s">
        <v>50</v>
      </c>
      <c r="G273" t="s">
        <v>20</v>
      </c>
      <c r="H273">
        <v>99000</v>
      </c>
      <c r="I273">
        <v>1</v>
      </c>
      <c r="J273">
        <v>3</v>
      </c>
      <c r="K273">
        <v>3</v>
      </c>
      <c r="L273" t="s">
        <v>21</v>
      </c>
      <c r="M273" t="s">
        <v>29</v>
      </c>
      <c r="N273" t="s">
        <v>34</v>
      </c>
      <c r="O273" t="s">
        <v>38</v>
      </c>
    </row>
    <row r="274" spans="1:15" x14ac:dyDescent="0.3">
      <c r="A274" t="s">
        <v>453</v>
      </c>
      <c r="B274" t="s">
        <v>454</v>
      </c>
      <c r="C274" t="s">
        <v>37</v>
      </c>
      <c r="D274">
        <v>36</v>
      </c>
      <c r="E274" t="s">
        <v>18</v>
      </c>
      <c r="F274" t="s">
        <v>19</v>
      </c>
      <c r="G274" t="s">
        <v>28</v>
      </c>
      <c r="H274">
        <v>80000</v>
      </c>
      <c r="I274">
        <v>2</v>
      </c>
      <c r="J274">
        <v>2</v>
      </c>
      <c r="K274">
        <v>4</v>
      </c>
      <c r="L274" t="s">
        <v>21</v>
      </c>
      <c r="M274" t="s">
        <v>29</v>
      </c>
      <c r="N274" t="s">
        <v>22</v>
      </c>
      <c r="O274" t="s">
        <v>51</v>
      </c>
    </row>
    <row r="275" spans="1:15" x14ac:dyDescent="0.3">
      <c r="A275" t="s">
        <v>455</v>
      </c>
      <c r="B275" t="s">
        <v>229</v>
      </c>
      <c r="C275" t="s">
        <v>17</v>
      </c>
      <c r="D275">
        <v>26</v>
      </c>
      <c r="E275" t="s">
        <v>26</v>
      </c>
      <c r="F275" t="s">
        <v>50</v>
      </c>
      <c r="G275" t="s">
        <v>33</v>
      </c>
      <c r="H275">
        <v>26000</v>
      </c>
      <c r="I275">
        <v>2</v>
      </c>
      <c r="J275">
        <v>4</v>
      </c>
      <c r="K275">
        <v>2</v>
      </c>
      <c r="L275" t="s">
        <v>21</v>
      </c>
      <c r="M275" t="s">
        <v>21</v>
      </c>
      <c r="N275" t="s">
        <v>34</v>
      </c>
      <c r="O275" t="s">
        <v>38</v>
      </c>
    </row>
    <row r="276" spans="1:15" x14ac:dyDescent="0.3">
      <c r="A276" t="s">
        <v>456</v>
      </c>
      <c r="B276" t="s">
        <v>414</v>
      </c>
      <c r="C276" t="s">
        <v>37</v>
      </c>
      <c r="D276">
        <v>36</v>
      </c>
      <c r="E276" t="s">
        <v>41</v>
      </c>
      <c r="F276" t="s">
        <v>42</v>
      </c>
      <c r="G276" t="s">
        <v>46</v>
      </c>
      <c r="H276">
        <v>41000</v>
      </c>
      <c r="I276">
        <v>6</v>
      </c>
      <c r="J276">
        <v>2</v>
      </c>
      <c r="K276">
        <v>4</v>
      </c>
      <c r="L276" t="s">
        <v>29</v>
      </c>
      <c r="M276" t="s">
        <v>29</v>
      </c>
      <c r="N276" t="s">
        <v>22</v>
      </c>
      <c r="O276" t="s">
        <v>23</v>
      </c>
    </row>
    <row r="277" spans="1:15" x14ac:dyDescent="0.3">
      <c r="A277" t="s">
        <v>457</v>
      </c>
      <c r="B277" t="s">
        <v>330</v>
      </c>
      <c r="C277" t="s">
        <v>17</v>
      </c>
      <c r="D277">
        <v>30</v>
      </c>
      <c r="E277" t="s">
        <v>26</v>
      </c>
      <c r="F277" t="s">
        <v>50</v>
      </c>
      <c r="G277" t="s">
        <v>28</v>
      </c>
      <c r="H277">
        <v>65000</v>
      </c>
      <c r="I277">
        <v>1</v>
      </c>
      <c r="J277">
        <v>2</v>
      </c>
      <c r="K277">
        <v>2</v>
      </c>
      <c r="L277" t="s">
        <v>29</v>
      </c>
      <c r="M277" t="s">
        <v>29</v>
      </c>
      <c r="N277" t="s">
        <v>22</v>
      </c>
      <c r="O277" t="s">
        <v>51</v>
      </c>
    </row>
    <row r="278" spans="1:15" x14ac:dyDescent="0.3">
      <c r="A278" t="s">
        <v>458</v>
      </c>
      <c r="B278" t="s">
        <v>269</v>
      </c>
      <c r="C278" t="s">
        <v>17</v>
      </c>
      <c r="D278">
        <v>30</v>
      </c>
      <c r="E278" t="s">
        <v>18</v>
      </c>
      <c r="F278" t="s">
        <v>19</v>
      </c>
      <c r="G278" t="s">
        <v>20</v>
      </c>
      <c r="H278">
        <v>113000</v>
      </c>
      <c r="I278">
        <v>9</v>
      </c>
      <c r="J278">
        <v>4</v>
      </c>
      <c r="K278">
        <v>2</v>
      </c>
      <c r="L278" t="s">
        <v>29</v>
      </c>
      <c r="M278" t="s">
        <v>29</v>
      </c>
      <c r="N278" t="s">
        <v>34</v>
      </c>
      <c r="O278" t="s">
        <v>38</v>
      </c>
    </row>
    <row r="279" spans="1:15" x14ac:dyDescent="0.3">
      <c r="A279" t="s">
        <v>459</v>
      </c>
      <c r="B279" t="s">
        <v>372</v>
      </c>
      <c r="C279" t="s">
        <v>37</v>
      </c>
      <c r="D279">
        <v>55</v>
      </c>
      <c r="E279" t="s">
        <v>18</v>
      </c>
      <c r="F279" t="s">
        <v>126</v>
      </c>
      <c r="G279" t="s">
        <v>20</v>
      </c>
      <c r="H279">
        <v>55000</v>
      </c>
      <c r="I279">
        <v>0</v>
      </c>
      <c r="J279">
        <v>5</v>
      </c>
      <c r="K279">
        <v>5</v>
      </c>
      <c r="L279" t="s">
        <v>21</v>
      </c>
      <c r="M279" t="s">
        <v>29</v>
      </c>
      <c r="N279" t="s">
        <v>22</v>
      </c>
      <c r="O279" t="s">
        <v>30</v>
      </c>
    </row>
    <row r="280" spans="1:15" x14ac:dyDescent="0.3">
      <c r="A280" t="s">
        <v>460</v>
      </c>
      <c r="B280" t="s">
        <v>172</v>
      </c>
      <c r="C280" t="s">
        <v>37</v>
      </c>
      <c r="D280">
        <v>23</v>
      </c>
      <c r="E280" t="s">
        <v>49</v>
      </c>
      <c r="F280" t="s">
        <v>50</v>
      </c>
      <c r="G280" t="s">
        <v>46</v>
      </c>
      <c r="H280">
        <v>39000</v>
      </c>
      <c r="I280">
        <v>2</v>
      </c>
      <c r="J280">
        <v>3</v>
      </c>
      <c r="K280">
        <v>2</v>
      </c>
      <c r="L280" t="s">
        <v>29</v>
      </c>
      <c r="M280" t="s">
        <v>29</v>
      </c>
      <c r="N280" t="s">
        <v>34</v>
      </c>
      <c r="O280" t="s">
        <v>38</v>
      </c>
    </row>
    <row r="281" spans="1:15" x14ac:dyDescent="0.3">
      <c r="A281" t="s">
        <v>461</v>
      </c>
      <c r="B281" t="s">
        <v>102</v>
      </c>
      <c r="C281" t="s">
        <v>37</v>
      </c>
      <c r="D281">
        <v>39</v>
      </c>
      <c r="E281" t="s">
        <v>18</v>
      </c>
      <c r="F281" t="s">
        <v>19</v>
      </c>
      <c r="G281" t="s">
        <v>46</v>
      </c>
      <c r="H281">
        <v>29000</v>
      </c>
      <c r="I281">
        <v>9</v>
      </c>
      <c r="J281">
        <v>3</v>
      </c>
      <c r="K281">
        <v>3</v>
      </c>
      <c r="L281" t="s">
        <v>21</v>
      </c>
      <c r="M281" t="s">
        <v>29</v>
      </c>
      <c r="N281" t="s">
        <v>22</v>
      </c>
      <c r="O281" t="s">
        <v>70</v>
      </c>
    </row>
    <row r="282" spans="1:15" x14ac:dyDescent="0.3">
      <c r="A282" t="s">
        <v>462</v>
      </c>
      <c r="B282" t="s">
        <v>90</v>
      </c>
      <c r="C282" t="s">
        <v>17</v>
      </c>
      <c r="D282">
        <v>54</v>
      </c>
      <c r="E282" t="s">
        <v>26</v>
      </c>
      <c r="F282" t="s">
        <v>27</v>
      </c>
      <c r="G282" t="s">
        <v>46</v>
      </c>
      <c r="H282">
        <v>62000</v>
      </c>
      <c r="I282">
        <v>9</v>
      </c>
      <c r="J282">
        <v>4</v>
      </c>
      <c r="K282">
        <v>3</v>
      </c>
      <c r="L282" t="s">
        <v>29</v>
      </c>
      <c r="M282" t="s">
        <v>29</v>
      </c>
      <c r="N282" t="s">
        <v>34</v>
      </c>
      <c r="O282" t="s">
        <v>30</v>
      </c>
    </row>
    <row r="283" spans="1:15" x14ac:dyDescent="0.3">
      <c r="A283" t="s">
        <v>463</v>
      </c>
      <c r="B283" t="s">
        <v>160</v>
      </c>
      <c r="C283" t="s">
        <v>17</v>
      </c>
      <c r="D283">
        <v>47</v>
      </c>
      <c r="E283" t="s">
        <v>49</v>
      </c>
      <c r="F283" t="s">
        <v>27</v>
      </c>
      <c r="G283" t="s">
        <v>46</v>
      </c>
      <c r="H283">
        <v>118000</v>
      </c>
      <c r="I283">
        <v>7</v>
      </c>
      <c r="J283">
        <v>4</v>
      </c>
      <c r="K283">
        <v>1</v>
      </c>
      <c r="L283" t="s">
        <v>29</v>
      </c>
      <c r="M283" t="s">
        <v>29</v>
      </c>
      <c r="N283" t="s">
        <v>22</v>
      </c>
      <c r="O283" t="s">
        <v>54</v>
      </c>
    </row>
    <row r="284" spans="1:15" x14ac:dyDescent="0.3">
      <c r="A284" t="s">
        <v>464</v>
      </c>
      <c r="B284" t="s">
        <v>297</v>
      </c>
      <c r="C284" t="s">
        <v>37</v>
      </c>
      <c r="D284">
        <v>31</v>
      </c>
      <c r="E284" t="s">
        <v>66</v>
      </c>
      <c r="F284" t="s">
        <v>82</v>
      </c>
      <c r="G284" t="s">
        <v>33</v>
      </c>
      <c r="H284">
        <v>36000</v>
      </c>
      <c r="I284">
        <v>10</v>
      </c>
      <c r="J284">
        <v>3</v>
      </c>
      <c r="K284">
        <v>5</v>
      </c>
      <c r="L284" t="s">
        <v>21</v>
      </c>
      <c r="M284" t="s">
        <v>29</v>
      </c>
      <c r="N284" t="s">
        <v>34</v>
      </c>
      <c r="O284" t="s">
        <v>30</v>
      </c>
    </row>
    <row r="285" spans="1:15" x14ac:dyDescent="0.3">
      <c r="A285" t="s">
        <v>465</v>
      </c>
      <c r="B285" t="s">
        <v>111</v>
      </c>
      <c r="C285" t="s">
        <v>37</v>
      </c>
      <c r="D285">
        <v>50</v>
      </c>
      <c r="E285" t="s">
        <v>18</v>
      </c>
      <c r="F285" t="s">
        <v>126</v>
      </c>
      <c r="G285" t="s">
        <v>28</v>
      </c>
      <c r="H285">
        <v>99000</v>
      </c>
      <c r="I285">
        <v>3</v>
      </c>
      <c r="J285">
        <v>5</v>
      </c>
      <c r="K285">
        <v>5</v>
      </c>
      <c r="L285" t="s">
        <v>29</v>
      </c>
      <c r="M285" t="s">
        <v>29</v>
      </c>
      <c r="N285" t="s">
        <v>22</v>
      </c>
      <c r="O285" t="s">
        <v>38</v>
      </c>
    </row>
    <row r="286" spans="1:15" x14ac:dyDescent="0.3">
      <c r="A286" t="s">
        <v>466</v>
      </c>
      <c r="B286" t="s">
        <v>147</v>
      </c>
      <c r="C286" t="s">
        <v>17</v>
      </c>
      <c r="D286">
        <v>35</v>
      </c>
      <c r="E286" t="s">
        <v>18</v>
      </c>
      <c r="F286" t="s">
        <v>126</v>
      </c>
      <c r="G286" t="s">
        <v>28</v>
      </c>
      <c r="H286">
        <v>60000</v>
      </c>
      <c r="I286">
        <v>6</v>
      </c>
      <c r="J286">
        <v>2</v>
      </c>
      <c r="K286">
        <v>5</v>
      </c>
      <c r="L286" t="s">
        <v>21</v>
      </c>
      <c r="M286" t="s">
        <v>29</v>
      </c>
      <c r="N286" t="s">
        <v>22</v>
      </c>
      <c r="O286" t="s">
        <v>54</v>
      </c>
    </row>
    <row r="287" spans="1:15" x14ac:dyDescent="0.3">
      <c r="A287" t="s">
        <v>467</v>
      </c>
      <c r="B287" t="s">
        <v>207</v>
      </c>
      <c r="C287" t="s">
        <v>37</v>
      </c>
      <c r="D287">
        <v>34</v>
      </c>
      <c r="E287" t="s">
        <v>41</v>
      </c>
      <c r="F287" t="s">
        <v>42</v>
      </c>
      <c r="G287" t="s">
        <v>33</v>
      </c>
      <c r="H287">
        <v>26000</v>
      </c>
      <c r="I287">
        <v>12</v>
      </c>
      <c r="J287">
        <v>4</v>
      </c>
      <c r="K287">
        <v>3</v>
      </c>
      <c r="L287" t="s">
        <v>21</v>
      </c>
      <c r="M287" t="s">
        <v>29</v>
      </c>
      <c r="N287" t="s">
        <v>34</v>
      </c>
      <c r="O287" t="s">
        <v>38</v>
      </c>
    </row>
    <row r="288" spans="1:15" x14ac:dyDescent="0.3">
      <c r="A288" t="s">
        <v>468</v>
      </c>
      <c r="B288" t="s">
        <v>244</v>
      </c>
      <c r="C288" t="s">
        <v>37</v>
      </c>
      <c r="D288">
        <v>37</v>
      </c>
      <c r="E288" t="s">
        <v>57</v>
      </c>
      <c r="F288" t="s">
        <v>50</v>
      </c>
      <c r="G288" t="s">
        <v>46</v>
      </c>
      <c r="H288">
        <v>86000</v>
      </c>
      <c r="I288">
        <v>5</v>
      </c>
      <c r="J288">
        <v>3</v>
      </c>
      <c r="K288">
        <v>1</v>
      </c>
      <c r="L288" t="s">
        <v>29</v>
      </c>
      <c r="M288" t="s">
        <v>29</v>
      </c>
      <c r="N288" t="s">
        <v>22</v>
      </c>
      <c r="O288" t="s">
        <v>51</v>
      </c>
    </row>
    <row r="289" spans="1:15" x14ac:dyDescent="0.3">
      <c r="A289" t="s">
        <v>469</v>
      </c>
      <c r="B289" t="s">
        <v>470</v>
      </c>
      <c r="C289" t="s">
        <v>17</v>
      </c>
      <c r="D289">
        <v>48</v>
      </c>
      <c r="E289" t="s">
        <v>41</v>
      </c>
      <c r="F289" t="s">
        <v>73</v>
      </c>
      <c r="G289" t="s">
        <v>28</v>
      </c>
      <c r="H289">
        <v>59000</v>
      </c>
      <c r="I289">
        <v>15</v>
      </c>
      <c r="J289">
        <v>5</v>
      </c>
      <c r="K289">
        <v>2</v>
      </c>
      <c r="L289" t="s">
        <v>21</v>
      </c>
      <c r="M289" t="s">
        <v>29</v>
      </c>
      <c r="N289" t="s">
        <v>22</v>
      </c>
      <c r="O289" t="s">
        <v>38</v>
      </c>
    </row>
    <row r="290" spans="1:15" x14ac:dyDescent="0.3">
      <c r="A290" t="s">
        <v>471</v>
      </c>
      <c r="B290" t="s">
        <v>446</v>
      </c>
      <c r="C290" t="s">
        <v>17</v>
      </c>
      <c r="D290">
        <v>33</v>
      </c>
      <c r="E290" t="s">
        <v>41</v>
      </c>
      <c r="F290" t="s">
        <v>73</v>
      </c>
      <c r="G290" t="s">
        <v>28</v>
      </c>
      <c r="H290">
        <v>61000</v>
      </c>
      <c r="I290">
        <v>12</v>
      </c>
      <c r="J290">
        <v>4</v>
      </c>
      <c r="K290">
        <v>1</v>
      </c>
      <c r="L290" t="s">
        <v>29</v>
      </c>
      <c r="M290" t="s">
        <v>29</v>
      </c>
      <c r="N290" t="s">
        <v>34</v>
      </c>
      <c r="O290" t="s">
        <v>75</v>
      </c>
    </row>
    <row r="291" spans="1:15" x14ac:dyDescent="0.3">
      <c r="A291" t="s">
        <v>472</v>
      </c>
      <c r="B291" t="s">
        <v>199</v>
      </c>
      <c r="C291" t="s">
        <v>17</v>
      </c>
      <c r="D291">
        <v>54</v>
      </c>
      <c r="E291" t="s">
        <v>66</v>
      </c>
      <c r="F291" t="s">
        <v>82</v>
      </c>
      <c r="G291" t="s">
        <v>33</v>
      </c>
      <c r="H291">
        <v>54000</v>
      </c>
      <c r="I291">
        <v>6</v>
      </c>
      <c r="J291">
        <v>2</v>
      </c>
      <c r="K291">
        <v>3</v>
      </c>
      <c r="L291" t="s">
        <v>29</v>
      </c>
      <c r="M291" t="s">
        <v>29</v>
      </c>
      <c r="N291" t="s">
        <v>22</v>
      </c>
      <c r="O291" t="s">
        <v>70</v>
      </c>
    </row>
    <row r="292" spans="1:15" x14ac:dyDescent="0.3">
      <c r="A292" t="s">
        <v>473</v>
      </c>
      <c r="B292" t="s">
        <v>63</v>
      </c>
      <c r="C292" t="s">
        <v>37</v>
      </c>
      <c r="D292">
        <v>26</v>
      </c>
      <c r="E292" t="s">
        <v>49</v>
      </c>
      <c r="F292" t="s">
        <v>50</v>
      </c>
      <c r="G292" t="s">
        <v>20</v>
      </c>
      <c r="H292">
        <v>64000</v>
      </c>
      <c r="I292">
        <v>2</v>
      </c>
      <c r="J292">
        <v>5</v>
      </c>
      <c r="K292">
        <v>3</v>
      </c>
      <c r="L292" t="s">
        <v>21</v>
      </c>
      <c r="M292" t="s">
        <v>29</v>
      </c>
      <c r="N292" t="s">
        <v>22</v>
      </c>
      <c r="O292" t="s">
        <v>75</v>
      </c>
    </row>
    <row r="293" spans="1:15" x14ac:dyDescent="0.3">
      <c r="A293" t="s">
        <v>474</v>
      </c>
      <c r="B293" t="s">
        <v>122</v>
      </c>
      <c r="C293" t="s">
        <v>17</v>
      </c>
      <c r="D293">
        <v>35</v>
      </c>
      <c r="E293" t="s">
        <v>66</v>
      </c>
      <c r="F293" t="s">
        <v>67</v>
      </c>
      <c r="G293" t="s">
        <v>20</v>
      </c>
      <c r="H293">
        <v>53000</v>
      </c>
      <c r="I293">
        <v>6</v>
      </c>
      <c r="J293">
        <v>5</v>
      </c>
      <c r="K293">
        <v>4</v>
      </c>
      <c r="L293" t="s">
        <v>21</v>
      </c>
      <c r="M293" t="s">
        <v>29</v>
      </c>
      <c r="N293" t="s">
        <v>34</v>
      </c>
      <c r="O293" t="s">
        <v>51</v>
      </c>
    </row>
    <row r="294" spans="1:15" x14ac:dyDescent="0.3">
      <c r="A294" t="s">
        <v>475</v>
      </c>
      <c r="B294" t="s">
        <v>476</v>
      </c>
      <c r="C294" t="s">
        <v>17</v>
      </c>
      <c r="D294">
        <v>48</v>
      </c>
      <c r="E294" t="s">
        <v>26</v>
      </c>
      <c r="F294" t="s">
        <v>50</v>
      </c>
      <c r="G294" t="s">
        <v>20</v>
      </c>
      <c r="H294">
        <v>117000</v>
      </c>
      <c r="I294">
        <v>5</v>
      </c>
      <c r="J294">
        <v>3</v>
      </c>
      <c r="K294">
        <v>4</v>
      </c>
      <c r="L294" t="s">
        <v>21</v>
      </c>
      <c r="M294" t="s">
        <v>29</v>
      </c>
      <c r="N294" t="s">
        <v>34</v>
      </c>
      <c r="O294" t="s">
        <v>51</v>
      </c>
    </row>
    <row r="295" spans="1:15" x14ac:dyDescent="0.3">
      <c r="A295" t="s">
        <v>477</v>
      </c>
      <c r="B295" t="s">
        <v>376</v>
      </c>
      <c r="C295" t="s">
        <v>37</v>
      </c>
      <c r="D295">
        <v>28</v>
      </c>
      <c r="E295" t="s">
        <v>57</v>
      </c>
      <c r="F295" t="s">
        <v>50</v>
      </c>
      <c r="G295" t="s">
        <v>46</v>
      </c>
      <c r="H295">
        <v>26000</v>
      </c>
      <c r="I295">
        <v>7</v>
      </c>
      <c r="J295">
        <v>4</v>
      </c>
      <c r="K295">
        <v>4</v>
      </c>
      <c r="L295" t="s">
        <v>29</v>
      </c>
      <c r="M295" t="s">
        <v>29</v>
      </c>
      <c r="N295" t="s">
        <v>22</v>
      </c>
      <c r="O295" t="s">
        <v>38</v>
      </c>
    </row>
    <row r="296" spans="1:15" x14ac:dyDescent="0.3">
      <c r="A296" t="s">
        <v>478</v>
      </c>
      <c r="B296" t="s">
        <v>186</v>
      </c>
      <c r="C296" t="s">
        <v>37</v>
      </c>
      <c r="D296">
        <v>31</v>
      </c>
      <c r="E296" t="s">
        <v>41</v>
      </c>
      <c r="F296" t="s">
        <v>42</v>
      </c>
      <c r="G296" t="s">
        <v>20</v>
      </c>
      <c r="H296">
        <v>75000</v>
      </c>
      <c r="I296">
        <v>10</v>
      </c>
      <c r="J296">
        <v>2</v>
      </c>
      <c r="K296">
        <v>3</v>
      </c>
      <c r="L296" t="s">
        <v>21</v>
      </c>
      <c r="M296" t="s">
        <v>29</v>
      </c>
      <c r="N296" t="s">
        <v>34</v>
      </c>
      <c r="O296" t="s">
        <v>43</v>
      </c>
    </row>
    <row r="297" spans="1:15" x14ac:dyDescent="0.3">
      <c r="A297" t="s">
        <v>479</v>
      </c>
      <c r="B297" t="s">
        <v>354</v>
      </c>
      <c r="C297" t="s">
        <v>37</v>
      </c>
      <c r="D297">
        <v>45</v>
      </c>
      <c r="E297" t="s">
        <v>18</v>
      </c>
      <c r="F297" t="s">
        <v>19</v>
      </c>
      <c r="G297" t="s">
        <v>33</v>
      </c>
      <c r="H297">
        <v>118000</v>
      </c>
      <c r="I297">
        <v>7</v>
      </c>
      <c r="J297">
        <v>5</v>
      </c>
      <c r="K297">
        <v>2</v>
      </c>
      <c r="L297" t="s">
        <v>29</v>
      </c>
      <c r="M297" t="s">
        <v>21</v>
      </c>
      <c r="N297" t="s">
        <v>34</v>
      </c>
      <c r="O297" t="s">
        <v>54</v>
      </c>
    </row>
    <row r="298" spans="1:15" x14ac:dyDescent="0.3">
      <c r="A298" t="s">
        <v>480</v>
      </c>
      <c r="B298" t="s">
        <v>134</v>
      </c>
      <c r="C298" t="s">
        <v>17</v>
      </c>
      <c r="D298">
        <v>49</v>
      </c>
      <c r="E298" t="s">
        <v>57</v>
      </c>
      <c r="F298" t="s">
        <v>27</v>
      </c>
      <c r="G298" t="s">
        <v>20</v>
      </c>
      <c r="H298">
        <v>109000</v>
      </c>
      <c r="I298">
        <v>0</v>
      </c>
      <c r="J298">
        <v>4</v>
      </c>
      <c r="K298">
        <v>2</v>
      </c>
      <c r="L298" t="s">
        <v>29</v>
      </c>
      <c r="M298" t="s">
        <v>29</v>
      </c>
      <c r="N298" t="s">
        <v>22</v>
      </c>
      <c r="O298" t="s">
        <v>54</v>
      </c>
    </row>
    <row r="299" spans="1:15" x14ac:dyDescent="0.3">
      <c r="A299" t="s">
        <v>481</v>
      </c>
      <c r="B299" t="s">
        <v>295</v>
      </c>
      <c r="C299" t="s">
        <v>37</v>
      </c>
      <c r="D299">
        <v>31</v>
      </c>
      <c r="E299" t="s">
        <v>26</v>
      </c>
      <c r="F299" t="s">
        <v>27</v>
      </c>
      <c r="G299" t="s">
        <v>28</v>
      </c>
      <c r="H299">
        <v>35000</v>
      </c>
      <c r="I299">
        <v>10</v>
      </c>
      <c r="J299">
        <v>2</v>
      </c>
      <c r="K299">
        <v>4</v>
      </c>
      <c r="L299" t="s">
        <v>21</v>
      </c>
      <c r="M299" t="s">
        <v>29</v>
      </c>
      <c r="N299" t="s">
        <v>34</v>
      </c>
      <c r="O299" t="s">
        <v>54</v>
      </c>
    </row>
    <row r="300" spans="1:15" x14ac:dyDescent="0.3">
      <c r="A300" t="s">
        <v>482</v>
      </c>
      <c r="B300" t="s">
        <v>278</v>
      </c>
      <c r="C300" t="s">
        <v>17</v>
      </c>
      <c r="D300">
        <v>35</v>
      </c>
      <c r="E300" t="s">
        <v>18</v>
      </c>
      <c r="F300" t="s">
        <v>126</v>
      </c>
      <c r="G300" t="s">
        <v>46</v>
      </c>
      <c r="H300">
        <v>102000</v>
      </c>
      <c r="I300">
        <v>14</v>
      </c>
      <c r="J300">
        <v>2</v>
      </c>
      <c r="K300">
        <v>1</v>
      </c>
      <c r="L300" t="s">
        <v>29</v>
      </c>
      <c r="M300" t="s">
        <v>29</v>
      </c>
      <c r="N300" t="s">
        <v>22</v>
      </c>
      <c r="O300" t="s">
        <v>51</v>
      </c>
    </row>
    <row r="301" spans="1:15" x14ac:dyDescent="0.3">
      <c r="A301" t="s">
        <v>483</v>
      </c>
      <c r="B301" t="s">
        <v>98</v>
      </c>
      <c r="C301" t="s">
        <v>37</v>
      </c>
      <c r="D301">
        <v>50</v>
      </c>
      <c r="E301" t="s">
        <v>49</v>
      </c>
      <c r="F301" t="s">
        <v>50</v>
      </c>
      <c r="G301" t="s">
        <v>20</v>
      </c>
      <c r="H301">
        <v>50000</v>
      </c>
      <c r="I301">
        <v>1</v>
      </c>
      <c r="J301">
        <v>3</v>
      </c>
      <c r="K301">
        <v>3</v>
      </c>
      <c r="L301" t="s">
        <v>29</v>
      </c>
      <c r="M301" t="s">
        <v>29</v>
      </c>
      <c r="N301" t="s">
        <v>34</v>
      </c>
      <c r="O301" t="s">
        <v>70</v>
      </c>
    </row>
    <row r="302" spans="1:15" x14ac:dyDescent="0.3">
      <c r="A302" t="s">
        <v>484</v>
      </c>
      <c r="B302" t="s">
        <v>191</v>
      </c>
      <c r="C302" t="s">
        <v>37</v>
      </c>
      <c r="D302">
        <v>27</v>
      </c>
      <c r="E302" t="s">
        <v>18</v>
      </c>
      <c r="F302" t="s">
        <v>126</v>
      </c>
      <c r="G302" t="s">
        <v>46</v>
      </c>
      <c r="H302">
        <v>120000</v>
      </c>
      <c r="I302">
        <v>6</v>
      </c>
      <c r="J302">
        <v>2</v>
      </c>
      <c r="K302">
        <v>3</v>
      </c>
      <c r="L302" t="s">
        <v>21</v>
      </c>
      <c r="M302" t="s">
        <v>29</v>
      </c>
      <c r="N302" t="s">
        <v>22</v>
      </c>
      <c r="O302" t="s">
        <v>75</v>
      </c>
    </row>
    <row r="303" spans="1:15" x14ac:dyDescent="0.3">
      <c r="A303" t="s">
        <v>485</v>
      </c>
      <c r="B303" t="s">
        <v>486</v>
      </c>
      <c r="C303" t="s">
        <v>17</v>
      </c>
      <c r="D303">
        <v>40</v>
      </c>
      <c r="E303" t="s">
        <v>57</v>
      </c>
      <c r="F303" t="s">
        <v>27</v>
      </c>
      <c r="G303" t="s">
        <v>20</v>
      </c>
      <c r="H303">
        <v>86000</v>
      </c>
      <c r="I303">
        <v>19</v>
      </c>
      <c r="J303">
        <v>3</v>
      </c>
      <c r="K303">
        <v>1</v>
      </c>
      <c r="L303" t="s">
        <v>21</v>
      </c>
      <c r="M303" t="s">
        <v>21</v>
      </c>
      <c r="N303" t="s">
        <v>34</v>
      </c>
      <c r="O303" t="s">
        <v>38</v>
      </c>
    </row>
    <row r="304" spans="1:15" x14ac:dyDescent="0.3">
      <c r="A304" t="s">
        <v>487</v>
      </c>
      <c r="B304" t="s">
        <v>32</v>
      </c>
      <c r="C304" t="s">
        <v>17</v>
      </c>
      <c r="D304">
        <v>26</v>
      </c>
      <c r="E304" t="s">
        <v>57</v>
      </c>
      <c r="F304" t="s">
        <v>50</v>
      </c>
      <c r="G304" t="s">
        <v>46</v>
      </c>
      <c r="H304">
        <v>86000</v>
      </c>
      <c r="I304">
        <v>5</v>
      </c>
      <c r="J304">
        <v>3</v>
      </c>
      <c r="K304">
        <v>1</v>
      </c>
      <c r="L304" t="s">
        <v>21</v>
      </c>
      <c r="M304" t="s">
        <v>21</v>
      </c>
      <c r="N304" t="s">
        <v>22</v>
      </c>
      <c r="O304" t="s">
        <v>23</v>
      </c>
    </row>
    <row r="305" spans="1:15" x14ac:dyDescent="0.3">
      <c r="A305" t="s">
        <v>488</v>
      </c>
      <c r="B305" t="s">
        <v>282</v>
      </c>
      <c r="C305" t="s">
        <v>17</v>
      </c>
      <c r="D305">
        <v>30</v>
      </c>
      <c r="E305" t="s">
        <v>41</v>
      </c>
      <c r="F305" t="s">
        <v>73</v>
      </c>
      <c r="G305" t="s">
        <v>46</v>
      </c>
      <c r="H305">
        <v>49000</v>
      </c>
      <c r="I305">
        <v>9</v>
      </c>
      <c r="J305">
        <v>3</v>
      </c>
      <c r="K305">
        <v>3</v>
      </c>
      <c r="L305" t="s">
        <v>21</v>
      </c>
      <c r="M305" t="s">
        <v>29</v>
      </c>
      <c r="N305" t="s">
        <v>22</v>
      </c>
      <c r="O305" t="s">
        <v>43</v>
      </c>
    </row>
    <row r="306" spans="1:15" x14ac:dyDescent="0.3">
      <c r="A306" t="s">
        <v>489</v>
      </c>
      <c r="B306" t="s">
        <v>84</v>
      </c>
      <c r="C306" t="s">
        <v>17</v>
      </c>
      <c r="D306">
        <v>46</v>
      </c>
      <c r="E306" t="s">
        <v>41</v>
      </c>
      <c r="F306" t="s">
        <v>42</v>
      </c>
      <c r="G306" t="s">
        <v>28</v>
      </c>
      <c r="H306">
        <v>35000</v>
      </c>
      <c r="I306">
        <v>18</v>
      </c>
      <c r="J306">
        <v>3</v>
      </c>
      <c r="K306">
        <v>1</v>
      </c>
      <c r="L306" t="s">
        <v>29</v>
      </c>
      <c r="M306" t="s">
        <v>29</v>
      </c>
      <c r="N306" t="s">
        <v>34</v>
      </c>
      <c r="O306" t="s">
        <v>43</v>
      </c>
    </row>
    <row r="307" spans="1:15" x14ac:dyDescent="0.3">
      <c r="A307" t="s">
        <v>490</v>
      </c>
      <c r="B307" t="s">
        <v>104</v>
      </c>
      <c r="C307" t="s">
        <v>17</v>
      </c>
      <c r="D307">
        <v>30</v>
      </c>
      <c r="E307" t="s">
        <v>49</v>
      </c>
      <c r="F307" t="s">
        <v>50</v>
      </c>
      <c r="G307" t="s">
        <v>33</v>
      </c>
      <c r="H307">
        <v>69000</v>
      </c>
      <c r="I307">
        <v>0</v>
      </c>
      <c r="J307">
        <v>2</v>
      </c>
      <c r="K307">
        <v>4</v>
      </c>
      <c r="L307" t="s">
        <v>21</v>
      </c>
      <c r="M307" t="s">
        <v>29</v>
      </c>
      <c r="N307" t="s">
        <v>34</v>
      </c>
      <c r="O307" t="s">
        <v>54</v>
      </c>
    </row>
    <row r="308" spans="1:15" x14ac:dyDescent="0.3">
      <c r="A308" t="s">
        <v>491</v>
      </c>
      <c r="B308" t="s">
        <v>362</v>
      </c>
      <c r="C308" t="s">
        <v>37</v>
      </c>
      <c r="D308">
        <v>55</v>
      </c>
      <c r="E308" t="s">
        <v>57</v>
      </c>
      <c r="F308" t="s">
        <v>27</v>
      </c>
      <c r="G308" t="s">
        <v>28</v>
      </c>
      <c r="H308">
        <v>64000</v>
      </c>
      <c r="I308">
        <v>0</v>
      </c>
      <c r="J308">
        <v>2</v>
      </c>
      <c r="K308">
        <v>1</v>
      </c>
      <c r="L308" t="s">
        <v>29</v>
      </c>
      <c r="M308" t="s">
        <v>29</v>
      </c>
      <c r="N308" t="s">
        <v>22</v>
      </c>
      <c r="O308" t="s">
        <v>38</v>
      </c>
    </row>
    <row r="309" spans="1:15" x14ac:dyDescent="0.3">
      <c r="A309" t="s">
        <v>492</v>
      </c>
      <c r="B309" t="s">
        <v>186</v>
      </c>
      <c r="C309" t="s">
        <v>17</v>
      </c>
      <c r="D309">
        <v>45</v>
      </c>
      <c r="E309" t="s">
        <v>66</v>
      </c>
      <c r="F309" t="s">
        <v>82</v>
      </c>
      <c r="G309" t="s">
        <v>20</v>
      </c>
      <c r="H309">
        <v>100000</v>
      </c>
      <c r="I309">
        <v>16</v>
      </c>
      <c r="J309">
        <v>3</v>
      </c>
      <c r="K309">
        <v>2</v>
      </c>
      <c r="L309" t="s">
        <v>21</v>
      </c>
      <c r="M309" t="s">
        <v>21</v>
      </c>
      <c r="N309" t="s">
        <v>34</v>
      </c>
      <c r="O309" t="s">
        <v>30</v>
      </c>
    </row>
    <row r="310" spans="1:15" x14ac:dyDescent="0.3">
      <c r="A310" t="s">
        <v>493</v>
      </c>
      <c r="B310" t="s">
        <v>147</v>
      </c>
      <c r="C310" t="s">
        <v>17</v>
      </c>
      <c r="D310">
        <v>29</v>
      </c>
      <c r="E310" t="s">
        <v>49</v>
      </c>
      <c r="F310" t="s">
        <v>27</v>
      </c>
      <c r="G310" t="s">
        <v>33</v>
      </c>
      <c r="H310">
        <v>42000</v>
      </c>
      <c r="I310">
        <v>8</v>
      </c>
      <c r="J310">
        <v>4</v>
      </c>
      <c r="K310">
        <v>2</v>
      </c>
      <c r="L310" t="s">
        <v>29</v>
      </c>
      <c r="M310" t="s">
        <v>21</v>
      </c>
      <c r="N310" t="s">
        <v>34</v>
      </c>
      <c r="O310" t="s">
        <v>75</v>
      </c>
    </row>
    <row r="311" spans="1:15" x14ac:dyDescent="0.3">
      <c r="A311" t="s">
        <v>494</v>
      </c>
      <c r="B311" t="s">
        <v>138</v>
      </c>
      <c r="C311" t="s">
        <v>17</v>
      </c>
      <c r="D311">
        <v>39</v>
      </c>
      <c r="E311" t="s">
        <v>49</v>
      </c>
      <c r="F311" t="s">
        <v>50</v>
      </c>
      <c r="G311" t="s">
        <v>20</v>
      </c>
      <c r="H311">
        <v>118000</v>
      </c>
      <c r="I311">
        <v>13</v>
      </c>
      <c r="J311">
        <v>5</v>
      </c>
      <c r="K311">
        <v>3</v>
      </c>
      <c r="L311" t="s">
        <v>21</v>
      </c>
      <c r="M311" t="s">
        <v>29</v>
      </c>
      <c r="N311" t="s">
        <v>22</v>
      </c>
      <c r="O311" t="s">
        <v>38</v>
      </c>
    </row>
    <row r="312" spans="1:15" x14ac:dyDescent="0.3">
      <c r="A312" t="s">
        <v>495</v>
      </c>
      <c r="B312" t="s">
        <v>242</v>
      </c>
      <c r="C312" t="s">
        <v>17</v>
      </c>
      <c r="D312">
        <v>37</v>
      </c>
      <c r="E312" t="s">
        <v>66</v>
      </c>
      <c r="F312" t="s">
        <v>82</v>
      </c>
      <c r="G312" t="s">
        <v>46</v>
      </c>
      <c r="H312">
        <v>92000</v>
      </c>
      <c r="I312">
        <v>12</v>
      </c>
      <c r="J312">
        <v>5</v>
      </c>
      <c r="K312">
        <v>5</v>
      </c>
      <c r="L312" t="s">
        <v>21</v>
      </c>
      <c r="M312" t="s">
        <v>29</v>
      </c>
      <c r="N312" t="s">
        <v>22</v>
      </c>
      <c r="O312" t="s">
        <v>75</v>
      </c>
    </row>
    <row r="313" spans="1:15" x14ac:dyDescent="0.3">
      <c r="A313" t="s">
        <v>496</v>
      </c>
      <c r="B313" t="s">
        <v>497</v>
      </c>
      <c r="C313" t="s">
        <v>17</v>
      </c>
      <c r="D313">
        <v>30</v>
      </c>
      <c r="E313" t="s">
        <v>41</v>
      </c>
      <c r="F313" t="s">
        <v>42</v>
      </c>
      <c r="G313" t="s">
        <v>20</v>
      </c>
      <c r="H313">
        <v>39000</v>
      </c>
      <c r="I313">
        <v>8</v>
      </c>
      <c r="J313">
        <v>4</v>
      </c>
      <c r="K313">
        <v>5</v>
      </c>
      <c r="L313" t="s">
        <v>21</v>
      </c>
      <c r="M313" t="s">
        <v>29</v>
      </c>
      <c r="N313" t="s">
        <v>34</v>
      </c>
      <c r="O313" t="s">
        <v>54</v>
      </c>
    </row>
    <row r="314" spans="1:15" x14ac:dyDescent="0.3">
      <c r="A314" t="s">
        <v>498</v>
      </c>
      <c r="B314" t="s">
        <v>278</v>
      </c>
      <c r="C314" t="s">
        <v>17</v>
      </c>
      <c r="D314">
        <v>47</v>
      </c>
      <c r="E314" t="s">
        <v>49</v>
      </c>
      <c r="F314" t="s">
        <v>27</v>
      </c>
      <c r="G314" t="s">
        <v>33</v>
      </c>
      <c r="H314">
        <v>40000</v>
      </c>
      <c r="I314">
        <v>19</v>
      </c>
      <c r="J314">
        <v>2</v>
      </c>
      <c r="K314">
        <v>1</v>
      </c>
      <c r="L314" t="s">
        <v>29</v>
      </c>
      <c r="M314" t="s">
        <v>29</v>
      </c>
      <c r="N314" t="s">
        <v>22</v>
      </c>
      <c r="O314" t="s">
        <v>38</v>
      </c>
    </row>
    <row r="315" spans="1:15" x14ac:dyDescent="0.3">
      <c r="A315" t="s">
        <v>499</v>
      </c>
      <c r="B315" t="s">
        <v>259</v>
      </c>
      <c r="C315" t="s">
        <v>37</v>
      </c>
      <c r="D315">
        <v>45</v>
      </c>
      <c r="E315" t="s">
        <v>49</v>
      </c>
      <c r="F315" t="s">
        <v>27</v>
      </c>
      <c r="G315" t="s">
        <v>46</v>
      </c>
      <c r="H315">
        <v>82000</v>
      </c>
      <c r="I315">
        <v>11</v>
      </c>
      <c r="J315">
        <v>2</v>
      </c>
      <c r="K315">
        <v>3</v>
      </c>
      <c r="L315" t="s">
        <v>21</v>
      </c>
      <c r="M315" t="s">
        <v>29</v>
      </c>
      <c r="N315" t="s">
        <v>34</v>
      </c>
      <c r="O315" t="s">
        <v>38</v>
      </c>
    </row>
    <row r="316" spans="1:15" x14ac:dyDescent="0.3">
      <c r="A316" t="s">
        <v>500</v>
      </c>
      <c r="B316" t="s">
        <v>295</v>
      </c>
      <c r="C316" t="s">
        <v>37</v>
      </c>
      <c r="D316">
        <v>39</v>
      </c>
      <c r="E316" t="s">
        <v>41</v>
      </c>
      <c r="F316" t="s">
        <v>73</v>
      </c>
      <c r="G316" t="s">
        <v>28</v>
      </c>
      <c r="H316">
        <v>104000</v>
      </c>
      <c r="I316">
        <v>16</v>
      </c>
      <c r="J316">
        <v>2</v>
      </c>
      <c r="K316">
        <v>1</v>
      </c>
      <c r="L316" t="s">
        <v>29</v>
      </c>
      <c r="M316" t="s">
        <v>29</v>
      </c>
      <c r="N316" t="s">
        <v>22</v>
      </c>
      <c r="O316" t="s">
        <v>30</v>
      </c>
    </row>
    <row r="317" spans="1:15" x14ac:dyDescent="0.3">
      <c r="A317" t="s">
        <v>501</v>
      </c>
      <c r="B317" t="s">
        <v>502</v>
      </c>
      <c r="C317" t="s">
        <v>37</v>
      </c>
      <c r="D317">
        <v>23</v>
      </c>
      <c r="E317" t="s">
        <v>66</v>
      </c>
      <c r="F317" t="s">
        <v>67</v>
      </c>
      <c r="G317" t="s">
        <v>28</v>
      </c>
      <c r="H317">
        <v>75000</v>
      </c>
      <c r="I317">
        <v>2</v>
      </c>
      <c r="J317">
        <v>4</v>
      </c>
      <c r="K317">
        <v>5</v>
      </c>
      <c r="L317" t="s">
        <v>21</v>
      </c>
      <c r="M317" t="s">
        <v>29</v>
      </c>
      <c r="N317" t="s">
        <v>22</v>
      </c>
      <c r="O317" t="s">
        <v>30</v>
      </c>
    </row>
    <row r="318" spans="1:15" x14ac:dyDescent="0.3">
      <c r="A318" t="s">
        <v>503</v>
      </c>
      <c r="B318" t="s">
        <v>160</v>
      </c>
      <c r="C318" t="s">
        <v>17</v>
      </c>
      <c r="D318">
        <v>42</v>
      </c>
      <c r="E318" t="s">
        <v>41</v>
      </c>
      <c r="F318" t="s">
        <v>73</v>
      </c>
      <c r="G318" t="s">
        <v>20</v>
      </c>
      <c r="H318">
        <v>117000</v>
      </c>
      <c r="I318">
        <v>10</v>
      </c>
      <c r="J318">
        <v>5</v>
      </c>
      <c r="K318">
        <v>4</v>
      </c>
      <c r="L318" t="s">
        <v>29</v>
      </c>
      <c r="M318" t="s">
        <v>29</v>
      </c>
      <c r="N318" t="s">
        <v>22</v>
      </c>
      <c r="O318" t="s">
        <v>51</v>
      </c>
    </row>
    <row r="319" spans="1:15" x14ac:dyDescent="0.3">
      <c r="A319" t="s">
        <v>504</v>
      </c>
      <c r="B319" t="s">
        <v>125</v>
      </c>
      <c r="C319" t="s">
        <v>37</v>
      </c>
      <c r="D319">
        <v>30</v>
      </c>
      <c r="E319" t="s">
        <v>26</v>
      </c>
      <c r="F319" t="s">
        <v>50</v>
      </c>
      <c r="G319" t="s">
        <v>33</v>
      </c>
      <c r="H319">
        <v>86000</v>
      </c>
      <c r="I319">
        <v>9</v>
      </c>
      <c r="J319">
        <v>5</v>
      </c>
      <c r="K319">
        <v>1</v>
      </c>
      <c r="L319" t="s">
        <v>21</v>
      </c>
      <c r="M319" t="s">
        <v>21</v>
      </c>
      <c r="N319" t="s">
        <v>22</v>
      </c>
      <c r="O319" t="s">
        <v>38</v>
      </c>
    </row>
    <row r="320" spans="1:15" x14ac:dyDescent="0.3">
      <c r="A320" t="s">
        <v>505</v>
      </c>
      <c r="B320" t="s">
        <v>238</v>
      </c>
      <c r="C320" t="s">
        <v>37</v>
      </c>
      <c r="D320">
        <v>31</v>
      </c>
      <c r="E320" t="s">
        <v>57</v>
      </c>
      <c r="F320" t="s">
        <v>50</v>
      </c>
      <c r="G320" t="s">
        <v>20</v>
      </c>
      <c r="H320">
        <v>103000</v>
      </c>
      <c r="I320">
        <v>10</v>
      </c>
      <c r="J320">
        <v>3</v>
      </c>
      <c r="K320">
        <v>3</v>
      </c>
      <c r="L320" t="s">
        <v>29</v>
      </c>
      <c r="M320" t="s">
        <v>29</v>
      </c>
      <c r="N320" t="s">
        <v>34</v>
      </c>
      <c r="O320" t="s">
        <v>38</v>
      </c>
    </row>
    <row r="321" spans="1:15" x14ac:dyDescent="0.3">
      <c r="A321" t="s">
        <v>506</v>
      </c>
      <c r="B321" t="s">
        <v>306</v>
      </c>
      <c r="C321" t="s">
        <v>37</v>
      </c>
      <c r="D321">
        <v>29</v>
      </c>
      <c r="E321" t="s">
        <v>41</v>
      </c>
      <c r="F321" t="s">
        <v>42</v>
      </c>
      <c r="G321" t="s">
        <v>20</v>
      </c>
      <c r="H321">
        <v>64000</v>
      </c>
      <c r="I321">
        <v>8</v>
      </c>
      <c r="J321">
        <v>2</v>
      </c>
      <c r="K321">
        <v>5</v>
      </c>
      <c r="L321" t="s">
        <v>29</v>
      </c>
      <c r="M321" t="s">
        <v>29</v>
      </c>
      <c r="N321" t="s">
        <v>22</v>
      </c>
      <c r="O321" t="s">
        <v>23</v>
      </c>
    </row>
    <row r="322" spans="1:15" x14ac:dyDescent="0.3">
      <c r="A322" t="s">
        <v>507</v>
      </c>
      <c r="B322" t="s">
        <v>88</v>
      </c>
      <c r="C322" t="s">
        <v>17</v>
      </c>
      <c r="D322">
        <v>37</v>
      </c>
      <c r="E322" t="s">
        <v>26</v>
      </c>
      <c r="F322" t="s">
        <v>27</v>
      </c>
      <c r="G322" t="s">
        <v>20</v>
      </c>
      <c r="H322">
        <v>90000</v>
      </c>
      <c r="I322">
        <v>6</v>
      </c>
      <c r="J322">
        <v>2</v>
      </c>
      <c r="K322">
        <v>1</v>
      </c>
      <c r="L322" t="s">
        <v>29</v>
      </c>
      <c r="M322" t="s">
        <v>29</v>
      </c>
      <c r="N322" t="s">
        <v>34</v>
      </c>
      <c r="O322" t="s">
        <v>38</v>
      </c>
    </row>
    <row r="323" spans="1:15" x14ac:dyDescent="0.3">
      <c r="A323" t="s">
        <v>508</v>
      </c>
      <c r="B323" t="s">
        <v>366</v>
      </c>
      <c r="C323" t="s">
        <v>17</v>
      </c>
      <c r="D323">
        <v>30</v>
      </c>
      <c r="E323" t="s">
        <v>66</v>
      </c>
      <c r="F323" t="s">
        <v>67</v>
      </c>
      <c r="G323" t="s">
        <v>46</v>
      </c>
      <c r="H323">
        <v>57000</v>
      </c>
      <c r="I323">
        <v>9</v>
      </c>
      <c r="J323">
        <v>4</v>
      </c>
      <c r="K323">
        <v>5</v>
      </c>
      <c r="L323" t="s">
        <v>29</v>
      </c>
      <c r="M323" t="s">
        <v>29</v>
      </c>
      <c r="N323" t="s">
        <v>34</v>
      </c>
      <c r="O323" t="s">
        <v>51</v>
      </c>
    </row>
    <row r="324" spans="1:15" x14ac:dyDescent="0.3">
      <c r="A324" t="s">
        <v>509</v>
      </c>
      <c r="B324" t="s">
        <v>510</v>
      </c>
      <c r="C324" t="s">
        <v>17</v>
      </c>
      <c r="D324">
        <v>26</v>
      </c>
      <c r="E324" t="s">
        <v>18</v>
      </c>
      <c r="F324" t="s">
        <v>19</v>
      </c>
      <c r="G324" t="s">
        <v>20</v>
      </c>
      <c r="H324">
        <v>75000</v>
      </c>
      <c r="I324">
        <v>1</v>
      </c>
      <c r="J324">
        <v>5</v>
      </c>
      <c r="K324">
        <v>2</v>
      </c>
      <c r="L324" t="s">
        <v>29</v>
      </c>
      <c r="M324" t="s">
        <v>29</v>
      </c>
      <c r="N324" t="s">
        <v>22</v>
      </c>
      <c r="O324" t="s">
        <v>70</v>
      </c>
    </row>
    <row r="325" spans="1:15" x14ac:dyDescent="0.3">
      <c r="A325" t="s">
        <v>511</v>
      </c>
      <c r="B325" t="s">
        <v>16</v>
      </c>
      <c r="C325" t="s">
        <v>17</v>
      </c>
      <c r="D325">
        <v>24</v>
      </c>
      <c r="E325" t="s">
        <v>57</v>
      </c>
      <c r="F325" t="s">
        <v>27</v>
      </c>
      <c r="G325" t="s">
        <v>33</v>
      </c>
      <c r="H325">
        <v>63000</v>
      </c>
      <c r="I325">
        <v>3</v>
      </c>
      <c r="J325">
        <v>2</v>
      </c>
      <c r="K325">
        <v>3</v>
      </c>
      <c r="L325" t="s">
        <v>21</v>
      </c>
      <c r="M325" t="s">
        <v>29</v>
      </c>
      <c r="N325" t="s">
        <v>34</v>
      </c>
      <c r="O325" t="s">
        <v>51</v>
      </c>
    </row>
    <row r="326" spans="1:15" x14ac:dyDescent="0.3">
      <c r="A326" t="s">
        <v>512</v>
      </c>
      <c r="B326" t="s">
        <v>308</v>
      </c>
      <c r="C326" t="s">
        <v>17</v>
      </c>
      <c r="D326">
        <v>46</v>
      </c>
      <c r="E326" t="s">
        <v>49</v>
      </c>
      <c r="F326" t="s">
        <v>27</v>
      </c>
      <c r="G326" t="s">
        <v>46</v>
      </c>
      <c r="H326">
        <v>35000</v>
      </c>
      <c r="I326">
        <v>4</v>
      </c>
      <c r="J326">
        <v>4</v>
      </c>
      <c r="K326">
        <v>4</v>
      </c>
      <c r="L326" t="s">
        <v>21</v>
      </c>
      <c r="M326" t="s">
        <v>29</v>
      </c>
      <c r="N326" t="s">
        <v>22</v>
      </c>
      <c r="O326" t="s">
        <v>38</v>
      </c>
    </row>
    <row r="327" spans="1:15" x14ac:dyDescent="0.3">
      <c r="A327" t="s">
        <v>513</v>
      </c>
      <c r="B327" t="s">
        <v>308</v>
      </c>
      <c r="C327" t="s">
        <v>37</v>
      </c>
      <c r="D327">
        <v>43</v>
      </c>
      <c r="E327" t="s">
        <v>18</v>
      </c>
      <c r="F327" t="s">
        <v>126</v>
      </c>
      <c r="G327" t="s">
        <v>33</v>
      </c>
      <c r="H327">
        <v>107000</v>
      </c>
      <c r="I327">
        <v>17</v>
      </c>
      <c r="J327">
        <v>2</v>
      </c>
      <c r="K327">
        <v>2</v>
      </c>
      <c r="L327" t="s">
        <v>21</v>
      </c>
      <c r="M327" t="s">
        <v>21</v>
      </c>
      <c r="N327" t="s">
        <v>34</v>
      </c>
      <c r="O327" t="s">
        <v>51</v>
      </c>
    </row>
    <row r="328" spans="1:15" x14ac:dyDescent="0.3">
      <c r="A328" t="s">
        <v>514</v>
      </c>
      <c r="B328" t="s">
        <v>79</v>
      </c>
      <c r="C328" t="s">
        <v>17</v>
      </c>
      <c r="D328">
        <v>23</v>
      </c>
      <c r="E328" t="s">
        <v>26</v>
      </c>
      <c r="F328" t="s">
        <v>50</v>
      </c>
      <c r="G328" t="s">
        <v>33</v>
      </c>
      <c r="H328">
        <v>27000</v>
      </c>
      <c r="I328">
        <v>2</v>
      </c>
      <c r="J328">
        <v>4</v>
      </c>
      <c r="K328">
        <v>1</v>
      </c>
      <c r="L328" t="s">
        <v>29</v>
      </c>
      <c r="M328" t="s">
        <v>29</v>
      </c>
      <c r="N328" t="s">
        <v>22</v>
      </c>
      <c r="O328" t="s">
        <v>43</v>
      </c>
    </row>
    <row r="329" spans="1:15" x14ac:dyDescent="0.3">
      <c r="A329" t="s">
        <v>515</v>
      </c>
      <c r="B329" t="s">
        <v>439</v>
      </c>
      <c r="C329" t="s">
        <v>37</v>
      </c>
      <c r="D329">
        <v>41</v>
      </c>
      <c r="E329" t="s">
        <v>57</v>
      </c>
      <c r="F329" t="s">
        <v>27</v>
      </c>
      <c r="G329" t="s">
        <v>20</v>
      </c>
      <c r="H329">
        <v>45000</v>
      </c>
      <c r="I329">
        <v>11</v>
      </c>
      <c r="J329">
        <v>2</v>
      </c>
      <c r="K329">
        <v>1</v>
      </c>
      <c r="L329" t="s">
        <v>21</v>
      </c>
      <c r="M329" t="s">
        <v>21</v>
      </c>
      <c r="N329" t="s">
        <v>22</v>
      </c>
      <c r="O329" t="s">
        <v>30</v>
      </c>
    </row>
    <row r="330" spans="1:15" x14ac:dyDescent="0.3">
      <c r="A330" t="s">
        <v>516</v>
      </c>
      <c r="B330" t="s">
        <v>201</v>
      </c>
      <c r="C330" t="s">
        <v>17</v>
      </c>
      <c r="D330">
        <v>42</v>
      </c>
      <c r="E330" t="s">
        <v>57</v>
      </c>
      <c r="F330" t="s">
        <v>27</v>
      </c>
      <c r="G330" t="s">
        <v>20</v>
      </c>
      <c r="H330">
        <v>54000</v>
      </c>
      <c r="I330">
        <v>4</v>
      </c>
      <c r="J330">
        <v>3</v>
      </c>
      <c r="K330">
        <v>4</v>
      </c>
      <c r="L330" t="s">
        <v>29</v>
      </c>
      <c r="M330" t="s">
        <v>29</v>
      </c>
      <c r="N330" t="s">
        <v>34</v>
      </c>
      <c r="O330" t="s">
        <v>43</v>
      </c>
    </row>
    <row r="331" spans="1:15" x14ac:dyDescent="0.3">
      <c r="A331" t="s">
        <v>517</v>
      </c>
      <c r="B331" t="s">
        <v>227</v>
      </c>
      <c r="C331" t="s">
        <v>37</v>
      </c>
      <c r="D331">
        <v>30</v>
      </c>
      <c r="E331" t="s">
        <v>57</v>
      </c>
      <c r="F331" t="s">
        <v>50</v>
      </c>
      <c r="G331" t="s">
        <v>20</v>
      </c>
      <c r="H331">
        <v>79000</v>
      </c>
      <c r="I331">
        <v>6</v>
      </c>
      <c r="J331">
        <v>3</v>
      </c>
      <c r="K331">
        <v>1</v>
      </c>
      <c r="L331" t="s">
        <v>29</v>
      </c>
      <c r="M331" t="s">
        <v>29</v>
      </c>
      <c r="N331" t="s">
        <v>34</v>
      </c>
      <c r="O331" t="s">
        <v>30</v>
      </c>
    </row>
    <row r="332" spans="1:15" x14ac:dyDescent="0.3">
      <c r="A332" t="s">
        <v>518</v>
      </c>
      <c r="B332" t="s">
        <v>138</v>
      </c>
      <c r="C332" t="s">
        <v>17</v>
      </c>
      <c r="D332">
        <v>34</v>
      </c>
      <c r="E332" t="s">
        <v>49</v>
      </c>
      <c r="F332" t="s">
        <v>27</v>
      </c>
      <c r="G332" t="s">
        <v>46</v>
      </c>
      <c r="H332">
        <v>59000</v>
      </c>
      <c r="I332">
        <v>7</v>
      </c>
      <c r="J332">
        <v>2</v>
      </c>
      <c r="K332">
        <v>4</v>
      </c>
      <c r="L332" t="s">
        <v>21</v>
      </c>
      <c r="M332" t="s">
        <v>29</v>
      </c>
      <c r="N332" t="s">
        <v>22</v>
      </c>
      <c r="O332" t="s">
        <v>70</v>
      </c>
    </row>
    <row r="333" spans="1:15" x14ac:dyDescent="0.3">
      <c r="A333" t="s">
        <v>519</v>
      </c>
      <c r="B333" t="s">
        <v>199</v>
      </c>
      <c r="C333" t="s">
        <v>17</v>
      </c>
      <c r="D333">
        <v>45</v>
      </c>
      <c r="E333" t="s">
        <v>26</v>
      </c>
      <c r="F333" t="s">
        <v>50</v>
      </c>
      <c r="G333" t="s">
        <v>33</v>
      </c>
      <c r="H333">
        <v>67000</v>
      </c>
      <c r="I333">
        <v>12</v>
      </c>
      <c r="J333">
        <v>3</v>
      </c>
      <c r="K333">
        <v>4</v>
      </c>
      <c r="L333" t="s">
        <v>29</v>
      </c>
      <c r="M333" t="s">
        <v>29</v>
      </c>
      <c r="N333" t="s">
        <v>34</v>
      </c>
      <c r="O333" t="s">
        <v>38</v>
      </c>
    </row>
    <row r="334" spans="1:15" x14ac:dyDescent="0.3">
      <c r="A334" t="s">
        <v>520</v>
      </c>
      <c r="B334" t="s">
        <v>233</v>
      </c>
      <c r="C334" t="s">
        <v>37</v>
      </c>
      <c r="D334">
        <v>31</v>
      </c>
      <c r="E334" t="s">
        <v>57</v>
      </c>
      <c r="F334" t="s">
        <v>50</v>
      </c>
      <c r="G334" t="s">
        <v>33</v>
      </c>
      <c r="H334">
        <v>99000</v>
      </c>
      <c r="I334">
        <v>10</v>
      </c>
      <c r="J334">
        <v>2</v>
      </c>
      <c r="K334">
        <v>5</v>
      </c>
      <c r="L334" t="s">
        <v>29</v>
      </c>
      <c r="M334" t="s">
        <v>29</v>
      </c>
      <c r="N334" t="s">
        <v>34</v>
      </c>
      <c r="O334" t="s">
        <v>70</v>
      </c>
    </row>
    <row r="335" spans="1:15" x14ac:dyDescent="0.3">
      <c r="A335" t="s">
        <v>521</v>
      </c>
      <c r="B335" t="s">
        <v>92</v>
      </c>
      <c r="C335" t="s">
        <v>37</v>
      </c>
      <c r="D335">
        <v>34</v>
      </c>
      <c r="E335" t="s">
        <v>57</v>
      </c>
      <c r="F335" t="s">
        <v>27</v>
      </c>
      <c r="G335" t="s">
        <v>28</v>
      </c>
      <c r="H335">
        <v>54000</v>
      </c>
      <c r="I335">
        <v>0</v>
      </c>
      <c r="J335">
        <v>2</v>
      </c>
      <c r="K335">
        <v>2</v>
      </c>
      <c r="L335" t="s">
        <v>29</v>
      </c>
      <c r="M335" t="s">
        <v>29</v>
      </c>
      <c r="N335" t="s">
        <v>22</v>
      </c>
      <c r="O335" t="s">
        <v>75</v>
      </c>
    </row>
    <row r="336" spans="1:15" x14ac:dyDescent="0.3">
      <c r="A336" t="s">
        <v>522</v>
      </c>
      <c r="B336" t="s">
        <v>240</v>
      </c>
      <c r="C336" t="s">
        <v>37</v>
      </c>
      <c r="D336">
        <v>43</v>
      </c>
      <c r="E336" t="s">
        <v>41</v>
      </c>
      <c r="F336" t="s">
        <v>42</v>
      </c>
      <c r="G336" t="s">
        <v>20</v>
      </c>
      <c r="H336">
        <v>81000</v>
      </c>
      <c r="I336">
        <v>4</v>
      </c>
      <c r="J336">
        <v>5</v>
      </c>
      <c r="K336">
        <v>4</v>
      </c>
      <c r="L336" t="s">
        <v>21</v>
      </c>
      <c r="M336" t="s">
        <v>29</v>
      </c>
      <c r="N336" t="s">
        <v>22</v>
      </c>
      <c r="O336" t="s">
        <v>51</v>
      </c>
    </row>
    <row r="337" spans="1:15" x14ac:dyDescent="0.3">
      <c r="A337" t="s">
        <v>523</v>
      </c>
      <c r="B337" t="s">
        <v>470</v>
      </c>
      <c r="C337" t="s">
        <v>17</v>
      </c>
      <c r="D337">
        <v>30</v>
      </c>
      <c r="E337" t="s">
        <v>26</v>
      </c>
      <c r="F337" t="s">
        <v>27</v>
      </c>
      <c r="G337" t="s">
        <v>33</v>
      </c>
      <c r="H337">
        <v>71000</v>
      </c>
      <c r="I337">
        <v>2</v>
      </c>
      <c r="J337">
        <v>2</v>
      </c>
      <c r="K337">
        <v>2</v>
      </c>
      <c r="L337" t="s">
        <v>29</v>
      </c>
      <c r="M337" t="s">
        <v>29</v>
      </c>
      <c r="N337" t="s">
        <v>34</v>
      </c>
      <c r="O337" t="s">
        <v>51</v>
      </c>
    </row>
    <row r="338" spans="1:15" x14ac:dyDescent="0.3">
      <c r="A338" t="s">
        <v>524</v>
      </c>
      <c r="B338" t="s">
        <v>278</v>
      </c>
      <c r="C338" t="s">
        <v>17</v>
      </c>
      <c r="D338">
        <v>41</v>
      </c>
      <c r="E338" t="s">
        <v>41</v>
      </c>
      <c r="F338" t="s">
        <v>42</v>
      </c>
      <c r="G338" t="s">
        <v>20</v>
      </c>
      <c r="H338">
        <v>25000</v>
      </c>
      <c r="I338">
        <v>3</v>
      </c>
      <c r="J338">
        <v>3</v>
      </c>
      <c r="K338">
        <v>3</v>
      </c>
      <c r="L338" t="s">
        <v>29</v>
      </c>
      <c r="M338" t="s">
        <v>29</v>
      </c>
      <c r="N338" t="s">
        <v>34</v>
      </c>
      <c r="O338" t="s">
        <v>30</v>
      </c>
    </row>
    <row r="339" spans="1:15" x14ac:dyDescent="0.3">
      <c r="A339" t="s">
        <v>525</v>
      </c>
      <c r="B339" t="s">
        <v>130</v>
      </c>
      <c r="C339" t="s">
        <v>17</v>
      </c>
      <c r="D339">
        <v>34</v>
      </c>
      <c r="E339" t="s">
        <v>66</v>
      </c>
      <c r="F339" t="s">
        <v>82</v>
      </c>
      <c r="G339" t="s">
        <v>28</v>
      </c>
      <c r="H339">
        <v>103000</v>
      </c>
      <c r="I339">
        <v>13</v>
      </c>
      <c r="J339">
        <v>4</v>
      </c>
      <c r="K339">
        <v>3</v>
      </c>
      <c r="L339" t="s">
        <v>21</v>
      </c>
      <c r="M339" t="s">
        <v>29</v>
      </c>
      <c r="N339" t="s">
        <v>34</v>
      </c>
      <c r="O339" t="s">
        <v>70</v>
      </c>
    </row>
    <row r="340" spans="1:15" x14ac:dyDescent="0.3">
      <c r="A340" t="s">
        <v>526</v>
      </c>
      <c r="B340" t="s">
        <v>125</v>
      </c>
      <c r="C340" t="s">
        <v>17</v>
      </c>
      <c r="D340">
        <v>46</v>
      </c>
      <c r="E340" t="s">
        <v>26</v>
      </c>
      <c r="F340" t="s">
        <v>27</v>
      </c>
      <c r="G340" t="s">
        <v>20</v>
      </c>
      <c r="H340">
        <v>116000</v>
      </c>
      <c r="I340">
        <v>17</v>
      </c>
      <c r="J340">
        <v>5</v>
      </c>
      <c r="K340">
        <v>3</v>
      </c>
      <c r="L340" t="s">
        <v>21</v>
      </c>
      <c r="M340" t="s">
        <v>29</v>
      </c>
      <c r="N340" t="s">
        <v>22</v>
      </c>
      <c r="O340" t="s">
        <v>38</v>
      </c>
    </row>
    <row r="341" spans="1:15" x14ac:dyDescent="0.3">
      <c r="A341" t="s">
        <v>527</v>
      </c>
      <c r="B341" t="s">
        <v>454</v>
      </c>
      <c r="C341" t="s">
        <v>17</v>
      </c>
      <c r="D341">
        <v>28</v>
      </c>
      <c r="E341" t="s">
        <v>18</v>
      </c>
      <c r="F341" t="s">
        <v>126</v>
      </c>
      <c r="G341" t="s">
        <v>20</v>
      </c>
      <c r="H341">
        <v>66000</v>
      </c>
      <c r="I341">
        <v>7</v>
      </c>
      <c r="J341">
        <v>5</v>
      </c>
      <c r="K341">
        <v>1</v>
      </c>
      <c r="L341" t="s">
        <v>29</v>
      </c>
      <c r="M341" t="s">
        <v>29</v>
      </c>
      <c r="N341" t="s">
        <v>22</v>
      </c>
      <c r="O341" t="s">
        <v>51</v>
      </c>
    </row>
    <row r="342" spans="1:15" x14ac:dyDescent="0.3">
      <c r="A342" t="s">
        <v>528</v>
      </c>
      <c r="B342" t="s">
        <v>529</v>
      </c>
      <c r="C342" t="s">
        <v>37</v>
      </c>
      <c r="D342">
        <v>41</v>
      </c>
      <c r="E342" t="s">
        <v>57</v>
      </c>
      <c r="F342" t="s">
        <v>27</v>
      </c>
      <c r="G342" t="s">
        <v>20</v>
      </c>
      <c r="H342">
        <v>42000</v>
      </c>
      <c r="I342">
        <v>4</v>
      </c>
      <c r="J342">
        <v>2</v>
      </c>
      <c r="K342">
        <v>2</v>
      </c>
      <c r="L342" t="s">
        <v>29</v>
      </c>
      <c r="M342" t="s">
        <v>29</v>
      </c>
      <c r="N342" t="s">
        <v>22</v>
      </c>
      <c r="O342" t="s">
        <v>54</v>
      </c>
    </row>
    <row r="343" spans="1:15" x14ac:dyDescent="0.3">
      <c r="A343" t="s">
        <v>530</v>
      </c>
      <c r="B343" t="s">
        <v>81</v>
      </c>
      <c r="C343" t="s">
        <v>17</v>
      </c>
      <c r="D343">
        <v>25</v>
      </c>
      <c r="E343" t="s">
        <v>26</v>
      </c>
      <c r="F343" t="s">
        <v>27</v>
      </c>
      <c r="G343" t="s">
        <v>28</v>
      </c>
      <c r="H343">
        <v>116000</v>
      </c>
      <c r="I343">
        <v>4</v>
      </c>
      <c r="J343">
        <v>2</v>
      </c>
      <c r="K343">
        <v>2</v>
      </c>
      <c r="L343" t="s">
        <v>21</v>
      </c>
      <c r="M343" t="s">
        <v>21</v>
      </c>
      <c r="N343" t="s">
        <v>22</v>
      </c>
      <c r="O343" t="s">
        <v>51</v>
      </c>
    </row>
    <row r="344" spans="1:15" x14ac:dyDescent="0.3">
      <c r="A344" t="s">
        <v>531</v>
      </c>
      <c r="B344" t="s">
        <v>439</v>
      </c>
      <c r="C344" t="s">
        <v>17</v>
      </c>
      <c r="D344">
        <v>48</v>
      </c>
      <c r="E344" t="s">
        <v>26</v>
      </c>
      <c r="F344" t="s">
        <v>27</v>
      </c>
      <c r="G344" t="s">
        <v>28</v>
      </c>
      <c r="H344">
        <v>109000</v>
      </c>
      <c r="I344">
        <v>4</v>
      </c>
      <c r="J344">
        <v>5</v>
      </c>
      <c r="K344">
        <v>1</v>
      </c>
      <c r="L344" t="s">
        <v>29</v>
      </c>
      <c r="M344" t="s">
        <v>29</v>
      </c>
      <c r="N344" t="s">
        <v>22</v>
      </c>
      <c r="O344" t="s">
        <v>30</v>
      </c>
    </row>
    <row r="345" spans="1:15" x14ac:dyDescent="0.3">
      <c r="A345" t="s">
        <v>532</v>
      </c>
      <c r="B345" t="s">
        <v>210</v>
      </c>
      <c r="C345" t="s">
        <v>37</v>
      </c>
      <c r="D345">
        <v>27</v>
      </c>
      <c r="E345" t="s">
        <v>66</v>
      </c>
      <c r="F345" t="s">
        <v>67</v>
      </c>
      <c r="G345" t="s">
        <v>46</v>
      </c>
      <c r="H345">
        <v>49000</v>
      </c>
      <c r="I345">
        <v>2</v>
      </c>
      <c r="J345">
        <v>5</v>
      </c>
      <c r="K345">
        <v>2</v>
      </c>
      <c r="L345" t="s">
        <v>21</v>
      </c>
      <c r="M345" t="s">
        <v>21</v>
      </c>
      <c r="N345" t="s">
        <v>22</v>
      </c>
      <c r="O345" t="s">
        <v>23</v>
      </c>
    </row>
    <row r="346" spans="1:15" x14ac:dyDescent="0.3">
      <c r="A346" t="s">
        <v>533</v>
      </c>
      <c r="B346" t="s">
        <v>439</v>
      </c>
      <c r="C346" t="s">
        <v>17</v>
      </c>
      <c r="D346">
        <v>54</v>
      </c>
      <c r="E346" t="s">
        <v>66</v>
      </c>
      <c r="F346" t="s">
        <v>82</v>
      </c>
      <c r="G346" t="s">
        <v>33</v>
      </c>
      <c r="H346">
        <v>44000</v>
      </c>
      <c r="I346">
        <v>10</v>
      </c>
      <c r="J346">
        <v>3</v>
      </c>
      <c r="K346">
        <v>4</v>
      </c>
      <c r="L346" t="s">
        <v>21</v>
      </c>
      <c r="M346" t="s">
        <v>29</v>
      </c>
      <c r="N346" t="s">
        <v>34</v>
      </c>
      <c r="O346" t="s">
        <v>70</v>
      </c>
    </row>
    <row r="347" spans="1:15" x14ac:dyDescent="0.3">
      <c r="A347" t="s">
        <v>534</v>
      </c>
      <c r="B347" t="s">
        <v>535</v>
      </c>
      <c r="C347" t="s">
        <v>17</v>
      </c>
      <c r="D347">
        <v>34</v>
      </c>
      <c r="E347" t="s">
        <v>41</v>
      </c>
      <c r="F347" t="s">
        <v>42</v>
      </c>
      <c r="G347" t="s">
        <v>20</v>
      </c>
      <c r="H347">
        <v>41000</v>
      </c>
      <c r="I347">
        <v>13</v>
      </c>
      <c r="J347">
        <v>5</v>
      </c>
      <c r="K347">
        <v>5</v>
      </c>
      <c r="L347" t="s">
        <v>29</v>
      </c>
      <c r="M347" t="s">
        <v>29</v>
      </c>
      <c r="N347" t="s">
        <v>22</v>
      </c>
      <c r="O347" t="s">
        <v>38</v>
      </c>
    </row>
    <row r="348" spans="1:15" x14ac:dyDescent="0.3">
      <c r="A348" t="s">
        <v>536</v>
      </c>
      <c r="B348" t="s">
        <v>470</v>
      </c>
      <c r="C348" t="s">
        <v>17</v>
      </c>
      <c r="D348">
        <v>49</v>
      </c>
      <c r="E348" t="s">
        <v>41</v>
      </c>
      <c r="F348" t="s">
        <v>73</v>
      </c>
      <c r="G348" t="s">
        <v>33</v>
      </c>
      <c r="H348">
        <v>51000</v>
      </c>
      <c r="I348">
        <v>8</v>
      </c>
      <c r="J348">
        <v>3</v>
      </c>
      <c r="K348">
        <v>2</v>
      </c>
      <c r="L348" t="s">
        <v>21</v>
      </c>
      <c r="M348" t="s">
        <v>21</v>
      </c>
      <c r="N348" t="s">
        <v>22</v>
      </c>
      <c r="O348" t="s">
        <v>54</v>
      </c>
    </row>
    <row r="349" spans="1:15" x14ac:dyDescent="0.3">
      <c r="A349" t="s">
        <v>537</v>
      </c>
      <c r="B349" t="s">
        <v>529</v>
      </c>
      <c r="C349" t="s">
        <v>17</v>
      </c>
      <c r="D349">
        <v>53</v>
      </c>
      <c r="E349" t="s">
        <v>49</v>
      </c>
      <c r="F349" t="s">
        <v>50</v>
      </c>
      <c r="G349" t="s">
        <v>46</v>
      </c>
      <c r="H349">
        <v>70000</v>
      </c>
      <c r="I349">
        <v>8</v>
      </c>
      <c r="J349">
        <v>2</v>
      </c>
      <c r="K349">
        <v>4</v>
      </c>
      <c r="L349" t="s">
        <v>29</v>
      </c>
      <c r="M349" t="s">
        <v>29</v>
      </c>
      <c r="N349" t="s">
        <v>34</v>
      </c>
      <c r="O349" t="s">
        <v>54</v>
      </c>
    </row>
    <row r="350" spans="1:15" x14ac:dyDescent="0.3">
      <c r="A350" t="s">
        <v>538</v>
      </c>
      <c r="B350" t="s">
        <v>347</v>
      </c>
      <c r="C350" t="s">
        <v>17</v>
      </c>
      <c r="D350">
        <v>35</v>
      </c>
      <c r="E350" t="s">
        <v>26</v>
      </c>
      <c r="F350" t="s">
        <v>50</v>
      </c>
      <c r="G350" t="s">
        <v>33</v>
      </c>
      <c r="H350">
        <v>87000</v>
      </c>
      <c r="I350">
        <v>7</v>
      </c>
      <c r="J350">
        <v>4</v>
      </c>
      <c r="K350">
        <v>3</v>
      </c>
      <c r="L350" t="s">
        <v>21</v>
      </c>
      <c r="M350" t="s">
        <v>29</v>
      </c>
      <c r="N350" t="s">
        <v>22</v>
      </c>
      <c r="O350" t="s">
        <v>23</v>
      </c>
    </row>
    <row r="351" spans="1:15" x14ac:dyDescent="0.3">
      <c r="A351" t="s">
        <v>539</v>
      </c>
      <c r="B351" t="s">
        <v>48</v>
      </c>
      <c r="C351" t="s">
        <v>37</v>
      </c>
      <c r="D351">
        <v>33</v>
      </c>
      <c r="E351" t="s">
        <v>66</v>
      </c>
      <c r="F351" t="s">
        <v>82</v>
      </c>
      <c r="G351" t="s">
        <v>46</v>
      </c>
      <c r="H351">
        <v>81000</v>
      </c>
      <c r="I351">
        <v>11</v>
      </c>
      <c r="J351">
        <v>2</v>
      </c>
      <c r="K351">
        <v>1</v>
      </c>
      <c r="L351" t="s">
        <v>21</v>
      </c>
      <c r="M351" t="s">
        <v>29</v>
      </c>
      <c r="N351" t="s">
        <v>34</v>
      </c>
      <c r="O351" t="s">
        <v>43</v>
      </c>
    </row>
    <row r="352" spans="1:15" x14ac:dyDescent="0.3">
      <c r="A352" t="s">
        <v>540</v>
      </c>
      <c r="B352" t="s">
        <v>541</v>
      </c>
      <c r="C352" t="s">
        <v>17</v>
      </c>
      <c r="D352">
        <v>33</v>
      </c>
      <c r="E352" t="s">
        <v>66</v>
      </c>
      <c r="F352" t="s">
        <v>82</v>
      </c>
      <c r="G352" t="s">
        <v>28</v>
      </c>
      <c r="H352">
        <v>52000</v>
      </c>
      <c r="I352">
        <v>11</v>
      </c>
      <c r="J352">
        <v>5</v>
      </c>
      <c r="K352">
        <v>3</v>
      </c>
      <c r="L352" t="s">
        <v>21</v>
      </c>
      <c r="M352" t="s">
        <v>29</v>
      </c>
      <c r="N352" t="s">
        <v>34</v>
      </c>
      <c r="O352" t="s">
        <v>51</v>
      </c>
    </row>
    <row r="353" spans="1:15" x14ac:dyDescent="0.3">
      <c r="A353" t="s">
        <v>542</v>
      </c>
      <c r="B353" t="s">
        <v>543</v>
      </c>
      <c r="C353" t="s">
        <v>17</v>
      </c>
      <c r="D353">
        <v>48</v>
      </c>
      <c r="E353" t="s">
        <v>18</v>
      </c>
      <c r="F353" t="s">
        <v>126</v>
      </c>
      <c r="G353" t="s">
        <v>20</v>
      </c>
      <c r="H353">
        <v>69000</v>
      </c>
      <c r="I353">
        <v>0</v>
      </c>
      <c r="J353">
        <v>3</v>
      </c>
      <c r="K353">
        <v>5</v>
      </c>
      <c r="L353" t="s">
        <v>21</v>
      </c>
      <c r="M353" t="s">
        <v>29</v>
      </c>
      <c r="N353" t="s">
        <v>34</v>
      </c>
      <c r="O353" t="s">
        <v>54</v>
      </c>
    </row>
    <row r="354" spans="1:15" x14ac:dyDescent="0.3">
      <c r="A354" t="s">
        <v>544</v>
      </c>
      <c r="B354" t="s">
        <v>381</v>
      </c>
      <c r="C354" t="s">
        <v>17</v>
      </c>
      <c r="D354">
        <v>32</v>
      </c>
      <c r="E354" t="s">
        <v>57</v>
      </c>
      <c r="F354" t="s">
        <v>27</v>
      </c>
      <c r="G354" t="s">
        <v>46</v>
      </c>
      <c r="H354">
        <v>61000</v>
      </c>
      <c r="I354">
        <v>4</v>
      </c>
      <c r="J354">
        <v>5</v>
      </c>
      <c r="K354">
        <v>4</v>
      </c>
      <c r="L354" t="s">
        <v>21</v>
      </c>
      <c r="M354" t="s">
        <v>29</v>
      </c>
      <c r="N354" t="s">
        <v>22</v>
      </c>
      <c r="O354" t="s">
        <v>23</v>
      </c>
    </row>
    <row r="355" spans="1:15" x14ac:dyDescent="0.3">
      <c r="A355" t="s">
        <v>545</v>
      </c>
      <c r="B355" t="s">
        <v>48</v>
      </c>
      <c r="C355" t="s">
        <v>37</v>
      </c>
      <c r="D355">
        <v>37</v>
      </c>
      <c r="E355" t="s">
        <v>57</v>
      </c>
      <c r="F355" t="s">
        <v>50</v>
      </c>
      <c r="G355" t="s">
        <v>46</v>
      </c>
      <c r="H355">
        <v>97000</v>
      </c>
      <c r="I355">
        <v>7</v>
      </c>
      <c r="J355">
        <v>2</v>
      </c>
      <c r="K355">
        <v>4</v>
      </c>
      <c r="L355" t="s">
        <v>29</v>
      </c>
      <c r="M355" t="s">
        <v>21</v>
      </c>
      <c r="N355" t="s">
        <v>34</v>
      </c>
      <c r="O355" t="s">
        <v>51</v>
      </c>
    </row>
    <row r="356" spans="1:15" x14ac:dyDescent="0.3">
      <c r="A356" t="s">
        <v>546</v>
      </c>
      <c r="B356" t="s">
        <v>122</v>
      </c>
      <c r="C356" t="s">
        <v>37</v>
      </c>
      <c r="D356">
        <v>23</v>
      </c>
      <c r="E356" t="s">
        <v>49</v>
      </c>
      <c r="F356" t="s">
        <v>50</v>
      </c>
      <c r="G356" t="s">
        <v>46</v>
      </c>
      <c r="H356">
        <v>65000</v>
      </c>
      <c r="I356">
        <v>2</v>
      </c>
      <c r="J356">
        <v>5</v>
      </c>
      <c r="K356">
        <v>5</v>
      </c>
      <c r="L356" t="s">
        <v>21</v>
      </c>
      <c r="M356" t="s">
        <v>29</v>
      </c>
      <c r="N356" t="s">
        <v>34</v>
      </c>
      <c r="O356" t="s">
        <v>70</v>
      </c>
    </row>
    <row r="357" spans="1:15" x14ac:dyDescent="0.3">
      <c r="A357" t="s">
        <v>547</v>
      </c>
      <c r="B357" t="s">
        <v>140</v>
      </c>
      <c r="C357" t="s">
        <v>37</v>
      </c>
      <c r="D357">
        <v>33</v>
      </c>
      <c r="E357" t="s">
        <v>57</v>
      </c>
      <c r="F357" t="s">
        <v>50</v>
      </c>
      <c r="G357" t="s">
        <v>28</v>
      </c>
      <c r="H357">
        <v>89000</v>
      </c>
      <c r="I357">
        <v>12</v>
      </c>
      <c r="J357">
        <v>4</v>
      </c>
      <c r="K357">
        <v>2</v>
      </c>
      <c r="L357" t="s">
        <v>21</v>
      </c>
      <c r="M357" t="s">
        <v>29</v>
      </c>
      <c r="N357" t="s">
        <v>34</v>
      </c>
      <c r="O357" t="s">
        <v>43</v>
      </c>
    </row>
    <row r="358" spans="1:15" x14ac:dyDescent="0.3">
      <c r="A358" t="s">
        <v>548</v>
      </c>
      <c r="B358" t="s">
        <v>53</v>
      </c>
      <c r="C358" t="s">
        <v>37</v>
      </c>
      <c r="D358">
        <v>24</v>
      </c>
      <c r="E358" t="s">
        <v>57</v>
      </c>
      <c r="F358" t="s">
        <v>27</v>
      </c>
      <c r="G358" t="s">
        <v>46</v>
      </c>
      <c r="H358">
        <v>111000</v>
      </c>
      <c r="I358">
        <v>3</v>
      </c>
      <c r="J358">
        <v>4</v>
      </c>
      <c r="K358">
        <v>1</v>
      </c>
      <c r="L358" t="s">
        <v>29</v>
      </c>
      <c r="M358" t="s">
        <v>29</v>
      </c>
      <c r="N358" t="s">
        <v>22</v>
      </c>
      <c r="O358" t="s">
        <v>43</v>
      </c>
    </row>
    <row r="359" spans="1:15" x14ac:dyDescent="0.3">
      <c r="A359" t="s">
        <v>549</v>
      </c>
      <c r="B359" t="s">
        <v>297</v>
      </c>
      <c r="C359" t="s">
        <v>37</v>
      </c>
      <c r="D359">
        <v>41</v>
      </c>
      <c r="E359" t="s">
        <v>49</v>
      </c>
      <c r="F359" t="s">
        <v>27</v>
      </c>
      <c r="G359" t="s">
        <v>33</v>
      </c>
      <c r="H359">
        <v>70000</v>
      </c>
      <c r="I359">
        <v>6</v>
      </c>
      <c r="J359">
        <v>3</v>
      </c>
      <c r="K359">
        <v>4</v>
      </c>
      <c r="L359" t="s">
        <v>21</v>
      </c>
      <c r="M359" t="s">
        <v>29</v>
      </c>
      <c r="N359" t="s">
        <v>34</v>
      </c>
      <c r="O359" t="s">
        <v>43</v>
      </c>
    </row>
    <row r="360" spans="1:15" x14ac:dyDescent="0.3">
      <c r="A360" t="s">
        <v>550</v>
      </c>
      <c r="B360" t="s">
        <v>69</v>
      </c>
      <c r="C360" t="s">
        <v>37</v>
      </c>
      <c r="D360">
        <v>51</v>
      </c>
      <c r="E360" t="s">
        <v>66</v>
      </c>
      <c r="F360" t="s">
        <v>82</v>
      </c>
      <c r="G360" t="s">
        <v>28</v>
      </c>
      <c r="H360">
        <v>25000</v>
      </c>
      <c r="I360">
        <v>2</v>
      </c>
      <c r="J360">
        <v>5</v>
      </c>
      <c r="K360">
        <v>5</v>
      </c>
      <c r="L360" t="s">
        <v>29</v>
      </c>
      <c r="M360" t="s">
        <v>29</v>
      </c>
      <c r="N360" t="s">
        <v>34</v>
      </c>
      <c r="O360" t="s">
        <v>23</v>
      </c>
    </row>
    <row r="361" spans="1:15" x14ac:dyDescent="0.3">
      <c r="A361" t="s">
        <v>551</v>
      </c>
      <c r="B361" t="s">
        <v>552</v>
      </c>
      <c r="C361" t="s">
        <v>17</v>
      </c>
      <c r="D361">
        <v>23</v>
      </c>
      <c r="E361" t="s">
        <v>49</v>
      </c>
      <c r="F361" t="s">
        <v>50</v>
      </c>
      <c r="G361" t="s">
        <v>20</v>
      </c>
      <c r="H361">
        <v>58000</v>
      </c>
      <c r="I361">
        <v>2</v>
      </c>
      <c r="J361">
        <v>3</v>
      </c>
      <c r="K361">
        <v>4</v>
      </c>
      <c r="L361" t="s">
        <v>29</v>
      </c>
      <c r="M361" t="s">
        <v>29</v>
      </c>
      <c r="N361" t="s">
        <v>34</v>
      </c>
      <c r="O361" t="s">
        <v>51</v>
      </c>
    </row>
    <row r="362" spans="1:15" x14ac:dyDescent="0.3">
      <c r="A362" t="s">
        <v>553</v>
      </c>
      <c r="B362" t="s">
        <v>128</v>
      </c>
      <c r="C362" t="s">
        <v>37</v>
      </c>
      <c r="D362">
        <v>34</v>
      </c>
      <c r="E362" t="s">
        <v>49</v>
      </c>
      <c r="F362" t="s">
        <v>27</v>
      </c>
      <c r="G362" t="s">
        <v>20</v>
      </c>
      <c r="H362">
        <v>91000</v>
      </c>
      <c r="I362">
        <v>13</v>
      </c>
      <c r="J362">
        <v>2</v>
      </c>
      <c r="K362">
        <v>3</v>
      </c>
      <c r="L362" t="s">
        <v>29</v>
      </c>
      <c r="M362" t="s">
        <v>29</v>
      </c>
      <c r="N362" t="s">
        <v>34</v>
      </c>
      <c r="O362" t="s">
        <v>43</v>
      </c>
    </row>
    <row r="363" spans="1:15" x14ac:dyDescent="0.3">
      <c r="A363" t="s">
        <v>554</v>
      </c>
      <c r="B363" t="s">
        <v>45</v>
      </c>
      <c r="C363" t="s">
        <v>17</v>
      </c>
      <c r="D363">
        <v>40</v>
      </c>
      <c r="E363" t="s">
        <v>18</v>
      </c>
      <c r="F363" t="s">
        <v>19</v>
      </c>
      <c r="G363" t="s">
        <v>33</v>
      </c>
      <c r="H363">
        <v>66000</v>
      </c>
      <c r="I363">
        <v>16</v>
      </c>
      <c r="J363">
        <v>4</v>
      </c>
      <c r="K363">
        <v>1</v>
      </c>
      <c r="L363" t="s">
        <v>29</v>
      </c>
      <c r="M363" t="s">
        <v>29</v>
      </c>
      <c r="N363" t="s">
        <v>22</v>
      </c>
      <c r="O363" t="s">
        <v>70</v>
      </c>
    </row>
    <row r="364" spans="1:15" x14ac:dyDescent="0.3">
      <c r="A364" t="s">
        <v>555</v>
      </c>
      <c r="B364" t="s">
        <v>502</v>
      </c>
      <c r="C364" t="s">
        <v>37</v>
      </c>
      <c r="D364">
        <v>47</v>
      </c>
      <c r="E364" t="s">
        <v>18</v>
      </c>
      <c r="F364" t="s">
        <v>126</v>
      </c>
      <c r="G364" t="s">
        <v>20</v>
      </c>
      <c r="H364">
        <v>79000</v>
      </c>
      <c r="I364">
        <v>4</v>
      </c>
      <c r="J364">
        <v>5</v>
      </c>
      <c r="K364">
        <v>4</v>
      </c>
      <c r="L364" t="s">
        <v>29</v>
      </c>
      <c r="M364" t="s">
        <v>29</v>
      </c>
      <c r="N364" t="s">
        <v>22</v>
      </c>
      <c r="O364" t="s">
        <v>51</v>
      </c>
    </row>
    <row r="365" spans="1:15" x14ac:dyDescent="0.3">
      <c r="A365" t="s">
        <v>556</v>
      </c>
      <c r="B365" t="s">
        <v>130</v>
      </c>
      <c r="C365" t="s">
        <v>37</v>
      </c>
      <c r="D365">
        <v>44</v>
      </c>
      <c r="E365" t="s">
        <v>18</v>
      </c>
      <c r="F365" t="s">
        <v>126</v>
      </c>
      <c r="G365" t="s">
        <v>20</v>
      </c>
      <c r="H365">
        <v>98000</v>
      </c>
      <c r="I365">
        <v>2</v>
      </c>
      <c r="J365">
        <v>2</v>
      </c>
      <c r="K365">
        <v>1</v>
      </c>
      <c r="L365" t="s">
        <v>21</v>
      </c>
      <c r="M365" t="s">
        <v>29</v>
      </c>
      <c r="N365" t="s">
        <v>34</v>
      </c>
      <c r="O365" t="s">
        <v>38</v>
      </c>
    </row>
    <row r="366" spans="1:15" x14ac:dyDescent="0.3">
      <c r="A366" t="s">
        <v>557</v>
      </c>
      <c r="B366" t="s">
        <v>558</v>
      </c>
      <c r="C366" t="s">
        <v>17</v>
      </c>
      <c r="D366">
        <v>34</v>
      </c>
      <c r="E366" t="s">
        <v>41</v>
      </c>
      <c r="F366" t="s">
        <v>73</v>
      </c>
      <c r="G366" t="s">
        <v>33</v>
      </c>
      <c r="H366">
        <v>25000</v>
      </c>
      <c r="I366">
        <v>13</v>
      </c>
      <c r="J366">
        <v>3</v>
      </c>
      <c r="K366">
        <v>3</v>
      </c>
      <c r="L366" t="s">
        <v>29</v>
      </c>
      <c r="M366" t="s">
        <v>29</v>
      </c>
      <c r="N366" t="s">
        <v>22</v>
      </c>
      <c r="O366" t="s">
        <v>70</v>
      </c>
    </row>
    <row r="367" spans="1:15" x14ac:dyDescent="0.3">
      <c r="A367" t="s">
        <v>559</v>
      </c>
      <c r="B367" t="s">
        <v>217</v>
      </c>
      <c r="C367" t="s">
        <v>17</v>
      </c>
      <c r="D367">
        <v>25</v>
      </c>
      <c r="E367" t="s">
        <v>66</v>
      </c>
      <c r="F367" t="s">
        <v>82</v>
      </c>
      <c r="G367" t="s">
        <v>46</v>
      </c>
      <c r="H367">
        <v>75000</v>
      </c>
      <c r="I367">
        <v>4</v>
      </c>
      <c r="J367">
        <v>4</v>
      </c>
      <c r="K367">
        <v>4</v>
      </c>
      <c r="L367" t="s">
        <v>29</v>
      </c>
      <c r="M367" t="s">
        <v>29</v>
      </c>
      <c r="N367" t="s">
        <v>34</v>
      </c>
      <c r="O367" t="s">
        <v>70</v>
      </c>
    </row>
    <row r="368" spans="1:15" x14ac:dyDescent="0.3">
      <c r="A368" t="s">
        <v>560</v>
      </c>
      <c r="B368" t="s">
        <v>261</v>
      </c>
      <c r="C368" t="s">
        <v>17</v>
      </c>
      <c r="D368">
        <v>25</v>
      </c>
      <c r="E368" t="s">
        <v>57</v>
      </c>
      <c r="F368" t="s">
        <v>27</v>
      </c>
      <c r="G368" t="s">
        <v>20</v>
      </c>
      <c r="H368">
        <v>39000</v>
      </c>
      <c r="I368">
        <v>4</v>
      </c>
      <c r="J368">
        <v>2</v>
      </c>
      <c r="K368">
        <v>5</v>
      </c>
      <c r="L368" t="s">
        <v>21</v>
      </c>
      <c r="M368" t="s">
        <v>29</v>
      </c>
      <c r="N368" t="s">
        <v>34</v>
      </c>
      <c r="O368" t="s">
        <v>54</v>
      </c>
    </row>
    <row r="369" spans="1:15" x14ac:dyDescent="0.3">
      <c r="A369" t="s">
        <v>561</v>
      </c>
      <c r="B369" t="s">
        <v>223</v>
      </c>
      <c r="C369" t="s">
        <v>37</v>
      </c>
      <c r="D369">
        <v>48</v>
      </c>
      <c r="E369" t="s">
        <v>66</v>
      </c>
      <c r="F369" t="s">
        <v>67</v>
      </c>
      <c r="G369" t="s">
        <v>46</v>
      </c>
      <c r="H369">
        <v>48000</v>
      </c>
      <c r="I369">
        <v>8</v>
      </c>
      <c r="J369">
        <v>2</v>
      </c>
      <c r="K369">
        <v>3</v>
      </c>
      <c r="L369" t="s">
        <v>29</v>
      </c>
      <c r="M369" t="s">
        <v>29</v>
      </c>
      <c r="N369" t="s">
        <v>34</v>
      </c>
      <c r="O369" t="s">
        <v>30</v>
      </c>
    </row>
    <row r="370" spans="1:15" x14ac:dyDescent="0.3">
      <c r="A370" t="s">
        <v>562</v>
      </c>
      <c r="B370" t="s">
        <v>347</v>
      </c>
      <c r="C370" t="s">
        <v>17</v>
      </c>
      <c r="D370">
        <v>37</v>
      </c>
      <c r="E370" t="s">
        <v>41</v>
      </c>
      <c r="F370" t="s">
        <v>42</v>
      </c>
      <c r="G370" t="s">
        <v>46</v>
      </c>
      <c r="H370">
        <v>107000</v>
      </c>
      <c r="I370">
        <v>2</v>
      </c>
      <c r="J370">
        <v>3</v>
      </c>
      <c r="K370">
        <v>2</v>
      </c>
      <c r="L370" t="s">
        <v>21</v>
      </c>
      <c r="M370" t="s">
        <v>21</v>
      </c>
      <c r="N370" t="s">
        <v>22</v>
      </c>
      <c r="O370" t="s">
        <v>70</v>
      </c>
    </row>
    <row r="371" spans="1:15" x14ac:dyDescent="0.3">
      <c r="A371" t="s">
        <v>563</v>
      </c>
      <c r="B371" t="s">
        <v>149</v>
      </c>
      <c r="C371" t="s">
        <v>17</v>
      </c>
      <c r="D371">
        <v>54</v>
      </c>
      <c r="E371" t="s">
        <v>66</v>
      </c>
      <c r="F371" t="s">
        <v>82</v>
      </c>
      <c r="G371" t="s">
        <v>28</v>
      </c>
      <c r="H371">
        <v>115000</v>
      </c>
      <c r="I371">
        <v>0</v>
      </c>
      <c r="J371">
        <v>4</v>
      </c>
      <c r="K371">
        <v>3</v>
      </c>
      <c r="L371" t="s">
        <v>29</v>
      </c>
      <c r="M371" t="s">
        <v>29</v>
      </c>
      <c r="N371" t="s">
        <v>34</v>
      </c>
      <c r="O371" t="s">
        <v>43</v>
      </c>
    </row>
    <row r="372" spans="1:15" x14ac:dyDescent="0.3">
      <c r="A372" t="s">
        <v>564</v>
      </c>
      <c r="B372" t="s">
        <v>535</v>
      </c>
      <c r="C372" t="s">
        <v>17</v>
      </c>
      <c r="D372">
        <v>42</v>
      </c>
      <c r="E372" t="s">
        <v>49</v>
      </c>
      <c r="F372" t="s">
        <v>50</v>
      </c>
      <c r="G372" t="s">
        <v>33</v>
      </c>
      <c r="H372">
        <v>80000</v>
      </c>
      <c r="I372">
        <v>20</v>
      </c>
      <c r="J372">
        <v>5</v>
      </c>
      <c r="K372">
        <v>4</v>
      </c>
      <c r="L372" t="s">
        <v>21</v>
      </c>
      <c r="M372" t="s">
        <v>29</v>
      </c>
      <c r="N372" t="s">
        <v>34</v>
      </c>
      <c r="O372" t="s">
        <v>38</v>
      </c>
    </row>
    <row r="373" spans="1:15" x14ac:dyDescent="0.3">
      <c r="A373" t="s">
        <v>565</v>
      </c>
      <c r="B373" t="s">
        <v>221</v>
      </c>
      <c r="C373" t="s">
        <v>17</v>
      </c>
      <c r="D373">
        <v>30</v>
      </c>
      <c r="E373" t="s">
        <v>41</v>
      </c>
      <c r="F373" t="s">
        <v>42</v>
      </c>
      <c r="G373" t="s">
        <v>20</v>
      </c>
      <c r="H373">
        <v>67000</v>
      </c>
      <c r="I373">
        <v>4</v>
      </c>
      <c r="J373">
        <v>2</v>
      </c>
      <c r="K373">
        <v>2</v>
      </c>
      <c r="L373" t="s">
        <v>21</v>
      </c>
      <c r="M373" t="s">
        <v>29</v>
      </c>
      <c r="N373" t="s">
        <v>22</v>
      </c>
      <c r="O373" t="s">
        <v>70</v>
      </c>
    </row>
    <row r="374" spans="1:15" x14ac:dyDescent="0.3">
      <c r="A374" t="s">
        <v>566</v>
      </c>
      <c r="B374" t="s">
        <v>201</v>
      </c>
      <c r="C374" t="s">
        <v>17</v>
      </c>
      <c r="D374">
        <v>39</v>
      </c>
      <c r="E374" t="s">
        <v>57</v>
      </c>
      <c r="F374" t="s">
        <v>27</v>
      </c>
      <c r="G374" t="s">
        <v>33</v>
      </c>
      <c r="H374">
        <v>107000</v>
      </c>
      <c r="I374">
        <v>8</v>
      </c>
      <c r="J374">
        <v>2</v>
      </c>
      <c r="K374">
        <v>3</v>
      </c>
      <c r="L374" t="s">
        <v>21</v>
      </c>
      <c r="M374" t="s">
        <v>29</v>
      </c>
      <c r="N374" t="s">
        <v>34</v>
      </c>
      <c r="O374" t="s">
        <v>51</v>
      </c>
    </row>
    <row r="375" spans="1:15" x14ac:dyDescent="0.3">
      <c r="A375" t="s">
        <v>567</v>
      </c>
      <c r="B375" t="s">
        <v>142</v>
      </c>
      <c r="C375" t="s">
        <v>17</v>
      </c>
      <c r="D375">
        <v>38</v>
      </c>
      <c r="E375" t="s">
        <v>18</v>
      </c>
      <c r="F375" t="s">
        <v>126</v>
      </c>
      <c r="G375" t="s">
        <v>46</v>
      </c>
      <c r="H375">
        <v>90000</v>
      </c>
      <c r="I375">
        <v>17</v>
      </c>
      <c r="J375">
        <v>3</v>
      </c>
      <c r="K375">
        <v>2</v>
      </c>
      <c r="L375" t="s">
        <v>21</v>
      </c>
      <c r="M375" t="s">
        <v>21</v>
      </c>
      <c r="N375" t="s">
        <v>34</v>
      </c>
      <c r="O375" t="s">
        <v>70</v>
      </c>
    </row>
    <row r="376" spans="1:15" x14ac:dyDescent="0.3">
      <c r="A376" t="s">
        <v>568</v>
      </c>
      <c r="B376" t="s">
        <v>205</v>
      </c>
      <c r="C376" t="s">
        <v>37</v>
      </c>
      <c r="D376">
        <v>28</v>
      </c>
      <c r="E376" t="s">
        <v>49</v>
      </c>
      <c r="F376" t="s">
        <v>27</v>
      </c>
      <c r="G376" t="s">
        <v>46</v>
      </c>
      <c r="H376">
        <v>57000</v>
      </c>
      <c r="I376">
        <v>7</v>
      </c>
      <c r="J376">
        <v>3</v>
      </c>
      <c r="K376">
        <v>4</v>
      </c>
      <c r="L376" t="s">
        <v>21</v>
      </c>
      <c r="M376" t="s">
        <v>29</v>
      </c>
      <c r="N376" t="s">
        <v>22</v>
      </c>
      <c r="O376" t="s">
        <v>43</v>
      </c>
    </row>
    <row r="377" spans="1:15" x14ac:dyDescent="0.3">
      <c r="A377" t="s">
        <v>569</v>
      </c>
      <c r="B377" t="s">
        <v>92</v>
      </c>
      <c r="C377" t="s">
        <v>37</v>
      </c>
      <c r="D377">
        <v>33</v>
      </c>
      <c r="E377" t="s">
        <v>26</v>
      </c>
      <c r="F377" t="s">
        <v>50</v>
      </c>
      <c r="G377" t="s">
        <v>20</v>
      </c>
      <c r="H377">
        <v>26000</v>
      </c>
      <c r="I377">
        <v>12</v>
      </c>
      <c r="J377">
        <v>4</v>
      </c>
      <c r="K377">
        <v>1</v>
      </c>
      <c r="L377" t="s">
        <v>29</v>
      </c>
      <c r="M377" t="s">
        <v>29</v>
      </c>
      <c r="N377" t="s">
        <v>22</v>
      </c>
      <c r="O377" t="s">
        <v>43</v>
      </c>
    </row>
    <row r="378" spans="1:15" x14ac:dyDescent="0.3">
      <c r="A378" t="s">
        <v>570</v>
      </c>
      <c r="B378" t="s">
        <v>102</v>
      </c>
      <c r="C378" t="s">
        <v>37</v>
      </c>
      <c r="D378">
        <v>42</v>
      </c>
      <c r="E378" t="s">
        <v>49</v>
      </c>
      <c r="F378" t="s">
        <v>50</v>
      </c>
      <c r="G378" t="s">
        <v>20</v>
      </c>
      <c r="H378">
        <v>65000</v>
      </c>
      <c r="I378">
        <v>18</v>
      </c>
      <c r="J378">
        <v>3</v>
      </c>
      <c r="K378">
        <v>3</v>
      </c>
      <c r="L378" t="s">
        <v>29</v>
      </c>
      <c r="M378" t="s">
        <v>29</v>
      </c>
      <c r="N378" t="s">
        <v>34</v>
      </c>
      <c r="O378" t="s">
        <v>38</v>
      </c>
    </row>
    <row r="379" spans="1:15" x14ac:dyDescent="0.3">
      <c r="A379" t="s">
        <v>571</v>
      </c>
      <c r="B379" t="s">
        <v>40</v>
      </c>
      <c r="C379" t="s">
        <v>17</v>
      </c>
      <c r="D379">
        <v>44</v>
      </c>
      <c r="E379" t="s">
        <v>57</v>
      </c>
      <c r="F379" t="s">
        <v>27</v>
      </c>
      <c r="G379" t="s">
        <v>33</v>
      </c>
      <c r="H379">
        <v>30000</v>
      </c>
      <c r="I379">
        <v>8</v>
      </c>
      <c r="J379">
        <v>4</v>
      </c>
      <c r="K379">
        <v>2</v>
      </c>
      <c r="L379" t="s">
        <v>21</v>
      </c>
      <c r="M379" t="s">
        <v>21</v>
      </c>
      <c r="N379" t="s">
        <v>22</v>
      </c>
      <c r="O379" t="s">
        <v>54</v>
      </c>
    </row>
    <row r="380" spans="1:15" x14ac:dyDescent="0.3">
      <c r="A380" t="s">
        <v>572</v>
      </c>
      <c r="B380" t="s">
        <v>541</v>
      </c>
      <c r="C380" t="s">
        <v>37</v>
      </c>
      <c r="D380">
        <v>50</v>
      </c>
      <c r="E380" t="s">
        <v>18</v>
      </c>
      <c r="F380" t="s">
        <v>19</v>
      </c>
      <c r="G380" t="s">
        <v>33</v>
      </c>
      <c r="H380">
        <v>35000</v>
      </c>
      <c r="I380">
        <v>3</v>
      </c>
      <c r="J380">
        <v>4</v>
      </c>
      <c r="K380">
        <v>4</v>
      </c>
      <c r="L380" t="s">
        <v>21</v>
      </c>
      <c r="M380" t="s">
        <v>29</v>
      </c>
      <c r="N380" t="s">
        <v>34</v>
      </c>
      <c r="O380" t="s">
        <v>70</v>
      </c>
    </row>
    <row r="381" spans="1:15" x14ac:dyDescent="0.3">
      <c r="A381" t="s">
        <v>573</v>
      </c>
      <c r="B381" t="s">
        <v>142</v>
      </c>
      <c r="C381" t="s">
        <v>17</v>
      </c>
      <c r="D381">
        <v>43</v>
      </c>
      <c r="E381" t="s">
        <v>57</v>
      </c>
      <c r="F381" t="s">
        <v>50</v>
      </c>
      <c r="G381" t="s">
        <v>20</v>
      </c>
      <c r="H381">
        <v>62000</v>
      </c>
      <c r="I381">
        <v>18</v>
      </c>
      <c r="J381">
        <v>4</v>
      </c>
      <c r="K381">
        <v>3</v>
      </c>
      <c r="L381" t="s">
        <v>29</v>
      </c>
      <c r="M381" t="s">
        <v>29</v>
      </c>
      <c r="N381" t="s">
        <v>34</v>
      </c>
      <c r="O381" t="s">
        <v>70</v>
      </c>
    </row>
    <row r="382" spans="1:15" x14ac:dyDescent="0.3">
      <c r="A382" t="s">
        <v>574</v>
      </c>
      <c r="B382" t="s">
        <v>476</v>
      </c>
      <c r="C382" t="s">
        <v>17</v>
      </c>
      <c r="D382">
        <v>22</v>
      </c>
      <c r="E382" t="s">
        <v>66</v>
      </c>
      <c r="F382" t="s">
        <v>82</v>
      </c>
      <c r="G382" t="s">
        <v>28</v>
      </c>
      <c r="H382">
        <v>115000</v>
      </c>
      <c r="I382">
        <v>1</v>
      </c>
      <c r="J382">
        <v>2</v>
      </c>
      <c r="K382">
        <v>5</v>
      </c>
      <c r="L382" t="s">
        <v>29</v>
      </c>
      <c r="M382" t="s">
        <v>29</v>
      </c>
      <c r="N382" t="s">
        <v>34</v>
      </c>
      <c r="O382" t="s">
        <v>51</v>
      </c>
    </row>
    <row r="383" spans="1:15" x14ac:dyDescent="0.3">
      <c r="A383" t="s">
        <v>575</v>
      </c>
      <c r="B383" t="s">
        <v>125</v>
      </c>
      <c r="C383" t="s">
        <v>17</v>
      </c>
      <c r="D383">
        <v>40</v>
      </c>
      <c r="E383" t="s">
        <v>41</v>
      </c>
      <c r="F383" t="s">
        <v>73</v>
      </c>
      <c r="G383" t="s">
        <v>33</v>
      </c>
      <c r="H383">
        <v>52000</v>
      </c>
      <c r="I383">
        <v>8</v>
      </c>
      <c r="J383">
        <v>5</v>
      </c>
      <c r="K383">
        <v>4</v>
      </c>
      <c r="L383" t="s">
        <v>21</v>
      </c>
      <c r="M383" t="s">
        <v>29</v>
      </c>
      <c r="N383" t="s">
        <v>22</v>
      </c>
      <c r="O383" t="s">
        <v>75</v>
      </c>
    </row>
    <row r="384" spans="1:15" x14ac:dyDescent="0.3">
      <c r="A384" t="s">
        <v>576</v>
      </c>
      <c r="B384" t="s">
        <v>166</v>
      </c>
      <c r="C384" t="s">
        <v>37</v>
      </c>
      <c r="D384">
        <v>25</v>
      </c>
      <c r="E384" t="s">
        <v>49</v>
      </c>
      <c r="F384" t="s">
        <v>27</v>
      </c>
      <c r="G384" t="s">
        <v>33</v>
      </c>
      <c r="H384">
        <v>110000</v>
      </c>
      <c r="I384">
        <v>4</v>
      </c>
      <c r="J384">
        <v>3</v>
      </c>
      <c r="K384">
        <v>3</v>
      </c>
      <c r="L384" t="s">
        <v>21</v>
      </c>
      <c r="M384" t="s">
        <v>29</v>
      </c>
      <c r="N384" t="s">
        <v>22</v>
      </c>
      <c r="O384" t="s">
        <v>75</v>
      </c>
    </row>
    <row r="385" spans="1:15" x14ac:dyDescent="0.3">
      <c r="A385" t="s">
        <v>577</v>
      </c>
      <c r="B385" t="s">
        <v>541</v>
      </c>
      <c r="C385" t="s">
        <v>37</v>
      </c>
      <c r="D385">
        <v>27</v>
      </c>
      <c r="E385" t="s">
        <v>57</v>
      </c>
      <c r="F385" t="s">
        <v>50</v>
      </c>
      <c r="G385" t="s">
        <v>20</v>
      </c>
      <c r="H385">
        <v>87000</v>
      </c>
      <c r="I385">
        <v>6</v>
      </c>
      <c r="J385">
        <v>2</v>
      </c>
      <c r="K385">
        <v>2</v>
      </c>
      <c r="L385" t="s">
        <v>21</v>
      </c>
      <c r="M385" t="s">
        <v>21</v>
      </c>
      <c r="N385" t="s">
        <v>22</v>
      </c>
      <c r="O385" t="s">
        <v>54</v>
      </c>
    </row>
    <row r="386" spans="1:15" x14ac:dyDescent="0.3">
      <c r="A386" t="s">
        <v>578</v>
      </c>
      <c r="B386" t="s">
        <v>297</v>
      </c>
      <c r="C386" t="s">
        <v>17</v>
      </c>
      <c r="D386">
        <v>23</v>
      </c>
      <c r="E386" t="s">
        <v>18</v>
      </c>
      <c r="F386" t="s">
        <v>126</v>
      </c>
      <c r="G386" t="s">
        <v>33</v>
      </c>
      <c r="H386">
        <v>28000</v>
      </c>
      <c r="I386">
        <v>2</v>
      </c>
      <c r="J386">
        <v>3</v>
      </c>
      <c r="K386">
        <v>4</v>
      </c>
      <c r="L386" t="s">
        <v>21</v>
      </c>
      <c r="M386" t="s">
        <v>29</v>
      </c>
      <c r="N386" t="s">
        <v>22</v>
      </c>
      <c r="O386" t="s">
        <v>75</v>
      </c>
    </row>
    <row r="387" spans="1:15" x14ac:dyDescent="0.3">
      <c r="A387" t="s">
        <v>579</v>
      </c>
      <c r="B387" t="s">
        <v>249</v>
      </c>
      <c r="C387" t="s">
        <v>37</v>
      </c>
      <c r="D387">
        <v>43</v>
      </c>
      <c r="E387" t="s">
        <v>66</v>
      </c>
      <c r="F387" t="s">
        <v>67</v>
      </c>
      <c r="G387" t="s">
        <v>33</v>
      </c>
      <c r="H387">
        <v>62000</v>
      </c>
      <c r="I387">
        <v>0</v>
      </c>
      <c r="J387">
        <v>3</v>
      </c>
      <c r="K387">
        <v>3</v>
      </c>
      <c r="L387" t="s">
        <v>29</v>
      </c>
      <c r="M387" t="s">
        <v>29</v>
      </c>
      <c r="N387" t="s">
        <v>34</v>
      </c>
      <c r="O387" t="s">
        <v>75</v>
      </c>
    </row>
    <row r="388" spans="1:15" x14ac:dyDescent="0.3">
      <c r="A388" t="s">
        <v>580</v>
      </c>
      <c r="B388" t="s">
        <v>166</v>
      </c>
      <c r="C388" t="s">
        <v>17</v>
      </c>
      <c r="D388">
        <v>22</v>
      </c>
      <c r="E388" t="s">
        <v>49</v>
      </c>
      <c r="F388" t="s">
        <v>50</v>
      </c>
      <c r="G388" t="s">
        <v>28</v>
      </c>
      <c r="H388">
        <v>72000</v>
      </c>
      <c r="I388">
        <v>1</v>
      </c>
      <c r="J388">
        <v>2</v>
      </c>
      <c r="K388">
        <v>2</v>
      </c>
      <c r="L388" t="s">
        <v>21</v>
      </c>
      <c r="M388" t="s">
        <v>29</v>
      </c>
      <c r="N388" t="s">
        <v>22</v>
      </c>
      <c r="O388" t="s">
        <v>23</v>
      </c>
    </row>
    <row r="389" spans="1:15" x14ac:dyDescent="0.3">
      <c r="A389" t="s">
        <v>581</v>
      </c>
      <c r="B389" t="s">
        <v>122</v>
      </c>
      <c r="C389" t="s">
        <v>37</v>
      </c>
      <c r="D389">
        <v>43</v>
      </c>
      <c r="E389" t="s">
        <v>41</v>
      </c>
      <c r="F389" t="s">
        <v>42</v>
      </c>
      <c r="G389" t="s">
        <v>33</v>
      </c>
      <c r="H389">
        <v>119000</v>
      </c>
      <c r="I389">
        <v>1</v>
      </c>
      <c r="J389">
        <v>3</v>
      </c>
      <c r="K389">
        <v>3</v>
      </c>
      <c r="L389" t="s">
        <v>21</v>
      </c>
      <c r="M389" t="s">
        <v>29</v>
      </c>
      <c r="N389" t="s">
        <v>22</v>
      </c>
      <c r="O389" t="s">
        <v>43</v>
      </c>
    </row>
    <row r="390" spans="1:15" x14ac:dyDescent="0.3">
      <c r="A390" t="s">
        <v>582</v>
      </c>
      <c r="B390" t="s">
        <v>347</v>
      </c>
      <c r="C390" t="s">
        <v>17</v>
      </c>
      <c r="D390">
        <v>34</v>
      </c>
      <c r="E390" t="s">
        <v>18</v>
      </c>
      <c r="F390" t="s">
        <v>19</v>
      </c>
      <c r="G390" t="s">
        <v>46</v>
      </c>
      <c r="H390">
        <v>118000</v>
      </c>
      <c r="I390">
        <v>7</v>
      </c>
      <c r="J390">
        <v>4</v>
      </c>
      <c r="K390">
        <v>3</v>
      </c>
      <c r="L390" t="s">
        <v>21</v>
      </c>
      <c r="M390" t="s">
        <v>29</v>
      </c>
      <c r="N390" t="s">
        <v>34</v>
      </c>
      <c r="O390" t="s">
        <v>30</v>
      </c>
    </row>
    <row r="391" spans="1:15" x14ac:dyDescent="0.3">
      <c r="A391" t="s">
        <v>583</v>
      </c>
      <c r="B391" t="s">
        <v>448</v>
      </c>
      <c r="C391" t="s">
        <v>37</v>
      </c>
      <c r="D391">
        <v>48</v>
      </c>
      <c r="E391" t="s">
        <v>18</v>
      </c>
      <c r="F391" t="s">
        <v>19</v>
      </c>
      <c r="G391" t="s">
        <v>20</v>
      </c>
      <c r="H391">
        <v>99000</v>
      </c>
      <c r="I391">
        <v>10</v>
      </c>
      <c r="J391">
        <v>4</v>
      </c>
      <c r="K391">
        <v>2</v>
      </c>
      <c r="L391" t="s">
        <v>29</v>
      </c>
      <c r="M391" t="s">
        <v>29</v>
      </c>
      <c r="N391" t="s">
        <v>34</v>
      </c>
      <c r="O391" t="s">
        <v>30</v>
      </c>
    </row>
    <row r="392" spans="1:15" x14ac:dyDescent="0.3">
      <c r="A392" t="s">
        <v>584</v>
      </c>
      <c r="B392" t="s">
        <v>278</v>
      </c>
      <c r="C392" t="s">
        <v>17</v>
      </c>
      <c r="D392">
        <v>22</v>
      </c>
      <c r="E392" t="s">
        <v>49</v>
      </c>
      <c r="F392" t="s">
        <v>27</v>
      </c>
      <c r="G392" t="s">
        <v>46</v>
      </c>
      <c r="H392">
        <v>54000</v>
      </c>
      <c r="I392">
        <v>1</v>
      </c>
      <c r="J392">
        <v>3</v>
      </c>
      <c r="K392">
        <v>4</v>
      </c>
      <c r="L392" t="s">
        <v>21</v>
      </c>
      <c r="M392" t="s">
        <v>29</v>
      </c>
      <c r="N392" t="s">
        <v>22</v>
      </c>
      <c r="O392" t="s">
        <v>51</v>
      </c>
    </row>
    <row r="393" spans="1:15" x14ac:dyDescent="0.3">
      <c r="A393" t="s">
        <v>585</v>
      </c>
      <c r="B393" t="s">
        <v>586</v>
      </c>
      <c r="C393" t="s">
        <v>37</v>
      </c>
      <c r="D393">
        <v>41</v>
      </c>
      <c r="E393" t="s">
        <v>18</v>
      </c>
      <c r="F393" t="s">
        <v>19</v>
      </c>
      <c r="G393" t="s">
        <v>28</v>
      </c>
      <c r="H393">
        <v>62000</v>
      </c>
      <c r="I393">
        <v>4</v>
      </c>
      <c r="J393">
        <v>5</v>
      </c>
      <c r="K393">
        <v>3</v>
      </c>
      <c r="L393" t="s">
        <v>21</v>
      </c>
      <c r="M393" t="s">
        <v>29</v>
      </c>
      <c r="N393" t="s">
        <v>22</v>
      </c>
      <c r="O393" t="s">
        <v>51</v>
      </c>
    </row>
    <row r="394" spans="1:15" x14ac:dyDescent="0.3">
      <c r="A394" t="s">
        <v>587</v>
      </c>
      <c r="B394" t="s">
        <v>176</v>
      </c>
      <c r="C394" t="s">
        <v>37</v>
      </c>
      <c r="D394">
        <v>32</v>
      </c>
      <c r="E394" t="s">
        <v>66</v>
      </c>
      <c r="F394" t="s">
        <v>82</v>
      </c>
      <c r="G394" t="s">
        <v>28</v>
      </c>
      <c r="H394">
        <v>80000</v>
      </c>
      <c r="I394">
        <v>0</v>
      </c>
      <c r="J394">
        <v>5</v>
      </c>
      <c r="K394">
        <v>5</v>
      </c>
      <c r="L394" t="s">
        <v>21</v>
      </c>
      <c r="M394" t="s">
        <v>29</v>
      </c>
      <c r="N394" t="s">
        <v>22</v>
      </c>
      <c r="O394" t="s">
        <v>54</v>
      </c>
    </row>
    <row r="395" spans="1:15" x14ac:dyDescent="0.3">
      <c r="A395" t="s">
        <v>588</v>
      </c>
      <c r="B395" t="s">
        <v>256</v>
      </c>
      <c r="C395" t="s">
        <v>17</v>
      </c>
      <c r="D395">
        <v>44</v>
      </c>
      <c r="E395" t="s">
        <v>49</v>
      </c>
      <c r="F395" t="s">
        <v>50</v>
      </c>
      <c r="G395" t="s">
        <v>46</v>
      </c>
      <c r="H395">
        <v>41000</v>
      </c>
      <c r="I395">
        <v>3</v>
      </c>
      <c r="J395">
        <v>2</v>
      </c>
      <c r="K395">
        <v>1</v>
      </c>
      <c r="L395" t="s">
        <v>21</v>
      </c>
      <c r="M395" t="s">
        <v>29</v>
      </c>
      <c r="N395" t="s">
        <v>22</v>
      </c>
      <c r="O395" t="s">
        <v>75</v>
      </c>
    </row>
    <row r="396" spans="1:15" x14ac:dyDescent="0.3">
      <c r="A396" t="s">
        <v>589</v>
      </c>
      <c r="B396" t="s">
        <v>138</v>
      </c>
      <c r="C396" t="s">
        <v>37</v>
      </c>
      <c r="D396">
        <v>50</v>
      </c>
      <c r="E396" t="s">
        <v>49</v>
      </c>
      <c r="F396" t="s">
        <v>50</v>
      </c>
      <c r="G396" t="s">
        <v>28</v>
      </c>
      <c r="H396">
        <v>83000</v>
      </c>
      <c r="I396">
        <v>18</v>
      </c>
      <c r="J396">
        <v>4</v>
      </c>
      <c r="K396">
        <v>2</v>
      </c>
      <c r="L396" t="s">
        <v>29</v>
      </c>
      <c r="M396" t="s">
        <v>29</v>
      </c>
      <c r="N396" t="s">
        <v>22</v>
      </c>
      <c r="O396" t="s">
        <v>38</v>
      </c>
    </row>
    <row r="397" spans="1:15" x14ac:dyDescent="0.3">
      <c r="A397" t="s">
        <v>590</v>
      </c>
      <c r="B397" t="s">
        <v>32</v>
      </c>
      <c r="C397" t="s">
        <v>37</v>
      </c>
      <c r="D397">
        <v>31</v>
      </c>
      <c r="E397" t="s">
        <v>41</v>
      </c>
      <c r="F397" t="s">
        <v>42</v>
      </c>
      <c r="G397" t="s">
        <v>33</v>
      </c>
      <c r="H397">
        <v>102000</v>
      </c>
      <c r="I397">
        <v>10</v>
      </c>
      <c r="J397">
        <v>5</v>
      </c>
      <c r="K397">
        <v>5</v>
      </c>
      <c r="L397" t="s">
        <v>29</v>
      </c>
      <c r="M397" t="s">
        <v>21</v>
      </c>
      <c r="N397" t="s">
        <v>22</v>
      </c>
      <c r="O397" t="s">
        <v>38</v>
      </c>
    </row>
    <row r="398" spans="1:15" x14ac:dyDescent="0.3">
      <c r="A398" t="s">
        <v>591</v>
      </c>
      <c r="B398" t="s">
        <v>147</v>
      </c>
      <c r="C398" t="s">
        <v>17</v>
      </c>
      <c r="D398">
        <v>37</v>
      </c>
      <c r="E398" t="s">
        <v>26</v>
      </c>
      <c r="F398" t="s">
        <v>50</v>
      </c>
      <c r="G398" t="s">
        <v>28</v>
      </c>
      <c r="H398">
        <v>37000</v>
      </c>
      <c r="I398">
        <v>8</v>
      </c>
      <c r="J398">
        <v>3</v>
      </c>
      <c r="K398">
        <v>4</v>
      </c>
      <c r="L398" t="s">
        <v>29</v>
      </c>
      <c r="M398" t="s">
        <v>29</v>
      </c>
      <c r="N398" t="s">
        <v>34</v>
      </c>
      <c r="O398" t="s">
        <v>70</v>
      </c>
    </row>
    <row r="399" spans="1:15" x14ac:dyDescent="0.3">
      <c r="A399" t="s">
        <v>592</v>
      </c>
      <c r="B399" t="s">
        <v>114</v>
      </c>
      <c r="C399" t="s">
        <v>17</v>
      </c>
      <c r="D399">
        <v>54</v>
      </c>
      <c r="E399" t="s">
        <v>18</v>
      </c>
      <c r="F399" t="s">
        <v>126</v>
      </c>
      <c r="G399" t="s">
        <v>46</v>
      </c>
      <c r="H399">
        <v>39000</v>
      </c>
      <c r="I399">
        <v>13</v>
      </c>
      <c r="J399">
        <v>3</v>
      </c>
      <c r="K399">
        <v>5</v>
      </c>
      <c r="L399" t="s">
        <v>29</v>
      </c>
      <c r="M399" t="s">
        <v>29</v>
      </c>
      <c r="N399" t="s">
        <v>34</v>
      </c>
      <c r="O399" t="s">
        <v>51</v>
      </c>
    </row>
    <row r="400" spans="1:15" x14ac:dyDescent="0.3">
      <c r="A400" t="s">
        <v>593</v>
      </c>
      <c r="B400" t="s">
        <v>278</v>
      </c>
      <c r="C400" t="s">
        <v>17</v>
      </c>
      <c r="D400">
        <v>47</v>
      </c>
      <c r="E400" t="s">
        <v>18</v>
      </c>
      <c r="F400" t="s">
        <v>19</v>
      </c>
      <c r="G400" t="s">
        <v>28</v>
      </c>
      <c r="H400">
        <v>67000</v>
      </c>
      <c r="I400">
        <v>15</v>
      </c>
      <c r="J400">
        <v>5</v>
      </c>
      <c r="K400">
        <v>1</v>
      </c>
      <c r="L400" t="s">
        <v>29</v>
      </c>
      <c r="M400" t="s">
        <v>29</v>
      </c>
      <c r="N400" t="s">
        <v>34</v>
      </c>
      <c r="O400" t="s">
        <v>51</v>
      </c>
    </row>
    <row r="401" spans="1:15" x14ac:dyDescent="0.3">
      <c r="A401" t="s">
        <v>594</v>
      </c>
      <c r="B401" t="s">
        <v>197</v>
      </c>
      <c r="C401" t="s">
        <v>37</v>
      </c>
      <c r="D401">
        <v>22</v>
      </c>
      <c r="E401" t="s">
        <v>26</v>
      </c>
      <c r="F401" t="s">
        <v>27</v>
      </c>
      <c r="G401" t="s">
        <v>33</v>
      </c>
      <c r="H401">
        <v>44000</v>
      </c>
      <c r="I401">
        <v>1</v>
      </c>
      <c r="J401">
        <v>3</v>
      </c>
      <c r="K401">
        <v>3</v>
      </c>
      <c r="L401" t="s">
        <v>29</v>
      </c>
      <c r="M401" t="s">
        <v>29</v>
      </c>
      <c r="N401" t="s">
        <v>34</v>
      </c>
      <c r="O401" t="s">
        <v>51</v>
      </c>
    </row>
    <row r="402" spans="1:15" x14ac:dyDescent="0.3">
      <c r="A402" t="s">
        <v>595</v>
      </c>
      <c r="B402" t="s">
        <v>486</v>
      </c>
      <c r="C402" t="s">
        <v>37</v>
      </c>
      <c r="D402">
        <v>22</v>
      </c>
      <c r="E402" t="s">
        <v>49</v>
      </c>
      <c r="F402" t="s">
        <v>50</v>
      </c>
      <c r="G402" t="s">
        <v>20</v>
      </c>
      <c r="H402">
        <v>66000</v>
      </c>
      <c r="I402">
        <v>1</v>
      </c>
      <c r="J402">
        <v>5</v>
      </c>
      <c r="K402">
        <v>5</v>
      </c>
      <c r="L402" t="s">
        <v>21</v>
      </c>
      <c r="M402" t="s">
        <v>29</v>
      </c>
      <c r="N402" t="s">
        <v>22</v>
      </c>
      <c r="O402" t="s">
        <v>30</v>
      </c>
    </row>
    <row r="403" spans="1:15" x14ac:dyDescent="0.3">
      <c r="A403" t="s">
        <v>596</v>
      </c>
      <c r="B403" t="s">
        <v>586</v>
      </c>
      <c r="C403" t="s">
        <v>37</v>
      </c>
      <c r="D403">
        <v>39</v>
      </c>
      <c r="E403" t="s">
        <v>18</v>
      </c>
      <c r="F403" t="s">
        <v>19</v>
      </c>
      <c r="G403" t="s">
        <v>28</v>
      </c>
      <c r="H403">
        <v>75000</v>
      </c>
      <c r="I403">
        <v>7</v>
      </c>
      <c r="J403">
        <v>2</v>
      </c>
      <c r="K403">
        <v>2</v>
      </c>
      <c r="L403" t="s">
        <v>29</v>
      </c>
      <c r="M403" t="s">
        <v>29</v>
      </c>
      <c r="N403" t="s">
        <v>34</v>
      </c>
      <c r="O403" t="s">
        <v>43</v>
      </c>
    </row>
    <row r="404" spans="1:15" x14ac:dyDescent="0.3">
      <c r="A404" t="s">
        <v>597</v>
      </c>
      <c r="B404" t="s">
        <v>502</v>
      </c>
      <c r="C404" t="s">
        <v>17</v>
      </c>
      <c r="D404">
        <v>47</v>
      </c>
      <c r="E404" t="s">
        <v>49</v>
      </c>
      <c r="F404" t="s">
        <v>27</v>
      </c>
      <c r="G404" t="s">
        <v>28</v>
      </c>
      <c r="H404">
        <v>31000</v>
      </c>
      <c r="I404">
        <v>17</v>
      </c>
      <c r="J404">
        <v>3</v>
      </c>
      <c r="K404">
        <v>4</v>
      </c>
      <c r="L404" t="s">
        <v>29</v>
      </c>
      <c r="M404" t="s">
        <v>29</v>
      </c>
      <c r="N404" t="s">
        <v>22</v>
      </c>
      <c r="O404" t="s">
        <v>75</v>
      </c>
    </row>
    <row r="405" spans="1:15" x14ac:dyDescent="0.3">
      <c r="A405" t="s">
        <v>598</v>
      </c>
      <c r="B405" t="s">
        <v>109</v>
      </c>
      <c r="C405" t="s">
        <v>17</v>
      </c>
      <c r="D405">
        <v>31</v>
      </c>
      <c r="E405" t="s">
        <v>18</v>
      </c>
      <c r="F405" t="s">
        <v>126</v>
      </c>
      <c r="G405" t="s">
        <v>46</v>
      </c>
      <c r="H405">
        <v>99000</v>
      </c>
      <c r="I405">
        <v>10</v>
      </c>
      <c r="J405">
        <v>5</v>
      </c>
      <c r="K405">
        <v>2</v>
      </c>
      <c r="L405" t="s">
        <v>29</v>
      </c>
      <c r="M405" t="s">
        <v>29</v>
      </c>
      <c r="N405" t="s">
        <v>34</v>
      </c>
      <c r="O405" t="s">
        <v>23</v>
      </c>
    </row>
    <row r="406" spans="1:15" x14ac:dyDescent="0.3">
      <c r="A406" t="s">
        <v>599</v>
      </c>
      <c r="B406" t="s">
        <v>162</v>
      </c>
      <c r="C406" t="s">
        <v>37</v>
      </c>
      <c r="D406">
        <v>48</v>
      </c>
      <c r="E406" t="s">
        <v>57</v>
      </c>
      <c r="F406" t="s">
        <v>27</v>
      </c>
      <c r="G406" t="s">
        <v>20</v>
      </c>
      <c r="H406">
        <v>37000</v>
      </c>
      <c r="I406">
        <v>13</v>
      </c>
      <c r="J406">
        <v>3</v>
      </c>
      <c r="K406">
        <v>5</v>
      </c>
      <c r="L406" t="s">
        <v>21</v>
      </c>
      <c r="M406" t="s">
        <v>29</v>
      </c>
      <c r="N406" t="s">
        <v>22</v>
      </c>
      <c r="O406" t="s">
        <v>70</v>
      </c>
    </row>
    <row r="407" spans="1:15" x14ac:dyDescent="0.3">
      <c r="A407" t="s">
        <v>600</v>
      </c>
      <c r="B407" t="s">
        <v>158</v>
      </c>
      <c r="C407" t="s">
        <v>37</v>
      </c>
      <c r="D407">
        <v>35</v>
      </c>
      <c r="E407" t="s">
        <v>57</v>
      </c>
      <c r="F407" t="s">
        <v>27</v>
      </c>
      <c r="G407" t="s">
        <v>46</v>
      </c>
      <c r="H407">
        <v>83000</v>
      </c>
      <c r="I407">
        <v>14</v>
      </c>
      <c r="J407">
        <v>5</v>
      </c>
      <c r="K407">
        <v>2</v>
      </c>
      <c r="L407" t="s">
        <v>21</v>
      </c>
      <c r="M407" t="s">
        <v>29</v>
      </c>
      <c r="N407" t="s">
        <v>22</v>
      </c>
      <c r="O407" t="s">
        <v>70</v>
      </c>
    </row>
    <row r="408" spans="1:15" x14ac:dyDescent="0.3">
      <c r="A408" t="s">
        <v>601</v>
      </c>
      <c r="B408" t="s">
        <v>497</v>
      </c>
      <c r="C408" t="s">
        <v>37</v>
      </c>
      <c r="D408">
        <v>30</v>
      </c>
      <c r="E408" t="s">
        <v>41</v>
      </c>
      <c r="F408" t="s">
        <v>42</v>
      </c>
      <c r="G408" t="s">
        <v>20</v>
      </c>
      <c r="H408">
        <v>92000</v>
      </c>
      <c r="I408">
        <v>9</v>
      </c>
      <c r="J408">
        <v>2</v>
      </c>
      <c r="K408">
        <v>2</v>
      </c>
      <c r="L408" t="s">
        <v>21</v>
      </c>
      <c r="M408" t="s">
        <v>29</v>
      </c>
      <c r="N408" t="s">
        <v>34</v>
      </c>
      <c r="O408" t="s">
        <v>75</v>
      </c>
    </row>
    <row r="409" spans="1:15" x14ac:dyDescent="0.3">
      <c r="A409" t="s">
        <v>602</v>
      </c>
      <c r="B409" t="s">
        <v>330</v>
      </c>
      <c r="C409" t="s">
        <v>17</v>
      </c>
      <c r="D409">
        <v>26</v>
      </c>
      <c r="E409" t="s">
        <v>66</v>
      </c>
      <c r="F409" t="s">
        <v>82</v>
      </c>
      <c r="G409" t="s">
        <v>20</v>
      </c>
      <c r="H409">
        <v>79000</v>
      </c>
      <c r="I409">
        <v>5</v>
      </c>
      <c r="J409">
        <v>3</v>
      </c>
      <c r="K409">
        <v>2</v>
      </c>
      <c r="L409" t="s">
        <v>29</v>
      </c>
      <c r="M409" t="s">
        <v>29</v>
      </c>
      <c r="N409" t="s">
        <v>22</v>
      </c>
      <c r="O409" t="s">
        <v>30</v>
      </c>
    </row>
    <row r="410" spans="1:15" x14ac:dyDescent="0.3">
      <c r="A410" t="s">
        <v>603</v>
      </c>
      <c r="B410" t="s">
        <v>36</v>
      </c>
      <c r="C410" t="s">
        <v>17</v>
      </c>
      <c r="D410">
        <v>30</v>
      </c>
      <c r="E410" t="s">
        <v>26</v>
      </c>
      <c r="F410" t="s">
        <v>27</v>
      </c>
      <c r="G410" t="s">
        <v>28</v>
      </c>
      <c r="H410">
        <v>114000</v>
      </c>
      <c r="I410">
        <v>9</v>
      </c>
      <c r="J410">
        <v>5</v>
      </c>
      <c r="K410">
        <v>2</v>
      </c>
      <c r="L410" t="s">
        <v>29</v>
      </c>
      <c r="M410" t="s">
        <v>29</v>
      </c>
      <c r="N410" t="s">
        <v>34</v>
      </c>
      <c r="O410" t="s">
        <v>30</v>
      </c>
    </row>
    <row r="411" spans="1:15" x14ac:dyDescent="0.3">
      <c r="A411" t="s">
        <v>604</v>
      </c>
      <c r="B411" t="s">
        <v>16</v>
      </c>
      <c r="C411" t="s">
        <v>37</v>
      </c>
      <c r="D411">
        <v>49</v>
      </c>
      <c r="E411" t="s">
        <v>26</v>
      </c>
      <c r="F411" t="s">
        <v>50</v>
      </c>
      <c r="G411" t="s">
        <v>28</v>
      </c>
      <c r="H411">
        <v>110000</v>
      </c>
      <c r="I411">
        <v>10</v>
      </c>
      <c r="J411">
        <v>4</v>
      </c>
      <c r="K411">
        <v>4</v>
      </c>
      <c r="L411" t="s">
        <v>29</v>
      </c>
      <c r="M411" t="s">
        <v>29</v>
      </c>
      <c r="N411" t="s">
        <v>34</v>
      </c>
      <c r="O411" t="s">
        <v>54</v>
      </c>
    </row>
    <row r="412" spans="1:15" x14ac:dyDescent="0.3">
      <c r="A412" t="s">
        <v>605</v>
      </c>
      <c r="B412" t="s">
        <v>207</v>
      </c>
      <c r="C412" t="s">
        <v>37</v>
      </c>
      <c r="D412">
        <v>52</v>
      </c>
      <c r="E412" t="s">
        <v>18</v>
      </c>
      <c r="F412" t="s">
        <v>126</v>
      </c>
      <c r="G412" t="s">
        <v>20</v>
      </c>
      <c r="H412">
        <v>88000</v>
      </c>
      <c r="I412">
        <v>5</v>
      </c>
      <c r="J412">
        <v>4</v>
      </c>
      <c r="K412">
        <v>3</v>
      </c>
      <c r="L412" t="s">
        <v>21</v>
      </c>
      <c r="M412" t="s">
        <v>29</v>
      </c>
      <c r="N412" t="s">
        <v>34</v>
      </c>
      <c r="O412" t="s">
        <v>43</v>
      </c>
    </row>
    <row r="413" spans="1:15" x14ac:dyDescent="0.3">
      <c r="A413" t="s">
        <v>606</v>
      </c>
      <c r="B413" t="s">
        <v>48</v>
      </c>
      <c r="C413" t="s">
        <v>37</v>
      </c>
      <c r="D413">
        <v>34</v>
      </c>
      <c r="E413" t="s">
        <v>57</v>
      </c>
      <c r="F413" t="s">
        <v>27</v>
      </c>
      <c r="G413" t="s">
        <v>20</v>
      </c>
      <c r="H413">
        <v>65000</v>
      </c>
      <c r="I413">
        <v>3</v>
      </c>
      <c r="J413">
        <v>2</v>
      </c>
      <c r="K413">
        <v>5</v>
      </c>
      <c r="L413" t="s">
        <v>29</v>
      </c>
      <c r="M413" t="s">
        <v>29</v>
      </c>
      <c r="N413" t="s">
        <v>34</v>
      </c>
      <c r="O413" t="s">
        <v>51</v>
      </c>
    </row>
    <row r="414" spans="1:15" x14ac:dyDescent="0.3">
      <c r="A414" t="s">
        <v>607</v>
      </c>
      <c r="B414" t="s">
        <v>608</v>
      </c>
      <c r="C414" t="s">
        <v>17</v>
      </c>
      <c r="D414">
        <v>37</v>
      </c>
      <c r="E414" t="s">
        <v>57</v>
      </c>
      <c r="F414" t="s">
        <v>50</v>
      </c>
      <c r="G414" t="s">
        <v>20</v>
      </c>
      <c r="H414">
        <v>94000</v>
      </c>
      <c r="I414">
        <v>1</v>
      </c>
      <c r="J414">
        <v>2</v>
      </c>
      <c r="K414">
        <v>1</v>
      </c>
      <c r="L414" t="s">
        <v>29</v>
      </c>
      <c r="M414" t="s">
        <v>29</v>
      </c>
      <c r="N414" t="s">
        <v>34</v>
      </c>
      <c r="O414" t="s">
        <v>30</v>
      </c>
    </row>
    <row r="415" spans="1:15" x14ac:dyDescent="0.3">
      <c r="A415" t="s">
        <v>609</v>
      </c>
      <c r="B415" t="s">
        <v>90</v>
      </c>
      <c r="C415" t="s">
        <v>37</v>
      </c>
      <c r="D415">
        <v>26</v>
      </c>
      <c r="E415" t="s">
        <v>41</v>
      </c>
      <c r="F415" t="s">
        <v>42</v>
      </c>
      <c r="G415" t="s">
        <v>46</v>
      </c>
      <c r="H415">
        <v>101000</v>
      </c>
      <c r="I415">
        <v>5</v>
      </c>
      <c r="J415">
        <v>4</v>
      </c>
      <c r="K415">
        <v>1</v>
      </c>
      <c r="L415" t="s">
        <v>29</v>
      </c>
      <c r="M415" t="s">
        <v>29</v>
      </c>
      <c r="N415" t="s">
        <v>34</v>
      </c>
      <c r="O415" t="s">
        <v>30</v>
      </c>
    </row>
    <row r="416" spans="1:15" x14ac:dyDescent="0.3">
      <c r="A416" t="s">
        <v>610</v>
      </c>
      <c r="B416" t="s">
        <v>84</v>
      </c>
      <c r="C416" t="s">
        <v>37</v>
      </c>
      <c r="D416">
        <v>25</v>
      </c>
      <c r="E416" t="s">
        <v>49</v>
      </c>
      <c r="F416" t="s">
        <v>50</v>
      </c>
      <c r="G416" t="s">
        <v>33</v>
      </c>
      <c r="H416">
        <v>57000</v>
      </c>
      <c r="I416">
        <v>2</v>
      </c>
      <c r="J416">
        <v>4</v>
      </c>
      <c r="K416">
        <v>1</v>
      </c>
      <c r="L416" t="s">
        <v>21</v>
      </c>
      <c r="M416" t="s">
        <v>21</v>
      </c>
      <c r="N416" t="s">
        <v>22</v>
      </c>
      <c r="O416" t="s">
        <v>70</v>
      </c>
    </row>
    <row r="417" spans="1:15" x14ac:dyDescent="0.3">
      <c r="A417" t="s">
        <v>611</v>
      </c>
      <c r="B417" t="s">
        <v>238</v>
      </c>
      <c r="C417" t="s">
        <v>17</v>
      </c>
      <c r="D417">
        <v>48</v>
      </c>
      <c r="E417" t="s">
        <v>49</v>
      </c>
      <c r="F417" t="s">
        <v>50</v>
      </c>
      <c r="G417" t="s">
        <v>28</v>
      </c>
      <c r="H417">
        <v>77000</v>
      </c>
      <c r="I417">
        <v>3</v>
      </c>
      <c r="J417">
        <v>5</v>
      </c>
      <c r="K417">
        <v>4</v>
      </c>
      <c r="L417" t="s">
        <v>21</v>
      </c>
      <c r="M417" t="s">
        <v>29</v>
      </c>
      <c r="N417" t="s">
        <v>34</v>
      </c>
      <c r="O417" t="s">
        <v>75</v>
      </c>
    </row>
    <row r="418" spans="1:15" x14ac:dyDescent="0.3">
      <c r="A418" t="s">
        <v>612</v>
      </c>
      <c r="B418" t="s">
        <v>53</v>
      </c>
      <c r="C418" t="s">
        <v>17</v>
      </c>
      <c r="D418">
        <v>32</v>
      </c>
      <c r="E418" t="s">
        <v>66</v>
      </c>
      <c r="F418" t="s">
        <v>82</v>
      </c>
      <c r="G418" t="s">
        <v>46</v>
      </c>
      <c r="H418">
        <v>46000</v>
      </c>
      <c r="I418">
        <v>11</v>
      </c>
      <c r="J418">
        <v>5</v>
      </c>
      <c r="K418">
        <v>3</v>
      </c>
      <c r="L418" t="s">
        <v>21</v>
      </c>
      <c r="M418" t="s">
        <v>29</v>
      </c>
      <c r="N418" t="s">
        <v>22</v>
      </c>
      <c r="O418" t="s">
        <v>75</v>
      </c>
    </row>
    <row r="419" spans="1:15" x14ac:dyDescent="0.3">
      <c r="A419" t="s">
        <v>613</v>
      </c>
      <c r="B419" t="s">
        <v>269</v>
      </c>
      <c r="C419" t="s">
        <v>17</v>
      </c>
      <c r="D419">
        <v>34</v>
      </c>
      <c r="E419" t="s">
        <v>41</v>
      </c>
      <c r="F419" t="s">
        <v>42</v>
      </c>
      <c r="G419" t="s">
        <v>33</v>
      </c>
      <c r="H419">
        <v>77000</v>
      </c>
      <c r="I419">
        <v>12</v>
      </c>
      <c r="J419">
        <v>4</v>
      </c>
      <c r="K419">
        <v>2</v>
      </c>
      <c r="L419" t="s">
        <v>29</v>
      </c>
      <c r="M419" t="s">
        <v>29</v>
      </c>
      <c r="N419" t="s">
        <v>34</v>
      </c>
      <c r="O419" t="s">
        <v>54</v>
      </c>
    </row>
    <row r="420" spans="1:15" x14ac:dyDescent="0.3">
      <c r="A420" t="s">
        <v>614</v>
      </c>
      <c r="B420" t="s">
        <v>320</v>
      </c>
      <c r="C420" t="s">
        <v>17</v>
      </c>
      <c r="D420">
        <v>28</v>
      </c>
      <c r="E420" t="s">
        <v>57</v>
      </c>
      <c r="F420" t="s">
        <v>50</v>
      </c>
      <c r="G420" t="s">
        <v>33</v>
      </c>
      <c r="H420">
        <v>52000</v>
      </c>
      <c r="I420">
        <v>4</v>
      </c>
      <c r="J420">
        <v>2</v>
      </c>
      <c r="K420">
        <v>2</v>
      </c>
      <c r="L420" t="s">
        <v>21</v>
      </c>
      <c r="M420" t="s">
        <v>29</v>
      </c>
      <c r="N420" t="s">
        <v>34</v>
      </c>
      <c r="O420" t="s">
        <v>23</v>
      </c>
    </row>
    <row r="421" spans="1:15" x14ac:dyDescent="0.3">
      <c r="A421" t="s">
        <v>615</v>
      </c>
      <c r="B421" t="s">
        <v>302</v>
      </c>
      <c r="C421" t="s">
        <v>37</v>
      </c>
      <c r="D421">
        <v>32</v>
      </c>
      <c r="E421" t="s">
        <v>66</v>
      </c>
      <c r="F421" t="s">
        <v>82</v>
      </c>
      <c r="G421" t="s">
        <v>20</v>
      </c>
      <c r="H421">
        <v>75000</v>
      </c>
      <c r="I421">
        <v>0</v>
      </c>
      <c r="J421">
        <v>2</v>
      </c>
      <c r="K421">
        <v>1</v>
      </c>
      <c r="L421" t="s">
        <v>29</v>
      </c>
      <c r="M421" t="s">
        <v>29</v>
      </c>
      <c r="N421" t="s">
        <v>34</v>
      </c>
      <c r="O421" t="s">
        <v>75</v>
      </c>
    </row>
    <row r="422" spans="1:15" x14ac:dyDescent="0.3">
      <c r="A422" t="s">
        <v>616</v>
      </c>
      <c r="B422" t="s">
        <v>397</v>
      </c>
      <c r="C422" t="s">
        <v>17</v>
      </c>
      <c r="D422">
        <v>29</v>
      </c>
      <c r="E422" t="s">
        <v>18</v>
      </c>
      <c r="F422" t="s">
        <v>126</v>
      </c>
      <c r="G422" t="s">
        <v>33</v>
      </c>
      <c r="H422">
        <v>62000</v>
      </c>
      <c r="I422">
        <v>8</v>
      </c>
      <c r="J422">
        <v>3</v>
      </c>
      <c r="K422">
        <v>5</v>
      </c>
      <c r="L422" t="s">
        <v>29</v>
      </c>
      <c r="M422" t="s">
        <v>29</v>
      </c>
      <c r="N422" t="s">
        <v>34</v>
      </c>
      <c r="O422" t="s">
        <v>75</v>
      </c>
    </row>
    <row r="423" spans="1:15" x14ac:dyDescent="0.3">
      <c r="A423" t="s">
        <v>617</v>
      </c>
      <c r="B423" t="s">
        <v>618</v>
      </c>
      <c r="C423" t="s">
        <v>37</v>
      </c>
      <c r="D423">
        <v>37</v>
      </c>
      <c r="E423" t="s">
        <v>18</v>
      </c>
      <c r="F423" t="s">
        <v>19</v>
      </c>
      <c r="G423" t="s">
        <v>28</v>
      </c>
      <c r="H423">
        <v>115000</v>
      </c>
      <c r="I423">
        <v>16</v>
      </c>
      <c r="J423">
        <v>2</v>
      </c>
      <c r="K423">
        <v>5</v>
      </c>
      <c r="L423" t="s">
        <v>29</v>
      </c>
      <c r="M423" t="s">
        <v>29</v>
      </c>
      <c r="N423" t="s">
        <v>34</v>
      </c>
      <c r="O423" t="s">
        <v>30</v>
      </c>
    </row>
    <row r="424" spans="1:15" x14ac:dyDescent="0.3">
      <c r="A424" t="s">
        <v>619</v>
      </c>
      <c r="B424" t="s">
        <v>328</v>
      </c>
      <c r="C424" t="s">
        <v>17</v>
      </c>
      <c r="D424">
        <v>23</v>
      </c>
      <c r="E424" t="s">
        <v>57</v>
      </c>
      <c r="F424" t="s">
        <v>27</v>
      </c>
      <c r="G424" t="s">
        <v>33</v>
      </c>
      <c r="H424">
        <v>120000</v>
      </c>
      <c r="I424">
        <v>2</v>
      </c>
      <c r="J424">
        <v>2</v>
      </c>
      <c r="K424">
        <v>2</v>
      </c>
      <c r="L424" t="s">
        <v>21</v>
      </c>
      <c r="M424" t="s">
        <v>21</v>
      </c>
      <c r="N424" t="s">
        <v>34</v>
      </c>
      <c r="O424" t="s">
        <v>38</v>
      </c>
    </row>
    <row r="425" spans="1:15" x14ac:dyDescent="0.3">
      <c r="A425" t="s">
        <v>620</v>
      </c>
      <c r="B425" t="s">
        <v>77</v>
      </c>
      <c r="C425" t="s">
        <v>37</v>
      </c>
      <c r="D425">
        <v>38</v>
      </c>
      <c r="E425" t="s">
        <v>41</v>
      </c>
      <c r="F425" t="s">
        <v>42</v>
      </c>
      <c r="G425" t="s">
        <v>33</v>
      </c>
      <c r="H425">
        <v>84000</v>
      </c>
      <c r="I425">
        <v>15</v>
      </c>
      <c r="J425">
        <v>2</v>
      </c>
      <c r="K425">
        <v>5</v>
      </c>
      <c r="L425" t="s">
        <v>29</v>
      </c>
      <c r="M425" t="s">
        <v>29</v>
      </c>
      <c r="N425" t="s">
        <v>34</v>
      </c>
      <c r="O425" t="s">
        <v>54</v>
      </c>
    </row>
    <row r="426" spans="1:15" x14ac:dyDescent="0.3">
      <c r="A426" t="s">
        <v>621</v>
      </c>
      <c r="B426" t="s">
        <v>357</v>
      </c>
      <c r="C426" t="s">
        <v>37</v>
      </c>
      <c r="D426">
        <v>42</v>
      </c>
      <c r="E426" t="s">
        <v>41</v>
      </c>
      <c r="F426" t="s">
        <v>42</v>
      </c>
      <c r="G426" t="s">
        <v>33</v>
      </c>
      <c r="H426">
        <v>44000</v>
      </c>
      <c r="I426">
        <v>5</v>
      </c>
      <c r="J426">
        <v>3</v>
      </c>
      <c r="K426">
        <v>2</v>
      </c>
      <c r="L426" t="s">
        <v>29</v>
      </c>
      <c r="M426" t="s">
        <v>29</v>
      </c>
      <c r="N426" t="s">
        <v>34</v>
      </c>
      <c r="O426" t="s">
        <v>38</v>
      </c>
    </row>
    <row r="427" spans="1:15" x14ac:dyDescent="0.3">
      <c r="A427" t="s">
        <v>622</v>
      </c>
      <c r="B427" t="s">
        <v>282</v>
      </c>
      <c r="C427" t="s">
        <v>17</v>
      </c>
      <c r="D427">
        <v>46</v>
      </c>
      <c r="E427" t="s">
        <v>57</v>
      </c>
      <c r="F427" t="s">
        <v>50</v>
      </c>
      <c r="G427" t="s">
        <v>46</v>
      </c>
      <c r="H427">
        <v>117000</v>
      </c>
      <c r="I427">
        <v>6</v>
      </c>
      <c r="J427">
        <v>4</v>
      </c>
      <c r="K427">
        <v>4</v>
      </c>
      <c r="L427" t="s">
        <v>21</v>
      </c>
      <c r="M427" t="s">
        <v>29</v>
      </c>
      <c r="N427" t="s">
        <v>34</v>
      </c>
      <c r="O427" t="s">
        <v>23</v>
      </c>
    </row>
    <row r="428" spans="1:15" x14ac:dyDescent="0.3">
      <c r="A428" t="s">
        <v>623</v>
      </c>
      <c r="B428" t="s">
        <v>381</v>
      </c>
      <c r="C428" t="s">
        <v>37</v>
      </c>
      <c r="D428">
        <v>49</v>
      </c>
      <c r="E428" t="s">
        <v>57</v>
      </c>
      <c r="F428" t="s">
        <v>50</v>
      </c>
      <c r="G428" t="s">
        <v>28</v>
      </c>
      <c r="H428">
        <v>67000</v>
      </c>
      <c r="I428">
        <v>10</v>
      </c>
      <c r="J428">
        <v>3</v>
      </c>
      <c r="K428">
        <v>5</v>
      </c>
      <c r="L428" t="s">
        <v>29</v>
      </c>
      <c r="M428" t="s">
        <v>29</v>
      </c>
      <c r="N428" t="s">
        <v>34</v>
      </c>
      <c r="O428" t="s">
        <v>38</v>
      </c>
    </row>
    <row r="429" spans="1:15" x14ac:dyDescent="0.3">
      <c r="A429" t="s">
        <v>624</v>
      </c>
      <c r="B429" t="s">
        <v>625</v>
      </c>
      <c r="C429" t="s">
        <v>17</v>
      </c>
      <c r="D429">
        <v>29</v>
      </c>
      <c r="E429" t="s">
        <v>41</v>
      </c>
      <c r="F429" t="s">
        <v>73</v>
      </c>
      <c r="G429" t="s">
        <v>46</v>
      </c>
      <c r="H429">
        <v>108000</v>
      </c>
      <c r="I429">
        <v>8</v>
      </c>
      <c r="J429">
        <v>3</v>
      </c>
      <c r="K429">
        <v>2</v>
      </c>
      <c r="L429" t="s">
        <v>21</v>
      </c>
      <c r="M429" t="s">
        <v>21</v>
      </c>
      <c r="N429" t="s">
        <v>22</v>
      </c>
      <c r="O429" t="s">
        <v>54</v>
      </c>
    </row>
    <row r="430" spans="1:15" x14ac:dyDescent="0.3">
      <c r="A430" t="s">
        <v>626</v>
      </c>
      <c r="B430" t="s">
        <v>207</v>
      </c>
      <c r="C430" t="s">
        <v>17</v>
      </c>
      <c r="D430">
        <v>38</v>
      </c>
      <c r="E430" t="s">
        <v>18</v>
      </c>
      <c r="F430" t="s">
        <v>126</v>
      </c>
      <c r="G430" t="s">
        <v>20</v>
      </c>
      <c r="H430">
        <v>63000</v>
      </c>
      <c r="I430">
        <v>0</v>
      </c>
      <c r="J430">
        <v>3</v>
      </c>
      <c r="K430">
        <v>3</v>
      </c>
      <c r="L430" t="s">
        <v>29</v>
      </c>
      <c r="M430" t="s">
        <v>29</v>
      </c>
      <c r="N430" t="s">
        <v>34</v>
      </c>
      <c r="O430" t="s">
        <v>38</v>
      </c>
    </row>
    <row r="431" spans="1:15" x14ac:dyDescent="0.3">
      <c r="A431" t="s">
        <v>627</v>
      </c>
      <c r="B431" t="s">
        <v>486</v>
      </c>
      <c r="C431" t="s">
        <v>17</v>
      </c>
      <c r="D431">
        <v>31</v>
      </c>
      <c r="E431" t="s">
        <v>66</v>
      </c>
      <c r="F431" t="s">
        <v>67</v>
      </c>
      <c r="G431" t="s">
        <v>28</v>
      </c>
      <c r="H431">
        <v>101000</v>
      </c>
      <c r="I431">
        <v>3</v>
      </c>
      <c r="J431">
        <v>4</v>
      </c>
      <c r="K431">
        <v>2</v>
      </c>
      <c r="L431" t="s">
        <v>29</v>
      </c>
      <c r="M431" t="s">
        <v>29</v>
      </c>
      <c r="N431" t="s">
        <v>22</v>
      </c>
      <c r="O431" t="s">
        <v>43</v>
      </c>
    </row>
    <row r="432" spans="1:15" x14ac:dyDescent="0.3">
      <c r="A432" t="s">
        <v>628</v>
      </c>
      <c r="B432" t="s">
        <v>25</v>
      </c>
      <c r="C432" t="s">
        <v>17</v>
      </c>
      <c r="D432">
        <v>34</v>
      </c>
      <c r="E432" t="s">
        <v>18</v>
      </c>
      <c r="F432" t="s">
        <v>19</v>
      </c>
      <c r="G432" t="s">
        <v>33</v>
      </c>
      <c r="H432">
        <v>72000</v>
      </c>
      <c r="I432">
        <v>13</v>
      </c>
      <c r="J432">
        <v>4</v>
      </c>
      <c r="K432">
        <v>3</v>
      </c>
      <c r="L432" t="s">
        <v>29</v>
      </c>
      <c r="M432" t="s">
        <v>29</v>
      </c>
      <c r="N432" t="s">
        <v>34</v>
      </c>
      <c r="O432" t="s">
        <v>75</v>
      </c>
    </row>
    <row r="433" spans="1:15" x14ac:dyDescent="0.3">
      <c r="A433" t="s">
        <v>629</v>
      </c>
      <c r="B433" t="s">
        <v>188</v>
      </c>
      <c r="C433" t="s">
        <v>17</v>
      </c>
      <c r="D433">
        <v>29</v>
      </c>
      <c r="E433" t="s">
        <v>49</v>
      </c>
      <c r="F433" t="s">
        <v>27</v>
      </c>
      <c r="G433" t="s">
        <v>46</v>
      </c>
      <c r="H433">
        <v>72000</v>
      </c>
      <c r="I433">
        <v>8</v>
      </c>
      <c r="J433">
        <v>5</v>
      </c>
      <c r="K433">
        <v>2</v>
      </c>
      <c r="L433" t="s">
        <v>21</v>
      </c>
      <c r="M433" t="s">
        <v>29</v>
      </c>
      <c r="N433" t="s">
        <v>22</v>
      </c>
      <c r="O433" t="s">
        <v>75</v>
      </c>
    </row>
    <row r="434" spans="1:15" x14ac:dyDescent="0.3">
      <c r="A434" t="s">
        <v>630</v>
      </c>
      <c r="B434" t="s">
        <v>273</v>
      </c>
      <c r="C434" t="s">
        <v>37</v>
      </c>
      <c r="D434">
        <v>29</v>
      </c>
      <c r="E434" t="s">
        <v>66</v>
      </c>
      <c r="F434" t="s">
        <v>67</v>
      </c>
      <c r="G434" t="s">
        <v>28</v>
      </c>
      <c r="H434">
        <v>104000</v>
      </c>
      <c r="I434">
        <v>8</v>
      </c>
      <c r="J434">
        <v>3</v>
      </c>
      <c r="K434">
        <v>4</v>
      </c>
      <c r="L434" t="s">
        <v>21</v>
      </c>
      <c r="M434" t="s">
        <v>29</v>
      </c>
      <c r="N434" t="s">
        <v>34</v>
      </c>
      <c r="O434" t="s">
        <v>23</v>
      </c>
    </row>
    <row r="435" spans="1:15" x14ac:dyDescent="0.3">
      <c r="A435" t="s">
        <v>631</v>
      </c>
      <c r="B435" t="s">
        <v>244</v>
      </c>
      <c r="C435" t="s">
        <v>37</v>
      </c>
      <c r="D435">
        <v>36</v>
      </c>
      <c r="E435" t="s">
        <v>18</v>
      </c>
      <c r="F435" t="s">
        <v>19</v>
      </c>
      <c r="G435" t="s">
        <v>28</v>
      </c>
      <c r="H435">
        <v>112000</v>
      </c>
      <c r="I435">
        <v>7</v>
      </c>
      <c r="J435">
        <v>4</v>
      </c>
      <c r="K435">
        <v>5</v>
      </c>
      <c r="L435" t="s">
        <v>21</v>
      </c>
      <c r="M435" t="s">
        <v>29</v>
      </c>
      <c r="N435" t="s">
        <v>34</v>
      </c>
      <c r="O435" t="s">
        <v>38</v>
      </c>
    </row>
    <row r="436" spans="1:15" x14ac:dyDescent="0.3">
      <c r="A436" t="s">
        <v>632</v>
      </c>
      <c r="B436" t="s">
        <v>633</v>
      </c>
      <c r="C436" t="s">
        <v>17</v>
      </c>
      <c r="D436">
        <v>52</v>
      </c>
      <c r="E436" t="s">
        <v>18</v>
      </c>
      <c r="F436" t="s">
        <v>19</v>
      </c>
      <c r="G436" t="s">
        <v>33</v>
      </c>
      <c r="H436">
        <v>70000</v>
      </c>
      <c r="I436">
        <v>6</v>
      </c>
      <c r="J436">
        <v>2</v>
      </c>
      <c r="K436">
        <v>1</v>
      </c>
      <c r="L436" t="s">
        <v>21</v>
      </c>
      <c r="M436" t="s">
        <v>21</v>
      </c>
      <c r="N436" t="s">
        <v>22</v>
      </c>
      <c r="O436" t="s">
        <v>38</v>
      </c>
    </row>
    <row r="437" spans="1:15" x14ac:dyDescent="0.3">
      <c r="A437" t="s">
        <v>634</v>
      </c>
      <c r="B437" t="s">
        <v>199</v>
      </c>
      <c r="C437" t="s">
        <v>17</v>
      </c>
      <c r="D437">
        <v>26</v>
      </c>
      <c r="E437" t="s">
        <v>49</v>
      </c>
      <c r="F437" t="s">
        <v>50</v>
      </c>
      <c r="G437" t="s">
        <v>28</v>
      </c>
      <c r="H437">
        <v>63000</v>
      </c>
      <c r="I437">
        <v>5</v>
      </c>
      <c r="J437">
        <v>2</v>
      </c>
      <c r="K437">
        <v>1</v>
      </c>
      <c r="L437" t="s">
        <v>21</v>
      </c>
      <c r="M437" t="s">
        <v>21</v>
      </c>
      <c r="N437" t="s">
        <v>22</v>
      </c>
      <c r="O437" t="s">
        <v>23</v>
      </c>
    </row>
    <row r="438" spans="1:15" x14ac:dyDescent="0.3">
      <c r="A438" t="s">
        <v>635</v>
      </c>
      <c r="B438" t="s">
        <v>217</v>
      </c>
      <c r="C438" t="s">
        <v>37</v>
      </c>
      <c r="D438">
        <v>46</v>
      </c>
      <c r="E438" t="s">
        <v>66</v>
      </c>
      <c r="F438" t="s">
        <v>82</v>
      </c>
      <c r="G438" t="s">
        <v>20</v>
      </c>
      <c r="H438">
        <v>44000</v>
      </c>
      <c r="I438">
        <v>16</v>
      </c>
      <c r="J438">
        <v>4</v>
      </c>
      <c r="K438">
        <v>3</v>
      </c>
      <c r="L438" t="s">
        <v>21</v>
      </c>
      <c r="M438" t="s">
        <v>29</v>
      </c>
      <c r="N438" t="s">
        <v>22</v>
      </c>
      <c r="O438" t="s">
        <v>23</v>
      </c>
    </row>
    <row r="439" spans="1:15" x14ac:dyDescent="0.3">
      <c r="A439" t="s">
        <v>636</v>
      </c>
      <c r="B439" t="s">
        <v>94</v>
      </c>
      <c r="C439" t="s">
        <v>17</v>
      </c>
      <c r="D439">
        <v>41</v>
      </c>
      <c r="E439" t="s">
        <v>57</v>
      </c>
      <c r="F439" t="s">
        <v>27</v>
      </c>
      <c r="G439" t="s">
        <v>20</v>
      </c>
      <c r="H439">
        <v>71000</v>
      </c>
      <c r="I439">
        <v>5</v>
      </c>
      <c r="J439">
        <v>3</v>
      </c>
      <c r="K439">
        <v>4</v>
      </c>
      <c r="L439" t="s">
        <v>21</v>
      </c>
      <c r="M439" t="s">
        <v>29</v>
      </c>
      <c r="N439" t="s">
        <v>34</v>
      </c>
      <c r="O439" t="s">
        <v>23</v>
      </c>
    </row>
    <row r="440" spans="1:15" x14ac:dyDescent="0.3">
      <c r="A440" t="s">
        <v>637</v>
      </c>
      <c r="B440" t="s">
        <v>397</v>
      </c>
      <c r="C440" t="s">
        <v>37</v>
      </c>
      <c r="D440">
        <v>47</v>
      </c>
      <c r="E440" t="s">
        <v>66</v>
      </c>
      <c r="F440" t="s">
        <v>67</v>
      </c>
      <c r="G440" t="s">
        <v>33</v>
      </c>
      <c r="H440">
        <v>85000</v>
      </c>
      <c r="I440">
        <v>1</v>
      </c>
      <c r="J440">
        <v>5</v>
      </c>
      <c r="K440">
        <v>1</v>
      </c>
      <c r="L440" t="s">
        <v>29</v>
      </c>
      <c r="M440" t="s">
        <v>21</v>
      </c>
      <c r="N440" t="s">
        <v>34</v>
      </c>
      <c r="O440" t="s">
        <v>43</v>
      </c>
    </row>
    <row r="441" spans="1:15" x14ac:dyDescent="0.3">
      <c r="A441" t="s">
        <v>638</v>
      </c>
      <c r="B441" t="s">
        <v>372</v>
      </c>
      <c r="C441" t="s">
        <v>17</v>
      </c>
      <c r="D441">
        <v>37</v>
      </c>
      <c r="E441" t="s">
        <v>26</v>
      </c>
      <c r="F441" t="s">
        <v>50</v>
      </c>
      <c r="G441" t="s">
        <v>28</v>
      </c>
      <c r="H441">
        <v>89000</v>
      </c>
      <c r="I441">
        <v>14</v>
      </c>
      <c r="J441">
        <v>3</v>
      </c>
      <c r="K441">
        <v>3</v>
      </c>
      <c r="L441" t="s">
        <v>29</v>
      </c>
      <c r="M441" t="s">
        <v>29</v>
      </c>
      <c r="N441" t="s">
        <v>34</v>
      </c>
      <c r="O441" t="s">
        <v>51</v>
      </c>
    </row>
    <row r="442" spans="1:15" x14ac:dyDescent="0.3">
      <c r="A442" t="s">
        <v>639</v>
      </c>
      <c r="B442" t="s">
        <v>263</v>
      </c>
      <c r="C442" t="s">
        <v>17</v>
      </c>
      <c r="D442">
        <v>55</v>
      </c>
      <c r="E442" t="s">
        <v>66</v>
      </c>
      <c r="F442" t="s">
        <v>82</v>
      </c>
      <c r="G442" t="s">
        <v>46</v>
      </c>
      <c r="H442">
        <v>87000</v>
      </c>
      <c r="I442">
        <v>6</v>
      </c>
      <c r="J442">
        <v>4</v>
      </c>
      <c r="K442">
        <v>5</v>
      </c>
      <c r="L442" t="s">
        <v>21</v>
      </c>
      <c r="M442" t="s">
        <v>21</v>
      </c>
      <c r="N442" t="s">
        <v>22</v>
      </c>
      <c r="O442" t="s">
        <v>30</v>
      </c>
    </row>
    <row r="443" spans="1:15" x14ac:dyDescent="0.3">
      <c r="A443" t="s">
        <v>640</v>
      </c>
      <c r="B443" t="s">
        <v>529</v>
      </c>
      <c r="C443" t="s">
        <v>17</v>
      </c>
      <c r="D443">
        <v>23</v>
      </c>
      <c r="E443" t="s">
        <v>66</v>
      </c>
      <c r="F443" t="s">
        <v>82</v>
      </c>
      <c r="G443" t="s">
        <v>33</v>
      </c>
      <c r="H443">
        <v>87000</v>
      </c>
      <c r="I443">
        <v>2</v>
      </c>
      <c r="J443">
        <v>4</v>
      </c>
      <c r="K443">
        <v>4</v>
      </c>
      <c r="L443" t="s">
        <v>21</v>
      </c>
      <c r="M443" t="s">
        <v>29</v>
      </c>
      <c r="N443" t="s">
        <v>22</v>
      </c>
      <c r="O443" t="s">
        <v>30</v>
      </c>
    </row>
    <row r="444" spans="1:15" x14ac:dyDescent="0.3">
      <c r="A444" t="s">
        <v>641</v>
      </c>
      <c r="B444" t="s">
        <v>642</v>
      </c>
      <c r="C444" t="s">
        <v>37</v>
      </c>
      <c r="D444">
        <v>24</v>
      </c>
      <c r="E444" t="s">
        <v>57</v>
      </c>
      <c r="F444" t="s">
        <v>50</v>
      </c>
      <c r="G444" t="s">
        <v>20</v>
      </c>
      <c r="H444">
        <v>35000</v>
      </c>
      <c r="I444">
        <v>2</v>
      </c>
      <c r="J444">
        <v>5</v>
      </c>
      <c r="K444">
        <v>2</v>
      </c>
      <c r="L444" t="s">
        <v>21</v>
      </c>
      <c r="M444" t="s">
        <v>21</v>
      </c>
      <c r="N444" t="s">
        <v>22</v>
      </c>
      <c r="O444" t="s">
        <v>51</v>
      </c>
    </row>
    <row r="445" spans="1:15" x14ac:dyDescent="0.3">
      <c r="A445" t="s">
        <v>643</v>
      </c>
      <c r="B445" t="s">
        <v>194</v>
      </c>
      <c r="C445" t="s">
        <v>17</v>
      </c>
      <c r="D445">
        <v>40</v>
      </c>
      <c r="E445" t="s">
        <v>49</v>
      </c>
      <c r="F445" t="s">
        <v>27</v>
      </c>
      <c r="G445" t="s">
        <v>46</v>
      </c>
      <c r="H445">
        <v>114000</v>
      </c>
      <c r="I445">
        <v>5</v>
      </c>
      <c r="J445">
        <v>4</v>
      </c>
      <c r="K445">
        <v>3</v>
      </c>
      <c r="L445" t="s">
        <v>21</v>
      </c>
      <c r="M445" t="s">
        <v>29</v>
      </c>
      <c r="N445" t="s">
        <v>22</v>
      </c>
      <c r="O445" t="s">
        <v>43</v>
      </c>
    </row>
    <row r="446" spans="1:15" x14ac:dyDescent="0.3">
      <c r="A446" t="s">
        <v>644</v>
      </c>
      <c r="B446" t="s">
        <v>372</v>
      </c>
      <c r="C446" t="s">
        <v>17</v>
      </c>
      <c r="D446">
        <v>23</v>
      </c>
      <c r="E446" t="s">
        <v>41</v>
      </c>
      <c r="F446" t="s">
        <v>42</v>
      </c>
      <c r="G446" t="s">
        <v>20</v>
      </c>
      <c r="H446">
        <v>26000</v>
      </c>
      <c r="I446">
        <v>2</v>
      </c>
      <c r="J446">
        <v>2</v>
      </c>
      <c r="K446">
        <v>4</v>
      </c>
      <c r="L446" t="s">
        <v>21</v>
      </c>
      <c r="M446" t="s">
        <v>29</v>
      </c>
      <c r="N446" t="s">
        <v>22</v>
      </c>
      <c r="O446" t="s">
        <v>54</v>
      </c>
    </row>
    <row r="447" spans="1:15" x14ac:dyDescent="0.3">
      <c r="A447" t="s">
        <v>645</v>
      </c>
      <c r="B447" t="s">
        <v>125</v>
      </c>
      <c r="C447" t="s">
        <v>37</v>
      </c>
      <c r="D447">
        <v>26</v>
      </c>
      <c r="E447" t="s">
        <v>26</v>
      </c>
      <c r="F447" t="s">
        <v>50</v>
      </c>
      <c r="G447" t="s">
        <v>33</v>
      </c>
      <c r="H447">
        <v>85000</v>
      </c>
      <c r="I447">
        <v>5</v>
      </c>
      <c r="J447">
        <v>5</v>
      </c>
      <c r="K447">
        <v>2</v>
      </c>
      <c r="L447" t="s">
        <v>21</v>
      </c>
      <c r="M447" t="s">
        <v>21</v>
      </c>
      <c r="N447" t="s">
        <v>34</v>
      </c>
      <c r="O447" t="s">
        <v>43</v>
      </c>
    </row>
    <row r="448" spans="1:15" x14ac:dyDescent="0.3">
      <c r="A448" t="s">
        <v>646</v>
      </c>
      <c r="B448" t="s">
        <v>376</v>
      </c>
      <c r="C448" t="s">
        <v>17</v>
      </c>
      <c r="D448">
        <v>35</v>
      </c>
      <c r="E448" t="s">
        <v>49</v>
      </c>
      <c r="F448" t="s">
        <v>27</v>
      </c>
      <c r="G448" t="s">
        <v>28</v>
      </c>
      <c r="H448">
        <v>54000</v>
      </c>
      <c r="I448">
        <v>3</v>
      </c>
      <c r="J448">
        <v>5</v>
      </c>
      <c r="K448">
        <v>2</v>
      </c>
      <c r="L448" t="s">
        <v>21</v>
      </c>
      <c r="M448" t="s">
        <v>21</v>
      </c>
      <c r="N448" t="s">
        <v>34</v>
      </c>
      <c r="O448" t="s">
        <v>51</v>
      </c>
    </row>
    <row r="449" spans="1:15" x14ac:dyDescent="0.3">
      <c r="A449" t="s">
        <v>647</v>
      </c>
      <c r="B449" t="s">
        <v>221</v>
      </c>
      <c r="C449" t="s">
        <v>17</v>
      </c>
      <c r="D449">
        <v>40</v>
      </c>
      <c r="E449" t="s">
        <v>57</v>
      </c>
      <c r="F449" t="s">
        <v>50</v>
      </c>
      <c r="G449" t="s">
        <v>20</v>
      </c>
      <c r="H449">
        <v>48000</v>
      </c>
      <c r="I449">
        <v>7</v>
      </c>
      <c r="J449">
        <v>4</v>
      </c>
      <c r="K449">
        <v>5</v>
      </c>
      <c r="L449" t="s">
        <v>21</v>
      </c>
      <c r="M449" t="s">
        <v>29</v>
      </c>
      <c r="N449" t="s">
        <v>34</v>
      </c>
      <c r="O449" t="s">
        <v>38</v>
      </c>
    </row>
    <row r="450" spans="1:15" x14ac:dyDescent="0.3">
      <c r="A450" t="s">
        <v>648</v>
      </c>
      <c r="B450" t="s">
        <v>414</v>
      </c>
      <c r="C450" t="s">
        <v>17</v>
      </c>
      <c r="D450">
        <v>40</v>
      </c>
      <c r="E450" t="s">
        <v>66</v>
      </c>
      <c r="F450" t="s">
        <v>82</v>
      </c>
      <c r="G450" t="s">
        <v>33</v>
      </c>
      <c r="H450">
        <v>60000</v>
      </c>
      <c r="I450">
        <v>14</v>
      </c>
      <c r="J450">
        <v>5</v>
      </c>
      <c r="K450">
        <v>1</v>
      </c>
      <c r="L450" t="s">
        <v>21</v>
      </c>
      <c r="M450" t="s">
        <v>21</v>
      </c>
      <c r="N450" t="s">
        <v>22</v>
      </c>
      <c r="O450" t="s">
        <v>30</v>
      </c>
    </row>
    <row r="451" spans="1:15" x14ac:dyDescent="0.3">
      <c r="A451" t="s">
        <v>649</v>
      </c>
      <c r="B451" t="s">
        <v>136</v>
      </c>
      <c r="C451" t="s">
        <v>37</v>
      </c>
      <c r="D451">
        <v>33</v>
      </c>
      <c r="E451" t="s">
        <v>57</v>
      </c>
      <c r="F451" t="s">
        <v>50</v>
      </c>
      <c r="G451" t="s">
        <v>20</v>
      </c>
      <c r="H451">
        <v>73000</v>
      </c>
      <c r="I451">
        <v>12</v>
      </c>
      <c r="J451">
        <v>3</v>
      </c>
      <c r="K451">
        <v>2</v>
      </c>
      <c r="L451" t="s">
        <v>29</v>
      </c>
      <c r="M451" t="s">
        <v>29</v>
      </c>
      <c r="N451" t="s">
        <v>34</v>
      </c>
      <c r="O451" t="s">
        <v>51</v>
      </c>
    </row>
    <row r="452" spans="1:15" x14ac:dyDescent="0.3">
      <c r="A452" t="s">
        <v>650</v>
      </c>
      <c r="B452" t="s">
        <v>132</v>
      </c>
      <c r="C452" t="s">
        <v>37</v>
      </c>
      <c r="D452">
        <v>38</v>
      </c>
      <c r="E452" t="s">
        <v>49</v>
      </c>
      <c r="F452" t="s">
        <v>27</v>
      </c>
      <c r="G452" t="s">
        <v>33</v>
      </c>
      <c r="H452">
        <v>45000</v>
      </c>
      <c r="I452">
        <v>11</v>
      </c>
      <c r="J452">
        <v>2</v>
      </c>
      <c r="K452">
        <v>4</v>
      </c>
      <c r="L452" t="s">
        <v>29</v>
      </c>
      <c r="M452" t="s">
        <v>29</v>
      </c>
      <c r="N452" t="s">
        <v>34</v>
      </c>
      <c r="O452" t="s">
        <v>23</v>
      </c>
    </row>
    <row r="453" spans="1:15" x14ac:dyDescent="0.3">
      <c r="A453" t="s">
        <v>651</v>
      </c>
      <c r="B453" t="s">
        <v>284</v>
      </c>
      <c r="C453" t="s">
        <v>17</v>
      </c>
      <c r="D453">
        <v>34</v>
      </c>
      <c r="E453" t="s">
        <v>66</v>
      </c>
      <c r="F453" t="s">
        <v>67</v>
      </c>
      <c r="G453" t="s">
        <v>46</v>
      </c>
      <c r="H453">
        <v>69000</v>
      </c>
      <c r="I453">
        <v>12</v>
      </c>
      <c r="J453">
        <v>3</v>
      </c>
      <c r="K453">
        <v>4</v>
      </c>
      <c r="L453" t="s">
        <v>21</v>
      </c>
      <c r="M453" t="s">
        <v>29</v>
      </c>
      <c r="N453" t="s">
        <v>34</v>
      </c>
      <c r="O453" t="s">
        <v>75</v>
      </c>
    </row>
    <row r="454" spans="1:15" x14ac:dyDescent="0.3">
      <c r="A454" t="s">
        <v>652</v>
      </c>
      <c r="B454" t="s">
        <v>116</v>
      </c>
      <c r="C454" t="s">
        <v>37</v>
      </c>
      <c r="D454">
        <v>42</v>
      </c>
      <c r="E454" t="s">
        <v>57</v>
      </c>
      <c r="F454" t="s">
        <v>50</v>
      </c>
      <c r="G454" t="s">
        <v>20</v>
      </c>
      <c r="H454">
        <v>109000</v>
      </c>
      <c r="I454">
        <v>16</v>
      </c>
      <c r="J454">
        <v>3</v>
      </c>
      <c r="K454">
        <v>5</v>
      </c>
      <c r="L454" t="s">
        <v>21</v>
      </c>
      <c r="M454" t="s">
        <v>29</v>
      </c>
      <c r="N454" t="s">
        <v>22</v>
      </c>
      <c r="O454" t="s">
        <v>51</v>
      </c>
    </row>
    <row r="455" spans="1:15" x14ac:dyDescent="0.3">
      <c r="A455" t="s">
        <v>653</v>
      </c>
      <c r="B455" t="s">
        <v>84</v>
      </c>
      <c r="C455" t="s">
        <v>37</v>
      </c>
      <c r="D455">
        <v>35</v>
      </c>
      <c r="E455" t="s">
        <v>41</v>
      </c>
      <c r="F455" t="s">
        <v>42</v>
      </c>
      <c r="G455" t="s">
        <v>33</v>
      </c>
      <c r="H455">
        <v>85000</v>
      </c>
      <c r="I455">
        <v>12</v>
      </c>
      <c r="J455">
        <v>2</v>
      </c>
      <c r="K455">
        <v>1</v>
      </c>
      <c r="L455" t="s">
        <v>21</v>
      </c>
      <c r="M455" t="s">
        <v>29</v>
      </c>
      <c r="N455" t="s">
        <v>34</v>
      </c>
      <c r="O455" t="s">
        <v>43</v>
      </c>
    </row>
    <row r="456" spans="1:15" x14ac:dyDescent="0.3">
      <c r="A456" t="s">
        <v>654</v>
      </c>
      <c r="B456" t="s">
        <v>191</v>
      </c>
      <c r="C456" t="s">
        <v>17</v>
      </c>
      <c r="D456">
        <v>24</v>
      </c>
      <c r="E456" t="s">
        <v>57</v>
      </c>
      <c r="F456" t="s">
        <v>50</v>
      </c>
      <c r="G456" t="s">
        <v>46</v>
      </c>
      <c r="H456">
        <v>100000</v>
      </c>
      <c r="I456">
        <v>3</v>
      </c>
      <c r="J456">
        <v>2</v>
      </c>
      <c r="K456">
        <v>1</v>
      </c>
      <c r="L456" t="s">
        <v>21</v>
      </c>
      <c r="M456" t="s">
        <v>21</v>
      </c>
      <c r="N456" t="s">
        <v>22</v>
      </c>
      <c r="O456" t="s">
        <v>51</v>
      </c>
    </row>
    <row r="457" spans="1:15" x14ac:dyDescent="0.3">
      <c r="A457" t="s">
        <v>655</v>
      </c>
      <c r="B457" t="s">
        <v>79</v>
      </c>
      <c r="C457" t="s">
        <v>17</v>
      </c>
      <c r="D457">
        <v>48</v>
      </c>
      <c r="E457" t="s">
        <v>18</v>
      </c>
      <c r="F457" t="s">
        <v>126</v>
      </c>
      <c r="G457" t="s">
        <v>46</v>
      </c>
      <c r="H457">
        <v>95000</v>
      </c>
      <c r="I457">
        <v>2</v>
      </c>
      <c r="J457">
        <v>3</v>
      </c>
      <c r="K457">
        <v>5</v>
      </c>
      <c r="L457" t="s">
        <v>21</v>
      </c>
      <c r="M457" t="s">
        <v>29</v>
      </c>
      <c r="N457" t="s">
        <v>34</v>
      </c>
      <c r="O457" t="s">
        <v>43</v>
      </c>
    </row>
    <row r="458" spans="1:15" x14ac:dyDescent="0.3">
      <c r="A458" t="s">
        <v>656</v>
      </c>
      <c r="B458" t="s">
        <v>98</v>
      </c>
      <c r="C458" t="s">
        <v>37</v>
      </c>
      <c r="D458">
        <v>31</v>
      </c>
      <c r="E458" t="s">
        <v>66</v>
      </c>
      <c r="F458" t="s">
        <v>67</v>
      </c>
      <c r="G458" t="s">
        <v>46</v>
      </c>
      <c r="H458">
        <v>78000</v>
      </c>
      <c r="I458">
        <v>5</v>
      </c>
      <c r="J458">
        <v>2</v>
      </c>
      <c r="K458">
        <v>3</v>
      </c>
      <c r="L458" t="s">
        <v>21</v>
      </c>
      <c r="M458" t="s">
        <v>29</v>
      </c>
      <c r="N458" t="s">
        <v>34</v>
      </c>
      <c r="O458" t="s">
        <v>54</v>
      </c>
    </row>
    <row r="459" spans="1:15" x14ac:dyDescent="0.3">
      <c r="A459" t="s">
        <v>657</v>
      </c>
      <c r="B459" t="s">
        <v>302</v>
      </c>
      <c r="C459" t="s">
        <v>37</v>
      </c>
      <c r="D459">
        <v>55</v>
      </c>
      <c r="E459" t="s">
        <v>41</v>
      </c>
      <c r="F459" t="s">
        <v>73</v>
      </c>
      <c r="G459" t="s">
        <v>28</v>
      </c>
      <c r="H459">
        <v>43000</v>
      </c>
      <c r="I459">
        <v>1</v>
      </c>
      <c r="J459">
        <v>4</v>
      </c>
      <c r="K459">
        <v>5</v>
      </c>
      <c r="L459" t="s">
        <v>21</v>
      </c>
      <c r="M459" t="s">
        <v>29</v>
      </c>
      <c r="N459" t="s">
        <v>22</v>
      </c>
      <c r="O459" t="s">
        <v>23</v>
      </c>
    </row>
    <row r="460" spans="1:15" x14ac:dyDescent="0.3">
      <c r="A460" t="s">
        <v>658</v>
      </c>
      <c r="B460" t="s">
        <v>221</v>
      </c>
      <c r="C460" t="s">
        <v>37</v>
      </c>
      <c r="D460">
        <v>51</v>
      </c>
      <c r="E460" t="s">
        <v>26</v>
      </c>
      <c r="F460" t="s">
        <v>50</v>
      </c>
      <c r="G460" t="s">
        <v>33</v>
      </c>
      <c r="H460">
        <v>94000</v>
      </c>
      <c r="I460">
        <v>9</v>
      </c>
      <c r="J460">
        <v>2</v>
      </c>
      <c r="K460">
        <v>2</v>
      </c>
      <c r="L460" t="s">
        <v>29</v>
      </c>
      <c r="M460" t="s">
        <v>29</v>
      </c>
      <c r="N460" t="s">
        <v>22</v>
      </c>
      <c r="O460" t="s">
        <v>38</v>
      </c>
    </row>
    <row r="461" spans="1:15" x14ac:dyDescent="0.3">
      <c r="A461" t="s">
        <v>659</v>
      </c>
      <c r="B461" t="s">
        <v>205</v>
      </c>
      <c r="C461" t="s">
        <v>37</v>
      </c>
      <c r="D461">
        <v>54</v>
      </c>
      <c r="E461" t="s">
        <v>49</v>
      </c>
      <c r="F461" t="s">
        <v>27</v>
      </c>
      <c r="G461" t="s">
        <v>28</v>
      </c>
      <c r="H461">
        <v>108000</v>
      </c>
      <c r="I461">
        <v>11</v>
      </c>
      <c r="J461">
        <v>2</v>
      </c>
      <c r="K461">
        <v>1</v>
      </c>
      <c r="L461" t="s">
        <v>21</v>
      </c>
      <c r="M461" t="s">
        <v>29</v>
      </c>
      <c r="N461" t="s">
        <v>22</v>
      </c>
      <c r="O461" t="s">
        <v>51</v>
      </c>
    </row>
    <row r="462" spans="1:15" x14ac:dyDescent="0.3">
      <c r="A462" t="s">
        <v>660</v>
      </c>
      <c r="B462" t="s">
        <v>84</v>
      </c>
      <c r="C462" t="s">
        <v>37</v>
      </c>
      <c r="D462">
        <v>49</v>
      </c>
      <c r="E462" t="s">
        <v>26</v>
      </c>
      <c r="F462" t="s">
        <v>27</v>
      </c>
      <c r="G462" t="s">
        <v>28</v>
      </c>
      <c r="H462">
        <v>44000</v>
      </c>
      <c r="I462">
        <v>4</v>
      </c>
      <c r="J462">
        <v>2</v>
      </c>
      <c r="K462">
        <v>2</v>
      </c>
      <c r="L462" t="s">
        <v>29</v>
      </c>
      <c r="M462" t="s">
        <v>29</v>
      </c>
      <c r="N462" t="s">
        <v>22</v>
      </c>
      <c r="O462" t="s">
        <v>70</v>
      </c>
    </row>
    <row r="463" spans="1:15" x14ac:dyDescent="0.3">
      <c r="A463" t="s">
        <v>661</v>
      </c>
      <c r="B463" t="s">
        <v>357</v>
      </c>
      <c r="C463" t="s">
        <v>37</v>
      </c>
      <c r="D463">
        <v>51</v>
      </c>
      <c r="E463" t="s">
        <v>18</v>
      </c>
      <c r="F463" t="s">
        <v>126</v>
      </c>
      <c r="G463" t="s">
        <v>33</v>
      </c>
      <c r="H463">
        <v>32000</v>
      </c>
      <c r="I463">
        <v>10</v>
      </c>
      <c r="J463">
        <v>3</v>
      </c>
      <c r="K463">
        <v>4</v>
      </c>
      <c r="L463" t="s">
        <v>21</v>
      </c>
      <c r="M463" t="s">
        <v>29</v>
      </c>
      <c r="N463" t="s">
        <v>34</v>
      </c>
      <c r="O463" t="s">
        <v>23</v>
      </c>
    </row>
    <row r="464" spans="1:15" x14ac:dyDescent="0.3">
      <c r="A464" t="s">
        <v>662</v>
      </c>
      <c r="B464" t="s">
        <v>61</v>
      </c>
      <c r="C464" t="s">
        <v>37</v>
      </c>
      <c r="D464">
        <v>31</v>
      </c>
      <c r="E464" t="s">
        <v>26</v>
      </c>
      <c r="F464" t="s">
        <v>50</v>
      </c>
      <c r="G464" t="s">
        <v>46</v>
      </c>
      <c r="H464">
        <v>47000</v>
      </c>
      <c r="I464">
        <v>5</v>
      </c>
      <c r="J464">
        <v>3</v>
      </c>
      <c r="K464">
        <v>2</v>
      </c>
      <c r="L464" t="s">
        <v>21</v>
      </c>
      <c r="M464" t="s">
        <v>21</v>
      </c>
      <c r="N464" t="s">
        <v>22</v>
      </c>
      <c r="O464" t="s">
        <v>70</v>
      </c>
    </row>
    <row r="465" spans="1:15" x14ac:dyDescent="0.3">
      <c r="A465" t="s">
        <v>663</v>
      </c>
      <c r="B465" t="s">
        <v>295</v>
      </c>
      <c r="C465" t="s">
        <v>37</v>
      </c>
      <c r="D465">
        <v>48</v>
      </c>
      <c r="E465" t="s">
        <v>49</v>
      </c>
      <c r="F465" t="s">
        <v>27</v>
      </c>
      <c r="G465" t="s">
        <v>28</v>
      </c>
      <c r="H465">
        <v>36000</v>
      </c>
      <c r="I465">
        <v>10</v>
      </c>
      <c r="J465">
        <v>5</v>
      </c>
      <c r="K465">
        <v>1</v>
      </c>
      <c r="L465" t="s">
        <v>29</v>
      </c>
      <c r="M465" t="s">
        <v>29</v>
      </c>
      <c r="N465" t="s">
        <v>34</v>
      </c>
      <c r="O465" t="s">
        <v>23</v>
      </c>
    </row>
    <row r="466" spans="1:15" x14ac:dyDescent="0.3">
      <c r="A466" t="s">
        <v>664</v>
      </c>
      <c r="B466" t="s">
        <v>191</v>
      </c>
      <c r="C466" t="s">
        <v>37</v>
      </c>
      <c r="D466">
        <v>42</v>
      </c>
      <c r="E466" t="s">
        <v>66</v>
      </c>
      <c r="F466" t="s">
        <v>67</v>
      </c>
      <c r="G466" t="s">
        <v>28</v>
      </c>
      <c r="H466">
        <v>55000</v>
      </c>
      <c r="I466">
        <v>17</v>
      </c>
      <c r="J466">
        <v>2</v>
      </c>
      <c r="K466">
        <v>1</v>
      </c>
      <c r="L466" t="s">
        <v>21</v>
      </c>
      <c r="M466" t="s">
        <v>21</v>
      </c>
      <c r="N466" t="s">
        <v>22</v>
      </c>
      <c r="O466" t="s">
        <v>38</v>
      </c>
    </row>
    <row r="467" spans="1:15" x14ac:dyDescent="0.3">
      <c r="A467" t="s">
        <v>665</v>
      </c>
      <c r="B467" t="s">
        <v>666</v>
      </c>
      <c r="C467" t="s">
        <v>17</v>
      </c>
      <c r="D467">
        <v>37</v>
      </c>
      <c r="E467" t="s">
        <v>26</v>
      </c>
      <c r="F467" t="s">
        <v>27</v>
      </c>
      <c r="G467" t="s">
        <v>46</v>
      </c>
      <c r="H467">
        <v>84000</v>
      </c>
      <c r="I467">
        <v>16</v>
      </c>
      <c r="J467">
        <v>4</v>
      </c>
      <c r="K467">
        <v>4</v>
      </c>
      <c r="L467" t="s">
        <v>29</v>
      </c>
      <c r="M467" t="s">
        <v>29</v>
      </c>
      <c r="N467" t="s">
        <v>22</v>
      </c>
      <c r="O467" t="s">
        <v>75</v>
      </c>
    </row>
    <row r="468" spans="1:15" x14ac:dyDescent="0.3">
      <c r="A468" t="s">
        <v>667</v>
      </c>
      <c r="B468" t="s">
        <v>292</v>
      </c>
      <c r="C468" t="s">
        <v>37</v>
      </c>
      <c r="D468">
        <v>34</v>
      </c>
      <c r="E468" t="s">
        <v>41</v>
      </c>
      <c r="F468" t="s">
        <v>42</v>
      </c>
      <c r="G468" t="s">
        <v>46</v>
      </c>
      <c r="H468">
        <v>45000</v>
      </c>
      <c r="I468">
        <v>10</v>
      </c>
      <c r="J468">
        <v>4</v>
      </c>
      <c r="K468">
        <v>1</v>
      </c>
      <c r="L468" t="s">
        <v>21</v>
      </c>
      <c r="M468" t="s">
        <v>21</v>
      </c>
      <c r="N468" t="s">
        <v>22</v>
      </c>
      <c r="O468" t="s">
        <v>51</v>
      </c>
    </row>
    <row r="469" spans="1:15" x14ac:dyDescent="0.3">
      <c r="A469" t="s">
        <v>668</v>
      </c>
      <c r="B469" t="s">
        <v>372</v>
      </c>
      <c r="C469" t="s">
        <v>37</v>
      </c>
      <c r="D469">
        <v>29</v>
      </c>
      <c r="E469" t="s">
        <v>66</v>
      </c>
      <c r="F469" t="s">
        <v>82</v>
      </c>
      <c r="G469" t="s">
        <v>46</v>
      </c>
      <c r="H469">
        <v>99000</v>
      </c>
      <c r="I469">
        <v>8</v>
      </c>
      <c r="J469">
        <v>2</v>
      </c>
      <c r="K469">
        <v>2</v>
      </c>
      <c r="L469" t="s">
        <v>29</v>
      </c>
      <c r="M469" t="s">
        <v>29</v>
      </c>
      <c r="N469" t="s">
        <v>34</v>
      </c>
      <c r="O469" t="s">
        <v>54</v>
      </c>
    </row>
    <row r="470" spans="1:15" x14ac:dyDescent="0.3">
      <c r="A470" t="s">
        <v>669</v>
      </c>
      <c r="B470" t="s">
        <v>354</v>
      </c>
      <c r="C470" t="s">
        <v>17</v>
      </c>
      <c r="D470">
        <v>44</v>
      </c>
      <c r="E470" t="s">
        <v>66</v>
      </c>
      <c r="F470" t="s">
        <v>67</v>
      </c>
      <c r="G470" t="s">
        <v>46</v>
      </c>
      <c r="H470">
        <v>28000</v>
      </c>
      <c r="I470">
        <v>9</v>
      </c>
      <c r="J470">
        <v>4</v>
      </c>
      <c r="K470">
        <v>2</v>
      </c>
      <c r="L470" t="s">
        <v>21</v>
      </c>
      <c r="M470" t="s">
        <v>29</v>
      </c>
      <c r="N470" t="s">
        <v>34</v>
      </c>
      <c r="O470" t="s">
        <v>75</v>
      </c>
    </row>
    <row r="471" spans="1:15" x14ac:dyDescent="0.3">
      <c r="A471" t="s">
        <v>670</v>
      </c>
      <c r="B471" t="s">
        <v>40</v>
      </c>
      <c r="C471" t="s">
        <v>17</v>
      </c>
      <c r="D471">
        <v>41</v>
      </c>
      <c r="E471" t="s">
        <v>49</v>
      </c>
      <c r="F471" t="s">
        <v>27</v>
      </c>
      <c r="G471" t="s">
        <v>33</v>
      </c>
      <c r="H471">
        <v>43000</v>
      </c>
      <c r="I471">
        <v>12</v>
      </c>
      <c r="J471">
        <v>5</v>
      </c>
      <c r="K471">
        <v>3</v>
      </c>
      <c r="L471" t="s">
        <v>21</v>
      </c>
      <c r="M471" t="s">
        <v>29</v>
      </c>
      <c r="N471" t="s">
        <v>34</v>
      </c>
      <c r="O471" t="s">
        <v>70</v>
      </c>
    </row>
    <row r="472" spans="1:15" x14ac:dyDescent="0.3">
      <c r="A472" t="s">
        <v>671</v>
      </c>
      <c r="B472" t="s">
        <v>370</v>
      </c>
      <c r="C472" t="s">
        <v>17</v>
      </c>
      <c r="D472">
        <v>39</v>
      </c>
      <c r="E472" t="s">
        <v>18</v>
      </c>
      <c r="F472" t="s">
        <v>19</v>
      </c>
      <c r="G472" t="s">
        <v>28</v>
      </c>
      <c r="H472">
        <v>34000</v>
      </c>
      <c r="I472">
        <v>4</v>
      </c>
      <c r="J472">
        <v>2</v>
      </c>
      <c r="K472">
        <v>5</v>
      </c>
      <c r="L472" t="s">
        <v>21</v>
      </c>
      <c r="M472" t="s">
        <v>29</v>
      </c>
      <c r="N472" t="s">
        <v>34</v>
      </c>
      <c r="O472" t="s">
        <v>75</v>
      </c>
    </row>
    <row r="473" spans="1:15" x14ac:dyDescent="0.3">
      <c r="A473" t="s">
        <v>672</v>
      </c>
      <c r="B473" t="s">
        <v>414</v>
      </c>
      <c r="C473" t="s">
        <v>37</v>
      </c>
      <c r="D473">
        <v>41</v>
      </c>
      <c r="E473" t="s">
        <v>49</v>
      </c>
      <c r="F473" t="s">
        <v>50</v>
      </c>
      <c r="G473" t="s">
        <v>20</v>
      </c>
      <c r="H473">
        <v>41000</v>
      </c>
      <c r="I473">
        <v>10</v>
      </c>
      <c r="J473">
        <v>5</v>
      </c>
      <c r="K473">
        <v>2</v>
      </c>
      <c r="L473" t="s">
        <v>21</v>
      </c>
      <c r="M473" t="s">
        <v>29</v>
      </c>
      <c r="N473" t="s">
        <v>34</v>
      </c>
      <c r="O473" t="s">
        <v>75</v>
      </c>
    </row>
    <row r="474" spans="1:15" x14ac:dyDescent="0.3">
      <c r="A474" t="s">
        <v>673</v>
      </c>
      <c r="B474" t="s">
        <v>267</v>
      </c>
      <c r="C474" t="s">
        <v>37</v>
      </c>
      <c r="D474">
        <v>54</v>
      </c>
      <c r="E474" t="s">
        <v>18</v>
      </c>
      <c r="F474" t="s">
        <v>126</v>
      </c>
      <c r="G474" t="s">
        <v>20</v>
      </c>
      <c r="H474">
        <v>62000</v>
      </c>
      <c r="I474">
        <v>9</v>
      </c>
      <c r="J474">
        <v>3</v>
      </c>
      <c r="K474">
        <v>5</v>
      </c>
      <c r="L474" t="s">
        <v>29</v>
      </c>
      <c r="M474" t="s">
        <v>29</v>
      </c>
      <c r="N474" t="s">
        <v>34</v>
      </c>
      <c r="O474" t="s">
        <v>38</v>
      </c>
    </row>
    <row r="475" spans="1:15" x14ac:dyDescent="0.3">
      <c r="A475" t="s">
        <v>674</v>
      </c>
      <c r="B475" t="s">
        <v>142</v>
      </c>
      <c r="C475" t="s">
        <v>17</v>
      </c>
      <c r="D475">
        <v>33</v>
      </c>
      <c r="E475" t="s">
        <v>57</v>
      </c>
      <c r="F475" t="s">
        <v>27</v>
      </c>
      <c r="G475" t="s">
        <v>20</v>
      </c>
      <c r="H475">
        <v>78000</v>
      </c>
      <c r="I475">
        <v>5</v>
      </c>
      <c r="J475">
        <v>5</v>
      </c>
      <c r="K475">
        <v>3</v>
      </c>
      <c r="L475" t="s">
        <v>21</v>
      </c>
      <c r="M475" t="s">
        <v>21</v>
      </c>
      <c r="N475" t="s">
        <v>22</v>
      </c>
      <c r="O475" t="s">
        <v>75</v>
      </c>
    </row>
    <row r="476" spans="1:15" x14ac:dyDescent="0.3">
      <c r="A476" t="s">
        <v>675</v>
      </c>
      <c r="B476" t="s">
        <v>229</v>
      </c>
      <c r="C476" t="s">
        <v>37</v>
      </c>
      <c r="D476">
        <v>54</v>
      </c>
      <c r="E476" t="s">
        <v>57</v>
      </c>
      <c r="F476" t="s">
        <v>50</v>
      </c>
      <c r="G476" t="s">
        <v>20</v>
      </c>
      <c r="H476">
        <v>63000</v>
      </c>
      <c r="I476">
        <v>16</v>
      </c>
      <c r="J476">
        <v>2</v>
      </c>
      <c r="K476">
        <v>5</v>
      </c>
      <c r="L476" t="s">
        <v>21</v>
      </c>
      <c r="M476" t="s">
        <v>29</v>
      </c>
      <c r="N476" t="s">
        <v>34</v>
      </c>
      <c r="O476" t="s">
        <v>51</v>
      </c>
    </row>
    <row r="477" spans="1:15" x14ac:dyDescent="0.3">
      <c r="A477" t="s">
        <v>676</v>
      </c>
      <c r="B477" t="s">
        <v>40</v>
      </c>
      <c r="C477" t="s">
        <v>17</v>
      </c>
      <c r="D477">
        <v>24</v>
      </c>
      <c r="E477" t="s">
        <v>18</v>
      </c>
      <c r="F477" t="s">
        <v>126</v>
      </c>
      <c r="G477" t="s">
        <v>46</v>
      </c>
      <c r="H477">
        <v>53000</v>
      </c>
      <c r="I477">
        <v>0</v>
      </c>
      <c r="J477">
        <v>4</v>
      </c>
      <c r="K477">
        <v>4</v>
      </c>
      <c r="L477" t="s">
        <v>21</v>
      </c>
      <c r="M477" t="s">
        <v>29</v>
      </c>
      <c r="N477" t="s">
        <v>22</v>
      </c>
      <c r="O477" t="s">
        <v>70</v>
      </c>
    </row>
    <row r="478" spans="1:15" x14ac:dyDescent="0.3">
      <c r="A478" t="s">
        <v>677</v>
      </c>
      <c r="B478" t="s">
        <v>678</v>
      </c>
      <c r="C478" t="s">
        <v>37</v>
      </c>
      <c r="D478">
        <v>23</v>
      </c>
      <c r="E478" t="s">
        <v>49</v>
      </c>
      <c r="F478" t="s">
        <v>27</v>
      </c>
      <c r="G478" t="s">
        <v>46</v>
      </c>
      <c r="H478">
        <v>55000</v>
      </c>
      <c r="I478">
        <v>2</v>
      </c>
      <c r="J478">
        <v>3</v>
      </c>
      <c r="K478">
        <v>3</v>
      </c>
      <c r="L478" t="s">
        <v>29</v>
      </c>
      <c r="M478" t="s">
        <v>29</v>
      </c>
      <c r="N478" t="s">
        <v>34</v>
      </c>
      <c r="O478" t="s">
        <v>51</v>
      </c>
    </row>
    <row r="479" spans="1:15" x14ac:dyDescent="0.3">
      <c r="A479" t="s">
        <v>679</v>
      </c>
      <c r="B479" t="s">
        <v>510</v>
      </c>
      <c r="C479" t="s">
        <v>37</v>
      </c>
      <c r="D479">
        <v>35</v>
      </c>
      <c r="E479" t="s">
        <v>26</v>
      </c>
      <c r="F479" t="s">
        <v>27</v>
      </c>
      <c r="G479" t="s">
        <v>28</v>
      </c>
      <c r="H479">
        <v>100000</v>
      </c>
      <c r="I479">
        <v>14</v>
      </c>
      <c r="J479">
        <v>5</v>
      </c>
      <c r="K479">
        <v>2</v>
      </c>
      <c r="L479" t="s">
        <v>29</v>
      </c>
      <c r="M479" t="s">
        <v>29</v>
      </c>
      <c r="N479" t="s">
        <v>22</v>
      </c>
      <c r="O479" t="s">
        <v>70</v>
      </c>
    </row>
    <row r="480" spans="1:15" x14ac:dyDescent="0.3">
      <c r="A480" t="s">
        <v>680</v>
      </c>
      <c r="B480" t="s">
        <v>372</v>
      </c>
      <c r="C480" t="s">
        <v>37</v>
      </c>
      <c r="D480">
        <v>32</v>
      </c>
      <c r="E480" t="s">
        <v>41</v>
      </c>
      <c r="F480" t="s">
        <v>73</v>
      </c>
      <c r="G480" t="s">
        <v>28</v>
      </c>
      <c r="H480">
        <v>104000</v>
      </c>
      <c r="I480">
        <v>9</v>
      </c>
      <c r="J480">
        <v>3</v>
      </c>
      <c r="K480">
        <v>4</v>
      </c>
      <c r="L480" t="s">
        <v>21</v>
      </c>
      <c r="M480" t="s">
        <v>29</v>
      </c>
      <c r="N480" t="s">
        <v>22</v>
      </c>
      <c r="O480" t="s">
        <v>75</v>
      </c>
    </row>
    <row r="481" spans="1:15" x14ac:dyDescent="0.3">
      <c r="A481" t="s">
        <v>681</v>
      </c>
      <c r="B481" t="s">
        <v>678</v>
      </c>
      <c r="C481" t="s">
        <v>17</v>
      </c>
      <c r="D481">
        <v>51</v>
      </c>
      <c r="E481" t="s">
        <v>41</v>
      </c>
      <c r="F481" t="s">
        <v>73</v>
      </c>
      <c r="G481" t="s">
        <v>28</v>
      </c>
      <c r="H481">
        <v>30000</v>
      </c>
      <c r="I481">
        <v>10</v>
      </c>
      <c r="J481">
        <v>5</v>
      </c>
      <c r="K481">
        <v>4</v>
      </c>
      <c r="L481" t="s">
        <v>29</v>
      </c>
      <c r="M481" t="s">
        <v>29</v>
      </c>
      <c r="N481" t="s">
        <v>22</v>
      </c>
      <c r="O481" t="s">
        <v>51</v>
      </c>
    </row>
    <row r="482" spans="1:15" x14ac:dyDescent="0.3">
      <c r="A482" t="s">
        <v>682</v>
      </c>
      <c r="B482" t="s">
        <v>53</v>
      </c>
      <c r="C482" t="s">
        <v>17</v>
      </c>
      <c r="D482">
        <v>38</v>
      </c>
      <c r="E482" t="s">
        <v>49</v>
      </c>
      <c r="F482" t="s">
        <v>27</v>
      </c>
      <c r="G482" t="s">
        <v>46</v>
      </c>
      <c r="H482">
        <v>66000</v>
      </c>
      <c r="I482">
        <v>2</v>
      </c>
      <c r="J482">
        <v>3</v>
      </c>
      <c r="K482">
        <v>5</v>
      </c>
      <c r="L482" t="s">
        <v>21</v>
      </c>
      <c r="M482" t="s">
        <v>21</v>
      </c>
      <c r="N482" t="s">
        <v>22</v>
      </c>
      <c r="O482" t="s">
        <v>23</v>
      </c>
    </row>
    <row r="483" spans="1:15" x14ac:dyDescent="0.3">
      <c r="A483" t="s">
        <v>683</v>
      </c>
      <c r="B483" t="s">
        <v>16</v>
      </c>
      <c r="C483" t="s">
        <v>37</v>
      </c>
      <c r="D483">
        <v>38</v>
      </c>
      <c r="E483" t="s">
        <v>26</v>
      </c>
      <c r="F483" t="s">
        <v>27</v>
      </c>
      <c r="G483" t="s">
        <v>20</v>
      </c>
      <c r="H483">
        <v>34000</v>
      </c>
      <c r="I483">
        <v>6</v>
      </c>
      <c r="J483">
        <v>3</v>
      </c>
      <c r="K483">
        <v>2</v>
      </c>
      <c r="L483" t="s">
        <v>29</v>
      </c>
      <c r="M483" t="s">
        <v>29</v>
      </c>
      <c r="N483" t="s">
        <v>22</v>
      </c>
      <c r="O483" t="s">
        <v>70</v>
      </c>
    </row>
    <row r="484" spans="1:15" x14ac:dyDescent="0.3">
      <c r="A484" t="s">
        <v>684</v>
      </c>
      <c r="B484" t="s">
        <v>397</v>
      </c>
      <c r="C484" t="s">
        <v>37</v>
      </c>
      <c r="D484">
        <v>27</v>
      </c>
      <c r="E484" t="s">
        <v>26</v>
      </c>
      <c r="F484" t="s">
        <v>27</v>
      </c>
      <c r="G484" t="s">
        <v>33</v>
      </c>
      <c r="H484">
        <v>92000</v>
      </c>
      <c r="I484">
        <v>6</v>
      </c>
      <c r="J484">
        <v>3</v>
      </c>
      <c r="K484">
        <v>5</v>
      </c>
      <c r="L484" t="s">
        <v>21</v>
      </c>
      <c r="M484" t="s">
        <v>29</v>
      </c>
      <c r="N484" t="s">
        <v>22</v>
      </c>
      <c r="O484" t="s">
        <v>43</v>
      </c>
    </row>
    <row r="485" spans="1:15" x14ac:dyDescent="0.3">
      <c r="A485" t="s">
        <v>685</v>
      </c>
      <c r="B485" t="s">
        <v>160</v>
      </c>
      <c r="C485" t="s">
        <v>37</v>
      </c>
      <c r="D485">
        <v>25</v>
      </c>
      <c r="E485" t="s">
        <v>49</v>
      </c>
      <c r="F485" t="s">
        <v>27</v>
      </c>
      <c r="G485" t="s">
        <v>33</v>
      </c>
      <c r="H485">
        <v>67000</v>
      </c>
      <c r="I485">
        <v>4</v>
      </c>
      <c r="J485">
        <v>3</v>
      </c>
      <c r="K485">
        <v>1</v>
      </c>
      <c r="L485" t="s">
        <v>29</v>
      </c>
      <c r="M485" t="s">
        <v>29</v>
      </c>
      <c r="N485" t="s">
        <v>34</v>
      </c>
      <c r="O485" t="s">
        <v>70</v>
      </c>
    </row>
    <row r="486" spans="1:15" x14ac:dyDescent="0.3">
      <c r="A486" t="s">
        <v>686</v>
      </c>
      <c r="B486" t="s">
        <v>326</v>
      </c>
      <c r="C486" t="s">
        <v>37</v>
      </c>
      <c r="D486">
        <v>45</v>
      </c>
      <c r="E486" t="s">
        <v>18</v>
      </c>
      <c r="F486" t="s">
        <v>19</v>
      </c>
      <c r="G486" t="s">
        <v>20</v>
      </c>
      <c r="H486">
        <v>94000</v>
      </c>
      <c r="I486">
        <v>19</v>
      </c>
      <c r="J486">
        <v>2</v>
      </c>
      <c r="K486">
        <v>3</v>
      </c>
      <c r="L486" t="s">
        <v>29</v>
      </c>
      <c r="M486" t="s">
        <v>29</v>
      </c>
      <c r="N486" t="s">
        <v>34</v>
      </c>
      <c r="O486" t="s">
        <v>70</v>
      </c>
    </row>
    <row r="487" spans="1:15" x14ac:dyDescent="0.3">
      <c r="A487" t="s">
        <v>687</v>
      </c>
      <c r="B487" t="s">
        <v>308</v>
      </c>
      <c r="C487" t="s">
        <v>17</v>
      </c>
      <c r="D487">
        <v>41</v>
      </c>
      <c r="E487" t="s">
        <v>26</v>
      </c>
      <c r="F487" t="s">
        <v>50</v>
      </c>
      <c r="G487" t="s">
        <v>33</v>
      </c>
      <c r="H487">
        <v>76000</v>
      </c>
      <c r="I487">
        <v>6</v>
      </c>
      <c r="J487">
        <v>3</v>
      </c>
      <c r="K487">
        <v>4</v>
      </c>
      <c r="L487" t="s">
        <v>21</v>
      </c>
      <c r="M487" t="s">
        <v>29</v>
      </c>
      <c r="N487" t="s">
        <v>22</v>
      </c>
      <c r="O487" t="s">
        <v>75</v>
      </c>
    </row>
    <row r="488" spans="1:15" x14ac:dyDescent="0.3">
      <c r="A488" t="s">
        <v>688</v>
      </c>
      <c r="B488" t="s">
        <v>179</v>
      </c>
      <c r="C488" t="s">
        <v>17</v>
      </c>
      <c r="D488">
        <v>41</v>
      </c>
      <c r="E488" t="s">
        <v>49</v>
      </c>
      <c r="F488" t="s">
        <v>50</v>
      </c>
      <c r="G488" t="s">
        <v>20</v>
      </c>
      <c r="H488">
        <v>57000</v>
      </c>
      <c r="I488">
        <v>11</v>
      </c>
      <c r="J488">
        <v>5</v>
      </c>
      <c r="K488">
        <v>1</v>
      </c>
      <c r="L488" t="s">
        <v>29</v>
      </c>
      <c r="M488" t="s">
        <v>29</v>
      </c>
      <c r="N488" t="s">
        <v>34</v>
      </c>
      <c r="O488" t="s">
        <v>38</v>
      </c>
    </row>
    <row r="489" spans="1:15" x14ac:dyDescent="0.3">
      <c r="A489" t="s">
        <v>689</v>
      </c>
      <c r="B489" t="s">
        <v>172</v>
      </c>
      <c r="C489" t="s">
        <v>17</v>
      </c>
      <c r="D489">
        <v>35</v>
      </c>
      <c r="E489" t="s">
        <v>26</v>
      </c>
      <c r="F489" t="s">
        <v>50</v>
      </c>
      <c r="G489" t="s">
        <v>33</v>
      </c>
      <c r="H489">
        <v>96000</v>
      </c>
      <c r="I489">
        <v>14</v>
      </c>
      <c r="J489">
        <v>5</v>
      </c>
      <c r="K489">
        <v>3</v>
      </c>
      <c r="L489" t="s">
        <v>21</v>
      </c>
      <c r="M489" t="s">
        <v>29</v>
      </c>
      <c r="N489" t="s">
        <v>22</v>
      </c>
      <c r="O489" t="s">
        <v>43</v>
      </c>
    </row>
    <row r="490" spans="1:15" x14ac:dyDescent="0.3">
      <c r="A490" t="s">
        <v>690</v>
      </c>
      <c r="B490" t="s">
        <v>98</v>
      </c>
      <c r="C490" t="s">
        <v>17</v>
      </c>
      <c r="D490">
        <v>54</v>
      </c>
      <c r="E490" t="s">
        <v>66</v>
      </c>
      <c r="F490" t="s">
        <v>67</v>
      </c>
      <c r="G490" t="s">
        <v>46</v>
      </c>
      <c r="H490">
        <v>95000</v>
      </c>
      <c r="I490">
        <v>8</v>
      </c>
      <c r="J490">
        <v>3</v>
      </c>
      <c r="K490">
        <v>4</v>
      </c>
      <c r="L490" t="s">
        <v>29</v>
      </c>
      <c r="M490" t="s">
        <v>29</v>
      </c>
      <c r="N490" t="s">
        <v>34</v>
      </c>
      <c r="O490" t="s">
        <v>75</v>
      </c>
    </row>
    <row r="491" spans="1:15" x14ac:dyDescent="0.3">
      <c r="A491" t="s">
        <v>691</v>
      </c>
      <c r="B491" t="s">
        <v>320</v>
      </c>
      <c r="C491" t="s">
        <v>17</v>
      </c>
      <c r="D491">
        <v>28</v>
      </c>
      <c r="E491" t="s">
        <v>41</v>
      </c>
      <c r="F491" t="s">
        <v>73</v>
      </c>
      <c r="G491" t="s">
        <v>46</v>
      </c>
      <c r="H491">
        <v>89000</v>
      </c>
      <c r="I491">
        <v>1</v>
      </c>
      <c r="J491">
        <v>3</v>
      </c>
      <c r="K491">
        <v>1</v>
      </c>
      <c r="L491" t="s">
        <v>21</v>
      </c>
      <c r="M491" t="s">
        <v>29</v>
      </c>
      <c r="N491" t="s">
        <v>22</v>
      </c>
      <c r="O491" t="s">
        <v>75</v>
      </c>
    </row>
    <row r="492" spans="1:15" x14ac:dyDescent="0.3">
      <c r="A492" t="s">
        <v>692</v>
      </c>
      <c r="B492" t="s">
        <v>149</v>
      </c>
      <c r="C492" t="s">
        <v>17</v>
      </c>
      <c r="D492">
        <v>23</v>
      </c>
      <c r="E492" t="s">
        <v>41</v>
      </c>
      <c r="F492" t="s">
        <v>73</v>
      </c>
      <c r="G492" t="s">
        <v>20</v>
      </c>
      <c r="H492">
        <v>109000</v>
      </c>
      <c r="I492">
        <v>1</v>
      </c>
      <c r="J492">
        <v>5</v>
      </c>
      <c r="K492">
        <v>3</v>
      </c>
      <c r="L492" t="s">
        <v>21</v>
      </c>
      <c r="M492" t="s">
        <v>29</v>
      </c>
      <c r="N492" t="s">
        <v>34</v>
      </c>
      <c r="O492" t="s">
        <v>30</v>
      </c>
    </row>
    <row r="493" spans="1:15" x14ac:dyDescent="0.3">
      <c r="A493" t="s">
        <v>693</v>
      </c>
      <c r="B493" t="s">
        <v>273</v>
      </c>
      <c r="C493" t="s">
        <v>17</v>
      </c>
      <c r="D493">
        <v>44</v>
      </c>
      <c r="E493" t="s">
        <v>18</v>
      </c>
      <c r="F493" t="s">
        <v>126</v>
      </c>
      <c r="G493" t="s">
        <v>28</v>
      </c>
      <c r="H493">
        <v>92000</v>
      </c>
      <c r="I493">
        <v>9</v>
      </c>
      <c r="J493">
        <v>3</v>
      </c>
      <c r="K493">
        <v>5</v>
      </c>
      <c r="L493" t="s">
        <v>29</v>
      </c>
      <c r="M493" t="s">
        <v>29</v>
      </c>
      <c r="N493" t="s">
        <v>22</v>
      </c>
      <c r="O493" t="s">
        <v>38</v>
      </c>
    </row>
    <row r="494" spans="1:15" x14ac:dyDescent="0.3">
      <c r="A494" t="s">
        <v>694</v>
      </c>
      <c r="B494" t="s">
        <v>292</v>
      </c>
      <c r="C494" t="s">
        <v>17</v>
      </c>
      <c r="D494">
        <v>43</v>
      </c>
      <c r="E494" t="s">
        <v>18</v>
      </c>
      <c r="F494" t="s">
        <v>126</v>
      </c>
      <c r="G494" t="s">
        <v>20</v>
      </c>
      <c r="H494">
        <v>43000</v>
      </c>
      <c r="I494">
        <v>0</v>
      </c>
      <c r="J494">
        <v>5</v>
      </c>
      <c r="K494">
        <v>1</v>
      </c>
      <c r="L494" t="s">
        <v>21</v>
      </c>
      <c r="M494" t="s">
        <v>21</v>
      </c>
      <c r="N494" t="s">
        <v>34</v>
      </c>
      <c r="O494" t="s">
        <v>38</v>
      </c>
    </row>
    <row r="495" spans="1:15" x14ac:dyDescent="0.3">
      <c r="A495" t="s">
        <v>695</v>
      </c>
      <c r="B495" t="s">
        <v>197</v>
      </c>
      <c r="C495" t="s">
        <v>37</v>
      </c>
      <c r="D495">
        <v>44</v>
      </c>
      <c r="E495" t="s">
        <v>57</v>
      </c>
      <c r="F495" t="s">
        <v>50</v>
      </c>
      <c r="G495" t="s">
        <v>20</v>
      </c>
      <c r="H495">
        <v>82000</v>
      </c>
      <c r="I495">
        <v>12</v>
      </c>
      <c r="J495">
        <v>3</v>
      </c>
      <c r="K495">
        <v>4</v>
      </c>
      <c r="L495" t="s">
        <v>21</v>
      </c>
      <c r="M495" t="s">
        <v>21</v>
      </c>
      <c r="N495" t="s">
        <v>22</v>
      </c>
      <c r="O495" t="s">
        <v>30</v>
      </c>
    </row>
    <row r="496" spans="1:15" x14ac:dyDescent="0.3">
      <c r="A496" t="s">
        <v>696</v>
      </c>
      <c r="B496" t="s">
        <v>125</v>
      </c>
      <c r="C496" t="s">
        <v>17</v>
      </c>
      <c r="D496">
        <v>24</v>
      </c>
      <c r="E496" t="s">
        <v>41</v>
      </c>
      <c r="F496" t="s">
        <v>73</v>
      </c>
      <c r="G496" t="s">
        <v>20</v>
      </c>
      <c r="H496">
        <v>63000</v>
      </c>
      <c r="I496">
        <v>3</v>
      </c>
      <c r="J496">
        <v>3</v>
      </c>
      <c r="K496">
        <v>5</v>
      </c>
      <c r="L496" t="s">
        <v>29</v>
      </c>
      <c r="M496" t="s">
        <v>29</v>
      </c>
      <c r="N496" t="s">
        <v>34</v>
      </c>
      <c r="O496" t="s">
        <v>70</v>
      </c>
    </row>
    <row r="497" spans="1:15" x14ac:dyDescent="0.3">
      <c r="A497" t="s">
        <v>697</v>
      </c>
      <c r="B497" t="s">
        <v>56</v>
      </c>
      <c r="C497" t="s">
        <v>17</v>
      </c>
      <c r="D497">
        <v>51</v>
      </c>
      <c r="E497" t="s">
        <v>66</v>
      </c>
      <c r="F497" t="s">
        <v>67</v>
      </c>
      <c r="G497" t="s">
        <v>28</v>
      </c>
      <c r="H497">
        <v>51000</v>
      </c>
      <c r="I497">
        <v>10</v>
      </c>
      <c r="J497">
        <v>4</v>
      </c>
      <c r="K497">
        <v>5</v>
      </c>
      <c r="L497" t="s">
        <v>21</v>
      </c>
      <c r="M497" t="s">
        <v>29</v>
      </c>
      <c r="N497" t="s">
        <v>34</v>
      </c>
      <c r="O497" t="s">
        <v>54</v>
      </c>
    </row>
    <row r="498" spans="1:15" x14ac:dyDescent="0.3">
      <c r="A498" t="s">
        <v>698</v>
      </c>
      <c r="B498" t="s">
        <v>59</v>
      </c>
      <c r="C498" t="s">
        <v>17</v>
      </c>
      <c r="D498">
        <v>38</v>
      </c>
      <c r="E498" t="s">
        <v>49</v>
      </c>
      <c r="F498" t="s">
        <v>50</v>
      </c>
      <c r="G498" t="s">
        <v>28</v>
      </c>
      <c r="H498">
        <v>98000</v>
      </c>
      <c r="I498">
        <v>1</v>
      </c>
      <c r="J498">
        <v>3</v>
      </c>
      <c r="K498">
        <v>5</v>
      </c>
      <c r="L498" t="s">
        <v>29</v>
      </c>
      <c r="M498" t="s">
        <v>29</v>
      </c>
      <c r="N498" t="s">
        <v>22</v>
      </c>
      <c r="O498" t="s">
        <v>38</v>
      </c>
    </row>
    <row r="499" spans="1:15" x14ac:dyDescent="0.3">
      <c r="A499" t="s">
        <v>699</v>
      </c>
      <c r="B499" t="s">
        <v>529</v>
      </c>
      <c r="C499" t="s">
        <v>17</v>
      </c>
      <c r="D499">
        <v>45</v>
      </c>
      <c r="E499" t="s">
        <v>41</v>
      </c>
      <c r="F499" t="s">
        <v>73</v>
      </c>
      <c r="G499" t="s">
        <v>33</v>
      </c>
      <c r="H499">
        <v>113000</v>
      </c>
      <c r="I499">
        <v>7</v>
      </c>
      <c r="J499">
        <v>3</v>
      </c>
      <c r="K499">
        <v>3</v>
      </c>
      <c r="L499" t="s">
        <v>21</v>
      </c>
      <c r="M499" t="s">
        <v>29</v>
      </c>
      <c r="N499" t="s">
        <v>22</v>
      </c>
      <c r="O499" t="s">
        <v>30</v>
      </c>
    </row>
    <row r="500" spans="1:15" x14ac:dyDescent="0.3">
      <c r="A500" t="s">
        <v>700</v>
      </c>
      <c r="B500" t="s">
        <v>122</v>
      </c>
      <c r="C500" t="s">
        <v>37</v>
      </c>
      <c r="D500">
        <v>40</v>
      </c>
      <c r="E500" t="s">
        <v>41</v>
      </c>
      <c r="F500" t="s">
        <v>42</v>
      </c>
      <c r="G500" t="s">
        <v>28</v>
      </c>
      <c r="H500">
        <v>111000</v>
      </c>
      <c r="I500">
        <v>9</v>
      </c>
      <c r="J500">
        <v>4</v>
      </c>
      <c r="K500">
        <v>5</v>
      </c>
      <c r="L500" t="s">
        <v>29</v>
      </c>
      <c r="M500" t="s">
        <v>29</v>
      </c>
      <c r="N500" t="s">
        <v>22</v>
      </c>
      <c r="O500" t="s">
        <v>38</v>
      </c>
    </row>
    <row r="501" spans="1:15" x14ac:dyDescent="0.3">
      <c r="A501" t="s">
        <v>701</v>
      </c>
      <c r="B501" t="s">
        <v>253</v>
      </c>
      <c r="C501" t="s">
        <v>17</v>
      </c>
      <c r="D501">
        <v>31</v>
      </c>
      <c r="E501" t="s">
        <v>66</v>
      </c>
      <c r="F501" t="s">
        <v>82</v>
      </c>
      <c r="G501" t="s">
        <v>46</v>
      </c>
      <c r="H501">
        <v>25000</v>
      </c>
      <c r="I501">
        <v>10</v>
      </c>
      <c r="J501">
        <v>5</v>
      </c>
      <c r="K501">
        <v>2</v>
      </c>
      <c r="L501" t="s">
        <v>21</v>
      </c>
      <c r="M501" t="s">
        <v>29</v>
      </c>
      <c r="N501" t="s">
        <v>22</v>
      </c>
      <c r="O501" t="s">
        <v>54</v>
      </c>
    </row>
    <row r="502" spans="1:15" x14ac:dyDescent="0.3">
      <c r="A502" t="s">
        <v>702</v>
      </c>
      <c r="B502" t="s">
        <v>263</v>
      </c>
      <c r="C502" t="s">
        <v>37</v>
      </c>
      <c r="D502">
        <v>43</v>
      </c>
      <c r="E502" t="s">
        <v>49</v>
      </c>
      <c r="F502" t="s">
        <v>27</v>
      </c>
      <c r="G502" t="s">
        <v>20</v>
      </c>
      <c r="H502">
        <v>45000</v>
      </c>
      <c r="I502">
        <v>0</v>
      </c>
      <c r="J502">
        <v>4</v>
      </c>
      <c r="K502">
        <v>5</v>
      </c>
      <c r="L502" t="s">
        <v>29</v>
      </c>
      <c r="M502" t="s">
        <v>29</v>
      </c>
      <c r="N502" t="s">
        <v>34</v>
      </c>
      <c r="O502" t="s">
        <v>70</v>
      </c>
    </row>
    <row r="503" spans="1:15" x14ac:dyDescent="0.3">
      <c r="A503" t="s">
        <v>703</v>
      </c>
      <c r="B503" t="s">
        <v>219</v>
      </c>
      <c r="C503" t="s">
        <v>37</v>
      </c>
      <c r="D503">
        <v>53</v>
      </c>
      <c r="E503" t="s">
        <v>57</v>
      </c>
      <c r="F503" t="s">
        <v>27</v>
      </c>
      <c r="G503" t="s">
        <v>33</v>
      </c>
      <c r="H503">
        <v>63000</v>
      </c>
      <c r="I503">
        <v>13</v>
      </c>
      <c r="J503">
        <v>3</v>
      </c>
      <c r="K503">
        <v>4</v>
      </c>
      <c r="L503" t="s">
        <v>21</v>
      </c>
      <c r="M503" t="s">
        <v>29</v>
      </c>
      <c r="N503" t="s">
        <v>22</v>
      </c>
      <c r="O503" t="s">
        <v>38</v>
      </c>
    </row>
    <row r="504" spans="1:15" x14ac:dyDescent="0.3">
      <c r="A504" t="s">
        <v>704</v>
      </c>
      <c r="B504" t="s">
        <v>633</v>
      </c>
      <c r="C504" t="s">
        <v>37</v>
      </c>
      <c r="D504">
        <v>33</v>
      </c>
      <c r="E504" t="s">
        <v>18</v>
      </c>
      <c r="F504" t="s">
        <v>126</v>
      </c>
      <c r="G504" t="s">
        <v>28</v>
      </c>
      <c r="H504">
        <v>66000</v>
      </c>
      <c r="I504">
        <v>12</v>
      </c>
      <c r="J504">
        <v>4</v>
      </c>
      <c r="K504">
        <v>3</v>
      </c>
      <c r="L504" t="s">
        <v>21</v>
      </c>
      <c r="M504" t="s">
        <v>29</v>
      </c>
      <c r="N504" t="s">
        <v>34</v>
      </c>
      <c r="O504" t="s">
        <v>43</v>
      </c>
    </row>
    <row r="505" spans="1:15" x14ac:dyDescent="0.3">
      <c r="A505" t="s">
        <v>705</v>
      </c>
      <c r="B505" t="s">
        <v>706</v>
      </c>
      <c r="C505" t="s">
        <v>17</v>
      </c>
      <c r="D505">
        <v>22</v>
      </c>
      <c r="E505" t="s">
        <v>26</v>
      </c>
      <c r="F505" t="s">
        <v>50</v>
      </c>
      <c r="G505" t="s">
        <v>33</v>
      </c>
      <c r="H505">
        <v>101000</v>
      </c>
      <c r="I505">
        <v>1</v>
      </c>
      <c r="J505">
        <v>5</v>
      </c>
      <c r="K505">
        <v>1</v>
      </c>
      <c r="L505" t="s">
        <v>29</v>
      </c>
      <c r="M505" t="s">
        <v>29</v>
      </c>
      <c r="N505" t="s">
        <v>22</v>
      </c>
      <c r="O505" t="s">
        <v>51</v>
      </c>
    </row>
    <row r="506" spans="1:15" x14ac:dyDescent="0.3">
      <c r="A506" t="s">
        <v>707</v>
      </c>
      <c r="B506" t="s">
        <v>59</v>
      </c>
      <c r="C506" t="s">
        <v>37</v>
      </c>
      <c r="D506">
        <v>51</v>
      </c>
      <c r="E506" t="s">
        <v>18</v>
      </c>
      <c r="F506" t="s">
        <v>19</v>
      </c>
      <c r="G506" t="s">
        <v>46</v>
      </c>
      <c r="H506">
        <v>80000</v>
      </c>
      <c r="I506">
        <v>5</v>
      </c>
      <c r="J506">
        <v>3</v>
      </c>
      <c r="K506">
        <v>4</v>
      </c>
      <c r="L506" t="s">
        <v>21</v>
      </c>
      <c r="M506" t="s">
        <v>29</v>
      </c>
      <c r="N506" t="s">
        <v>22</v>
      </c>
      <c r="O506" t="s">
        <v>43</v>
      </c>
    </row>
    <row r="507" spans="1:15" x14ac:dyDescent="0.3">
      <c r="A507" t="s">
        <v>708</v>
      </c>
      <c r="B507" t="s">
        <v>709</v>
      </c>
      <c r="C507" t="s">
        <v>17</v>
      </c>
      <c r="D507">
        <v>34</v>
      </c>
      <c r="E507" t="s">
        <v>49</v>
      </c>
      <c r="F507" t="s">
        <v>27</v>
      </c>
      <c r="G507" t="s">
        <v>46</v>
      </c>
      <c r="H507">
        <v>44000</v>
      </c>
      <c r="I507">
        <v>13</v>
      </c>
      <c r="J507">
        <v>5</v>
      </c>
      <c r="K507">
        <v>1</v>
      </c>
      <c r="L507" t="s">
        <v>21</v>
      </c>
      <c r="M507" t="s">
        <v>21</v>
      </c>
      <c r="N507" t="s">
        <v>34</v>
      </c>
      <c r="O507" t="s">
        <v>51</v>
      </c>
    </row>
    <row r="508" spans="1:15" x14ac:dyDescent="0.3">
      <c r="A508" t="s">
        <v>710</v>
      </c>
      <c r="B508" t="s">
        <v>16</v>
      </c>
      <c r="C508" t="s">
        <v>37</v>
      </c>
      <c r="D508">
        <v>49</v>
      </c>
      <c r="E508" t="s">
        <v>57</v>
      </c>
      <c r="F508" t="s">
        <v>27</v>
      </c>
      <c r="G508" t="s">
        <v>46</v>
      </c>
      <c r="H508">
        <v>100000</v>
      </c>
      <c r="I508">
        <v>3</v>
      </c>
      <c r="J508">
        <v>4</v>
      </c>
      <c r="K508">
        <v>4</v>
      </c>
      <c r="L508" t="s">
        <v>21</v>
      </c>
      <c r="M508" t="s">
        <v>29</v>
      </c>
      <c r="N508" t="s">
        <v>22</v>
      </c>
      <c r="O508" t="s">
        <v>38</v>
      </c>
    </row>
    <row r="509" spans="1:15" x14ac:dyDescent="0.3">
      <c r="A509" t="s">
        <v>711</v>
      </c>
      <c r="B509" t="s">
        <v>203</v>
      </c>
      <c r="C509" t="s">
        <v>37</v>
      </c>
      <c r="D509">
        <v>29</v>
      </c>
      <c r="E509" t="s">
        <v>57</v>
      </c>
      <c r="F509" t="s">
        <v>50</v>
      </c>
      <c r="G509" t="s">
        <v>28</v>
      </c>
      <c r="H509">
        <v>47000</v>
      </c>
      <c r="I509">
        <v>8</v>
      </c>
      <c r="J509">
        <v>4</v>
      </c>
      <c r="K509">
        <v>2</v>
      </c>
      <c r="L509" t="s">
        <v>21</v>
      </c>
      <c r="M509" t="s">
        <v>29</v>
      </c>
      <c r="N509" t="s">
        <v>22</v>
      </c>
      <c r="O509" t="s">
        <v>54</v>
      </c>
    </row>
    <row r="510" spans="1:15" x14ac:dyDescent="0.3">
      <c r="A510" t="s">
        <v>712</v>
      </c>
      <c r="B510" t="s">
        <v>486</v>
      </c>
      <c r="C510" t="s">
        <v>17</v>
      </c>
      <c r="D510">
        <v>44</v>
      </c>
      <c r="E510" t="s">
        <v>57</v>
      </c>
      <c r="F510" t="s">
        <v>27</v>
      </c>
      <c r="G510" t="s">
        <v>20</v>
      </c>
      <c r="H510">
        <v>101000</v>
      </c>
      <c r="I510">
        <v>20</v>
      </c>
      <c r="J510">
        <v>3</v>
      </c>
      <c r="K510">
        <v>4</v>
      </c>
      <c r="L510" t="s">
        <v>29</v>
      </c>
      <c r="M510" t="s">
        <v>29</v>
      </c>
      <c r="N510" t="s">
        <v>34</v>
      </c>
      <c r="O510" t="s">
        <v>23</v>
      </c>
    </row>
    <row r="511" spans="1:15" x14ac:dyDescent="0.3">
      <c r="A511" t="s">
        <v>713</v>
      </c>
      <c r="B511" t="s">
        <v>84</v>
      </c>
      <c r="C511" t="s">
        <v>17</v>
      </c>
      <c r="D511">
        <v>29</v>
      </c>
      <c r="E511" t="s">
        <v>41</v>
      </c>
      <c r="F511" t="s">
        <v>42</v>
      </c>
      <c r="G511" t="s">
        <v>46</v>
      </c>
      <c r="H511">
        <v>94000</v>
      </c>
      <c r="I511">
        <v>8</v>
      </c>
      <c r="J511">
        <v>5</v>
      </c>
      <c r="K511">
        <v>5</v>
      </c>
      <c r="L511" t="s">
        <v>21</v>
      </c>
      <c r="M511" t="s">
        <v>29</v>
      </c>
      <c r="N511" t="s">
        <v>22</v>
      </c>
      <c r="O511" t="s">
        <v>30</v>
      </c>
    </row>
    <row r="512" spans="1:15" x14ac:dyDescent="0.3">
      <c r="A512" t="s">
        <v>714</v>
      </c>
      <c r="B512" t="s">
        <v>244</v>
      </c>
      <c r="C512" t="s">
        <v>17</v>
      </c>
      <c r="D512">
        <v>48</v>
      </c>
      <c r="E512" t="s">
        <v>49</v>
      </c>
      <c r="F512" t="s">
        <v>50</v>
      </c>
      <c r="G512" t="s">
        <v>28</v>
      </c>
      <c r="H512">
        <v>43000</v>
      </c>
      <c r="I512">
        <v>6</v>
      </c>
      <c r="J512">
        <v>4</v>
      </c>
      <c r="K512">
        <v>1</v>
      </c>
      <c r="L512" t="s">
        <v>21</v>
      </c>
      <c r="M512" t="s">
        <v>21</v>
      </c>
      <c r="N512" t="s">
        <v>22</v>
      </c>
      <c r="O512" t="s">
        <v>51</v>
      </c>
    </row>
    <row r="513" spans="1:15" x14ac:dyDescent="0.3">
      <c r="A513" t="s">
        <v>715</v>
      </c>
      <c r="B513" t="s">
        <v>666</v>
      </c>
      <c r="C513" t="s">
        <v>37</v>
      </c>
      <c r="D513">
        <v>34</v>
      </c>
      <c r="E513" t="s">
        <v>26</v>
      </c>
      <c r="F513" t="s">
        <v>27</v>
      </c>
      <c r="G513" t="s">
        <v>20</v>
      </c>
      <c r="H513">
        <v>109000</v>
      </c>
      <c r="I513">
        <v>9</v>
      </c>
      <c r="J513">
        <v>3</v>
      </c>
      <c r="K513">
        <v>4</v>
      </c>
      <c r="L513" t="s">
        <v>21</v>
      </c>
      <c r="M513" t="s">
        <v>29</v>
      </c>
      <c r="N513" t="s">
        <v>22</v>
      </c>
      <c r="O513" t="s">
        <v>54</v>
      </c>
    </row>
    <row r="514" spans="1:15" x14ac:dyDescent="0.3">
      <c r="A514" t="s">
        <v>716</v>
      </c>
      <c r="B514" t="s">
        <v>111</v>
      </c>
      <c r="C514" t="s">
        <v>17</v>
      </c>
      <c r="D514">
        <v>44</v>
      </c>
      <c r="E514" t="s">
        <v>41</v>
      </c>
      <c r="F514" t="s">
        <v>42</v>
      </c>
      <c r="G514" t="s">
        <v>28</v>
      </c>
      <c r="H514">
        <v>81000</v>
      </c>
      <c r="I514">
        <v>13</v>
      </c>
      <c r="J514">
        <v>4</v>
      </c>
      <c r="K514">
        <v>2</v>
      </c>
      <c r="L514" t="s">
        <v>21</v>
      </c>
      <c r="M514" t="s">
        <v>21</v>
      </c>
      <c r="N514" t="s">
        <v>22</v>
      </c>
      <c r="O514" t="s">
        <v>75</v>
      </c>
    </row>
    <row r="515" spans="1:15" x14ac:dyDescent="0.3">
      <c r="A515" t="s">
        <v>717</v>
      </c>
      <c r="B515" t="s">
        <v>292</v>
      </c>
      <c r="C515" t="s">
        <v>17</v>
      </c>
      <c r="D515">
        <v>41</v>
      </c>
      <c r="E515" t="s">
        <v>26</v>
      </c>
      <c r="F515" t="s">
        <v>27</v>
      </c>
      <c r="G515" t="s">
        <v>33</v>
      </c>
      <c r="H515">
        <v>53000</v>
      </c>
      <c r="I515">
        <v>12</v>
      </c>
      <c r="J515">
        <v>4</v>
      </c>
      <c r="K515">
        <v>3</v>
      </c>
      <c r="L515" t="s">
        <v>21</v>
      </c>
      <c r="M515" t="s">
        <v>29</v>
      </c>
      <c r="N515" t="s">
        <v>22</v>
      </c>
      <c r="O515" t="s">
        <v>38</v>
      </c>
    </row>
    <row r="516" spans="1:15" x14ac:dyDescent="0.3">
      <c r="A516" t="s">
        <v>718</v>
      </c>
      <c r="B516" t="s">
        <v>297</v>
      </c>
      <c r="C516" t="s">
        <v>17</v>
      </c>
      <c r="D516">
        <v>28</v>
      </c>
      <c r="E516" t="s">
        <v>18</v>
      </c>
      <c r="F516" t="s">
        <v>19</v>
      </c>
      <c r="G516" t="s">
        <v>33</v>
      </c>
      <c r="H516">
        <v>53000</v>
      </c>
      <c r="I516">
        <v>7</v>
      </c>
      <c r="J516">
        <v>3</v>
      </c>
      <c r="K516">
        <v>3</v>
      </c>
      <c r="L516" t="s">
        <v>29</v>
      </c>
      <c r="M516" t="s">
        <v>29</v>
      </c>
      <c r="N516" t="s">
        <v>34</v>
      </c>
      <c r="O516" t="s">
        <v>43</v>
      </c>
    </row>
    <row r="517" spans="1:15" x14ac:dyDescent="0.3">
      <c r="A517" t="s">
        <v>719</v>
      </c>
      <c r="B517" t="s">
        <v>145</v>
      </c>
      <c r="C517" t="s">
        <v>17</v>
      </c>
      <c r="D517">
        <v>33</v>
      </c>
      <c r="E517" t="s">
        <v>57</v>
      </c>
      <c r="F517" t="s">
        <v>27</v>
      </c>
      <c r="G517" t="s">
        <v>28</v>
      </c>
      <c r="H517">
        <v>111000</v>
      </c>
      <c r="I517">
        <v>0</v>
      </c>
      <c r="J517">
        <v>3</v>
      </c>
      <c r="K517">
        <v>1</v>
      </c>
      <c r="L517" t="s">
        <v>21</v>
      </c>
      <c r="M517" t="s">
        <v>21</v>
      </c>
      <c r="N517" t="s">
        <v>34</v>
      </c>
      <c r="O517" t="s">
        <v>54</v>
      </c>
    </row>
    <row r="518" spans="1:15" x14ac:dyDescent="0.3">
      <c r="A518" t="s">
        <v>720</v>
      </c>
      <c r="B518" t="s">
        <v>86</v>
      </c>
      <c r="C518" t="s">
        <v>37</v>
      </c>
      <c r="D518">
        <v>46</v>
      </c>
      <c r="E518" t="s">
        <v>41</v>
      </c>
      <c r="F518" t="s">
        <v>73</v>
      </c>
      <c r="G518" t="s">
        <v>33</v>
      </c>
      <c r="H518">
        <v>80000</v>
      </c>
      <c r="I518">
        <v>1</v>
      </c>
      <c r="J518">
        <v>2</v>
      </c>
      <c r="K518">
        <v>5</v>
      </c>
      <c r="L518" t="s">
        <v>29</v>
      </c>
      <c r="M518" t="s">
        <v>29</v>
      </c>
      <c r="N518" t="s">
        <v>34</v>
      </c>
      <c r="O518" t="s">
        <v>43</v>
      </c>
    </row>
    <row r="519" spans="1:15" x14ac:dyDescent="0.3">
      <c r="A519" t="s">
        <v>721</v>
      </c>
      <c r="B519" t="s">
        <v>379</v>
      </c>
      <c r="C519" t="s">
        <v>17</v>
      </c>
      <c r="D519">
        <v>46</v>
      </c>
      <c r="E519" t="s">
        <v>41</v>
      </c>
      <c r="F519" t="s">
        <v>42</v>
      </c>
      <c r="G519" t="s">
        <v>33</v>
      </c>
      <c r="H519">
        <v>74000</v>
      </c>
      <c r="I519">
        <v>7</v>
      </c>
      <c r="J519">
        <v>3</v>
      </c>
      <c r="K519">
        <v>4</v>
      </c>
      <c r="L519" t="s">
        <v>21</v>
      </c>
      <c r="M519" t="s">
        <v>29</v>
      </c>
      <c r="N519" t="s">
        <v>22</v>
      </c>
      <c r="O519" t="s">
        <v>70</v>
      </c>
    </row>
    <row r="520" spans="1:15" x14ac:dyDescent="0.3">
      <c r="A520" t="s">
        <v>722</v>
      </c>
      <c r="B520" t="s">
        <v>215</v>
      </c>
      <c r="C520" t="s">
        <v>37</v>
      </c>
      <c r="D520">
        <v>29</v>
      </c>
      <c r="E520" t="s">
        <v>26</v>
      </c>
      <c r="F520" t="s">
        <v>50</v>
      </c>
      <c r="G520" t="s">
        <v>28</v>
      </c>
      <c r="H520">
        <v>37000</v>
      </c>
      <c r="I520">
        <v>8</v>
      </c>
      <c r="J520">
        <v>4</v>
      </c>
      <c r="K520">
        <v>2</v>
      </c>
      <c r="L520" t="s">
        <v>29</v>
      </c>
      <c r="M520" t="s">
        <v>29</v>
      </c>
      <c r="N520" t="s">
        <v>22</v>
      </c>
      <c r="O520" t="s">
        <v>43</v>
      </c>
    </row>
    <row r="521" spans="1:15" x14ac:dyDescent="0.3">
      <c r="A521" t="s">
        <v>723</v>
      </c>
      <c r="B521" t="s">
        <v>706</v>
      </c>
      <c r="C521" t="s">
        <v>37</v>
      </c>
      <c r="D521">
        <v>37</v>
      </c>
      <c r="E521" t="s">
        <v>57</v>
      </c>
      <c r="F521" t="s">
        <v>50</v>
      </c>
      <c r="G521" t="s">
        <v>46</v>
      </c>
      <c r="H521">
        <v>36000</v>
      </c>
      <c r="I521">
        <v>11</v>
      </c>
      <c r="J521">
        <v>5</v>
      </c>
      <c r="K521">
        <v>1</v>
      </c>
      <c r="L521" t="s">
        <v>21</v>
      </c>
      <c r="M521" t="s">
        <v>21</v>
      </c>
      <c r="N521" t="s">
        <v>34</v>
      </c>
      <c r="O521" t="s">
        <v>43</v>
      </c>
    </row>
    <row r="522" spans="1:15" x14ac:dyDescent="0.3">
      <c r="A522" t="s">
        <v>724</v>
      </c>
      <c r="B522" t="s">
        <v>217</v>
      </c>
      <c r="C522" t="s">
        <v>17</v>
      </c>
      <c r="D522">
        <v>55</v>
      </c>
      <c r="E522" t="s">
        <v>26</v>
      </c>
      <c r="F522" t="s">
        <v>50</v>
      </c>
      <c r="G522" t="s">
        <v>20</v>
      </c>
      <c r="H522">
        <v>94000</v>
      </c>
      <c r="I522">
        <v>6</v>
      </c>
      <c r="J522">
        <v>5</v>
      </c>
      <c r="K522">
        <v>5</v>
      </c>
      <c r="L522" t="s">
        <v>21</v>
      </c>
      <c r="M522" t="s">
        <v>29</v>
      </c>
      <c r="N522" t="s">
        <v>22</v>
      </c>
      <c r="O522" t="s">
        <v>38</v>
      </c>
    </row>
    <row r="523" spans="1:15" x14ac:dyDescent="0.3">
      <c r="A523" t="s">
        <v>725</v>
      </c>
      <c r="B523" t="s">
        <v>154</v>
      </c>
      <c r="C523" t="s">
        <v>37</v>
      </c>
      <c r="D523">
        <v>54</v>
      </c>
      <c r="E523" t="s">
        <v>41</v>
      </c>
      <c r="F523" t="s">
        <v>42</v>
      </c>
      <c r="G523" t="s">
        <v>28</v>
      </c>
      <c r="H523">
        <v>40000</v>
      </c>
      <c r="I523">
        <v>16</v>
      </c>
      <c r="J523">
        <v>3</v>
      </c>
      <c r="K523">
        <v>3</v>
      </c>
      <c r="L523" t="s">
        <v>21</v>
      </c>
      <c r="M523" t="s">
        <v>29</v>
      </c>
      <c r="N523" t="s">
        <v>34</v>
      </c>
      <c r="O523" t="s">
        <v>75</v>
      </c>
    </row>
    <row r="524" spans="1:15" x14ac:dyDescent="0.3">
      <c r="A524" t="s">
        <v>726</v>
      </c>
      <c r="B524" t="s">
        <v>194</v>
      </c>
      <c r="C524" t="s">
        <v>17</v>
      </c>
      <c r="D524">
        <v>33</v>
      </c>
      <c r="E524" t="s">
        <v>66</v>
      </c>
      <c r="F524" t="s">
        <v>82</v>
      </c>
      <c r="G524" t="s">
        <v>20</v>
      </c>
      <c r="H524">
        <v>83000</v>
      </c>
      <c r="I524">
        <v>8</v>
      </c>
      <c r="J524">
        <v>2</v>
      </c>
      <c r="K524">
        <v>1</v>
      </c>
      <c r="L524" t="s">
        <v>21</v>
      </c>
      <c r="M524" t="s">
        <v>29</v>
      </c>
      <c r="N524" t="s">
        <v>34</v>
      </c>
      <c r="O524" t="s">
        <v>43</v>
      </c>
    </row>
    <row r="525" spans="1:15" x14ac:dyDescent="0.3">
      <c r="A525" t="s">
        <v>727</v>
      </c>
      <c r="B525" t="s">
        <v>454</v>
      </c>
      <c r="C525" t="s">
        <v>17</v>
      </c>
      <c r="D525">
        <v>31</v>
      </c>
      <c r="E525" t="s">
        <v>49</v>
      </c>
      <c r="F525" t="s">
        <v>50</v>
      </c>
      <c r="G525" t="s">
        <v>20</v>
      </c>
      <c r="H525">
        <v>67000</v>
      </c>
      <c r="I525">
        <v>10</v>
      </c>
      <c r="J525">
        <v>2</v>
      </c>
      <c r="K525">
        <v>1</v>
      </c>
      <c r="L525" t="s">
        <v>29</v>
      </c>
      <c r="M525" t="s">
        <v>29</v>
      </c>
      <c r="N525" t="s">
        <v>34</v>
      </c>
      <c r="O525" t="s">
        <v>70</v>
      </c>
    </row>
    <row r="526" spans="1:15" x14ac:dyDescent="0.3">
      <c r="A526" t="s">
        <v>728</v>
      </c>
      <c r="B526" t="s">
        <v>69</v>
      </c>
      <c r="C526" t="s">
        <v>37</v>
      </c>
      <c r="D526">
        <v>49</v>
      </c>
      <c r="E526" t="s">
        <v>66</v>
      </c>
      <c r="F526" t="s">
        <v>67</v>
      </c>
      <c r="G526" t="s">
        <v>33</v>
      </c>
      <c r="H526">
        <v>33000</v>
      </c>
      <c r="I526">
        <v>16</v>
      </c>
      <c r="J526">
        <v>5</v>
      </c>
      <c r="K526">
        <v>1</v>
      </c>
      <c r="L526" t="s">
        <v>21</v>
      </c>
      <c r="M526" t="s">
        <v>21</v>
      </c>
      <c r="N526" t="s">
        <v>22</v>
      </c>
      <c r="O526" t="s">
        <v>70</v>
      </c>
    </row>
    <row r="527" spans="1:15" x14ac:dyDescent="0.3">
      <c r="A527" t="s">
        <v>729</v>
      </c>
      <c r="B527" t="s">
        <v>269</v>
      </c>
      <c r="C527" t="s">
        <v>17</v>
      </c>
      <c r="D527">
        <v>42</v>
      </c>
      <c r="E527" t="s">
        <v>66</v>
      </c>
      <c r="F527" t="s">
        <v>67</v>
      </c>
      <c r="G527" t="s">
        <v>20</v>
      </c>
      <c r="H527">
        <v>76000</v>
      </c>
      <c r="I527">
        <v>9</v>
      </c>
      <c r="J527">
        <v>2</v>
      </c>
      <c r="K527">
        <v>1</v>
      </c>
      <c r="L527" t="s">
        <v>29</v>
      </c>
      <c r="M527" t="s">
        <v>29</v>
      </c>
      <c r="N527" t="s">
        <v>22</v>
      </c>
      <c r="O527" t="s">
        <v>43</v>
      </c>
    </row>
    <row r="528" spans="1:15" x14ac:dyDescent="0.3">
      <c r="A528" t="s">
        <v>730</v>
      </c>
      <c r="B528" t="s">
        <v>476</v>
      </c>
      <c r="C528" t="s">
        <v>37</v>
      </c>
      <c r="D528">
        <v>38</v>
      </c>
      <c r="E528" t="s">
        <v>57</v>
      </c>
      <c r="F528" t="s">
        <v>50</v>
      </c>
      <c r="G528" t="s">
        <v>33</v>
      </c>
      <c r="H528">
        <v>71000</v>
      </c>
      <c r="I528">
        <v>5</v>
      </c>
      <c r="J528">
        <v>3</v>
      </c>
      <c r="K528">
        <v>5</v>
      </c>
      <c r="L528" t="s">
        <v>21</v>
      </c>
      <c r="M528" t="s">
        <v>29</v>
      </c>
      <c r="N528" t="s">
        <v>34</v>
      </c>
      <c r="O528" t="s">
        <v>38</v>
      </c>
    </row>
    <row r="529" spans="1:15" x14ac:dyDescent="0.3">
      <c r="A529" t="s">
        <v>731</v>
      </c>
      <c r="B529" t="s">
        <v>269</v>
      </c>
      <c r="C529" t="s">
        <v>17</v>
      </c>
      <c r="D529">
        <v>39</v>
      </c>
      <c r="E529" t="s">
        <v>49</v>
      </c>
      <c r="F529" t="s">
        <v>27</v>
      </c>
      <c r="G529" t="s">
        <v>20</v>
      </c>
      <c r="H529">
        <v>96000</v>
      </c>
      <c r="I529">
        <v>8</v>
      </c>
      <c r="J529">
        <v>5</v>
      </c>
      <c r="K529">
        <v>2</v>
      </c>
      <c r="L529" t="s">
        <v>21</v>
      </c>
      <c r="M529" t="s">
        <v>21</v>
      </c>
      <c r="N529" t="s">
        <v>34</v>
      </c>
      <c r="O529" t="s">
        <v>70</v>
      </c>
    </row>
    <row r="530" spans="1:15" x14ac:dyDescent="0.3">
      <c r="A530" t="s">
        <v>732</v>
      </c>
      <c r="B530" t="s">
        <v>100</v>
      </c>
      <c r="C530" t="s">
        <v>17</v>
      </c>
      <c r="D530">
        <v>34</v>
      </c>
      <c r="E530" t="s">
        <v>57</v>
      </c>
      <c r="F530" t="s">
        <v>50</v>
      </c>
      <c r="G530" t="s">
        <v>33</v>
      </c>
      <c r="H530">
        <v>112000</v>
      </c>
      <c r="I530">
        <v>9</v>
      </c>
      <c r="J530">
        <v>5</v>
      </c>
      <c r="K530">
        <v>3</v>
      </c>
      <c r="L530" t="s">
        <v>21</v>
      </c>
      <c r="M530" t="s">
        <v>29</v>
      </c>
      <c r="N530" t="s">
        <v>34</v>
      </c>
      <c r="O530" t="s">
        <v>75</v>
      </c>
    </row>
    <row r="531" spans="1:15" x14ac:dyDescent="0.3">
      <c r="A531" t="s">
        <v>733</v>
      </c>
      <c r="B531" t="s">
        <v>118</v>
      </c>
      <c r="C531" t="s">
        <v>17</v>
      </c>
      <c r="D531">
        <v>22</v>
      </c>
      <c r="E531" t="s">
        <v>57</v>
      </c>
      <c r="F531" t="s">
        <v>50</v>
      </c>
      <c r="G531" t="s">
        <v>46</v>
      </c>
      <c r="H531">
        <v>94000</v>
      </c>
      <c r="I531">
        <v>1</v>
      </c>
      <c r="J531">
        <v>4</v>
      </c>
      <c r="K531">
        <v>3</v>
      </c>
      <c r="L531" t="s">
        <v>21</v>
      </c>
      <c r="M531" t="s">
        <v>29</v>
      </c>
      <c r="N531" t="s">
        <v>22</v>
      </c>
      <c r="O531" t="s">
        <v>70</v>
      </c>
    </row>
    <row r="532" spans="1:15" x14ac:dyDescent="0.3">
      <c r="A532" t="s">
        <v>734</v>
      </c>
      <c r="B532" t="s">
        <v>328</v>
      </c>
      <c r="C532" t="s">
        <v>17</v>
      </c>
      <c r="D532">
        <v>27</v>
      </c>
      <c r="E532" t="s">
        <v>18</v>
      </c>
      <c r="F532" t="s">
        <v>126</v>
      </c>
      <c r="G532" t="s">
        <v>33</v>
      </c>
      <c r="H532">
        <v>33000</v>
      </c>
      <c r="I532">
        <v>6</v>
      </c>
      <c r="J532">
        <v>3</v>
      </c>
      <c r="K532">
        <v>3</v>
      </c>
      <c r="L532" t="s">
        <v>21</v>
      </c>
      <c r="M532" t="s">
        <v>29</v>
      </c>
      <c r="N532" t="s">
        <v>34</v>
      </c>
      <c r="O532" t="s">
        <v>54</v>
      </c>
    </row>
    <row r="533" spans="1:15" x14ac:dyDescent="0.3">
      <c r="A533" t="s">
        <v>735</v>
      </c>
      <c r="B533" t="s">
        <v>541</v>
      </c>
      <c r="C533" t="s">
        <v>37</v>
      </c>
      <c r="D533">
        <v>48</v>
      </c>
      <c r="E533" t="s">
        <v>49</v>
      </c>
      <c r="F533" t="s">
        <v>50</v>
      </c>
      <c r="G533" t="s">
        <v>20</v>
      </c>
      <c r="H533">
        <v>95000</v>
      </c>
      <c r="I533">
        <v>13</v>
      </c>
      <c r="J533">
        <v>5</v>
      </c>
      <c r="K533">
        <v>1</v>
      </c>
      <c r="L533" t="s">
        <v>29</v>
      </c>
      <c r="M533" t="s">
        <v>29</v>
      </c>
      <c r="N533" t="s">
        <v>34</v>
      </c>
      <c r="O533" t="s">
        <v>43</v>
      </c>
    </row>
    <row r="534" spans="1:15" x14ac:dyDescent="0.3">
      <c r="A534" t="s">
        <v>736</v>
      </c>
      <c r="B534" t="s">
        <v>100</v>
      </c>
      <c r="C534" t="s">
        <v>37</v>
      </c>
      <c r="D534">
        <v>33</v>
      </c>
      <c r="E534" t="s">
        <v>18</v>
      </c>
      <c r="F534" t="s">
        <v>19</v>
      </c>
      <c r="G534" t="s">
        <v>46</v>
      </c>
      <c r="H534">
        <v>104000</v>
      </c>
      <c r="I534">
        <v>12</v>
      </c>
      <c r="J534">
        <v>5</v>
      </c>
      <c r="K534">
        <v>1</v>
      </c>
      <c r="L534" t="s">
        <v>21</v>
      </c>
      <c r="M534" t="s">
        <v>21</v>
      </c>
      <c r="N534" t="s">
        <v>34</v>
      </c>
      <c r="O534" t="s">
        <v>75</v>
      </c>
    </row>
    <row r="535" spans="1:15" x14ac:dyDescent="0.3">
      <c r="A535" t="s">
        <v>737</v>
      </c>
      <c r="B535" t="s">
        <v>448</v>
      </c>
      <c r="C535" t="s">
        <v>17</v>
      </c>
      <c r="D535">
        <v>49</v>
      </c>
      <c r="E535" t="s">
        <v>66</v>
      </c>
      <c r="F535" t="s">
        <v>67</v>
      </c>
      <c r="G535" t="s">
        <v>46</v>
      </c>
      <c r="H535">
        <v>98000</v>
      </c>
      <c r="I535">
        <v>7</v>
      </c>
      <c r="J535">
        <v>2</v>
      </c>
      <c r="K535">
        <v>5</v>
      </c>
      <c r="L535" t="s">
        <v>21</v>
      </c>
      <c r="M535" t="s">
        <v>29</v>
      </c>
      <c r="N535" t="s">
        <v>22</v>
      </c>
      <c r="O535" t="s">
        <v>38</v>
      </c>
    </row>
    <row r="536" spans="1:15" x14ac:dyDescent="0.3">
      <c r="A536" t="s">
        <v>738</v>
      </c>
      <c r="B536" t="s">
        <v>390</v>
      </c>
      <c r="C536" t="s">
        <v>37</v>
      </c>
      <c r="D536">
        <v>46</v>
      </c>
      <c r="E536" t="s">
        <v>49</v>
      </c>
      <c r="F536" t="s">
        <v>27</v>
      </c>
      <c r="G536" t="s">
        <v>28</v>
      </c>
      <c r="H536">
        <v>49000</v>
      </c>
      <c r="I536">
        <v>6</v>
      </c>
      <c r="J536">
        <v>5</v>
      </c>
      <c r="K536">
        <v>2</v>
      </c>
      <c r="L536" t="s">
        <v>29</v>
      </c>
      <c r="M536" t="s">
        <v>29</v>
      </c>
      <c r="N536" t="s">
        <v>22</v>
      </c>
      <c r="O536" t="s">
        <v>23</v>
      </c>
    </row>
    <row r="537" spans="1:15" x14ac:dyDescent="0.3">
      <c r="A537" t="s">
        <v>739</v>
      </c>
      <c r="B537" t="s">
        <v>92</v>
      </c>
      <c r="C537" t="s">
        <v>17</v>
      </c>
      <c r="D537">
        <v>32</v>
      </c>
      <c r="E537" t="s">
        <v>49</v>
      </c>
      <c r="F537" t="s">
        <v>27</v>
      </c>
      <c r="G537" t="s">
        <v>46</v>
      </c>
      <c r="H537">
        <v>87000</v>
      </c>
      <c r="I537">
        <v>7</v>
      </c>
      <c r="J537">
        <v>2</v>
      </c>
      <c r="K537">
        <v>3</v>
      </c>
      <c r="L537" t="s">
        <v>29</v>
      </c>
      <c r="M537" t="s">
        <v>29</v>
      </c>
      <c r="N537" t="s">
        <v>22</v>
      </c>
      <c r="O537" t="s">
        <v>75</v>
      </c>
    </row>
    <row r="538" spans="1:15" x14ac:dyDescent="0.3">
      <c r="A538" t="s">
        <v>740</v>
      </c>
      <c r="B538" t="s">
        <v>273</v>
      </c>
      <c r="C538" t="s">
        <v>17</v>
      </c>
      <c r="D538">
        <v>40</v>
      </c>
      <c r="E538" t="s">
        <v>26</v>
      </c>
      <c r="F538" t="s">
        <v>27</v>
      </c>
      <c r="G538" t="s">
        <v>20</v>
      </c>
      <c r="H538">
        <v>54000</v>
      </c>
      <c r="I538">
        <v>16</v>
      </c>
      <c r="J538">
        <v>4</v>
      </c>
      <c r="K538">
        <v>2</v>
      </c>
      <c r="L538" t="s">
        <v>21</v>
      </c>
      <c r="M538" t="s">
        <v>29</v>
      </c>
      <c r="N538" t="s">
        <v>34</v>
      </c>
      <c r="O538" t="s">
        <v>38</v>
      </c>
    </row>
    <row r="539" spans="1:15" x14ac:dyDescent="0.3">
      <c r="A539" t="s">
        <v>741</v>
      </c>
      <c r="B539" t="s">
        <v>302</v>
      </c>
      <c r="C539" t="s">
        <v>17</v>
      </c>
      <c r="D539">
        <v>28</v>
      </c>
      <c r="E539" t="s">
        <v>66</v>
      </c>
      <c r="F539" t="s">
        <v>67</v>
      </c>
      <c r="G539" t="s">
        <v>20</v>
      </c>
      <c r="H539">
        <v>77000</v>
      </c>
      <c r="I539">
        <v>3</v>
      </c>
      <c r="J539">
        <v>2</v>
      </c>
      <c r="K539">
        <v>1</v>
      </c>
      <c r="L539" t="s">
        <v>29</v>
      </c>
      <c r="M539" t="s">
        <v>21</v>
      </c>
      <c r="N539" t="s">
        <v>34</v>
      </c>
      <c r="O539" t="s">
        <v>43</v>
      </c>
    </row>
    <row r="540" spans="1:15" x14ac:dyDescent="0.3">
      <c r="A540" t="s">
        <v>742</v>
      </c>
      <c r="B540" t="s">
        <v>278</v>
      </c>
      <c r="C540" t="s">
        <v>17</v>
      </c>
      <c r="D540">
        <v>46</v>
      </c>
      <c r="E540" t="s">
        <v>57</v>
      </c>
      <c r="F540" t="s">
        <v>50</v>
      </c>
      <c r="G540" t="s">
        <v>20</v>
      </c>
      <c r="H540">
        <v>98000</v>
      </c>
      <c r="I540">
        <v>20</v>
      </c>
      <c r="J540">
        <v>4</v>
      </c>
      <c r="K540">
        <v>5</v>
      </c>
      <c r="L540" t="s">
        <v>21</v>
      </c>
      <c r="M540" t="s">
        <v>29</v>
      </c>
      <c r="N540" t="s">
        <v>34</v>
      </c>
      <c r="O540" t="s">
        <v>54</v>
      </c>
    </row>
    <row r="541" spans="1:15" x14ac:dyDescent="0.3">
      <c r="A541" t="s">
        <v>743</v>
      </c>
      <c r="B541" t="s">
        <v>118</v>
      </c>
      <c r="C541" t="s">
        <v>17</v>
      </c>
      <c r="D541">
        <v>25</v>
      </c>
      <c r="E541" t="s">
        <v>18</v>
      </c>
      <c r="F541" t="s">
        <v>19</v>
      </c>
      <c r="G541" t="s">
        <v>28</v>
      </c>
      <c r="H541">
        <v>92000</v>
      </c>
      <c r="I541">
        <v>4</v>
      </c>
      <c r="J541">
        <v>3</v>
      </c>
      <c r="K541">
        <v>3</v>
      </c>
      <c r="L541" t="s">
        <v>21</v>
      </c>
      <c r="M541" t="s">
        <v>29</v>
      </c>
      <c r="N541" t="s">
        <v>34</v>
      </c>
      <c r="O541" t="s">
        <v>43</v>
      </c>
    </row>
    <row r="542" spans="1:15" x14ac:dyDescent="0.3">
      <c r="A542" t="s">
        <v>744</v>
      </c>
      <c r="B542" t="s">
        <v>145</v>
      </c>
      <c r="C542" t="s">
        <v>37</v>
      </c>
      <c r="D542">
        <v>44</v>
      </c>
      <c r="E542" t="s">
        <v>49</v>
      </c>
      <c r="F542" t="s">
        <v>27</v>
      </c>
      <c r="G542" t="s">
        <v>46</v>
      </c>
      <c r="H542">
        <v>35000</v>
      </c>
      <c r="I542">
        <v>19</v>
      </c>
      <c r="J542">
        <v>4</v>
      </c>
      <c r="K542">
        <v>4</v>
      </c>
      <c r="L542" t="s">
        <v>21</v>
      </c>
      <c r="M542" t="s">
        <v>29</v>
      </c>
      <c r="N542" t="s">
        <v>22</v>
      </c>
      <c r="O542" t="s">
        <v>75</v>
      </c>
    </row>
    <row r="543" spans="1:15" x14ac:dyDescent="0.3">
      <c r="A543" t="s">
        <v>745</v>
      </c>
      <c r="B543" t="s">
        <v>61</v>
      </c>
      <c r="C543" t="s">
        <v>37</v>
      </c>
      <c r="D543">
        <v>28</v>
      </c>
      <c r="E543" t="s">
        <v>41</v>
      </c>
      <c r="F543" t="s">
        <v>42</v>
      </c>
      <c r="G543" t="s">
        <v>20</v>
      </c>
      <c r="H543">
        <v>44000</v>
      </c>
      <c r="I543">
        <v>7</v>
      </c>
      <c r="J543">
        <v>3</v>
      </c>
      <c r="K543">
        <v>2</v>
      </c>
      <c r="L543" t="s">
        <v>29</v>
      </c>
      <c r="M543" t="s">
        <v>29</v>
      </c>
      <c r="N543" t="s">
        <v>34</v>
      </c>
      <c r="O543" t="s">
        <v>54</v>
      </c>
    </row>
    <row r="544" spans="1:15" x14ac:dyDescent="0.3">
      <c r="A544" t="s">
        <v>746</v>
      </c>
      <c r="B544" t="s">
        <v>263</v>
      </c>
      <c r="C544" t="s">
        <v>17</v>
      </c>
      <c r="D544">
        <v>30</v>
      </c>
      <c r="E544" t="s">
        <v>49</v>
      </c>
      <c r="F544" t="s">
        <v>50</v>
      </c>
      <c r="G544" t="s">
        <v>33</v>
      </c>
      <c r="H544">
        <v>82000</v>
      </c>
      <c r="I544">
        <v>6</v>
      </c>
      <c r="J544">
        <v>4</v>
      </c>
      <c r="K544">
        <v>5</v>
      </c>
      <c r="L544" t="s">
        <v>21</v>
      </c>
      <c r="M544" t="s">
        <v>29</v>
      </c>
      <c r="N544" t="s">
        <v>22</v>
      </c>
      <c r="O544" t="s">
        <v>75</v>
      </c>
    </row>
    <row r="545" spans="1:15" x14ac:dyDescent="0.3">
      <c r="A545" t="s">
        <v>747</v>
      </c>
      <c r="B545" t="s">
        <v>608</v>
      </c>
      <c r="C545" t="s">
        <v>17</v>
      </c>
      <c r="D545">
        <v>55</v>
      </c>
      <c r="E545" t="s">
        <v>57</v>
      </c>
      <c r="F545" t="s">
        <v>50</v>
      </c>
      <c r="G545" t="s">
        <v>46</v>
      </c>
      <c r="H545">
        <v>104000</v>
      </c>
      <c r="I545">
        <v>17</v>
      </c>
      <c r="J545">
        <v>3</v>
      </c>
      <c r="K545">
        <v>4</v>
      </c>
      <c r="L545" t="s">
        <v>21</v>
      </c>
      <c r="M545" t="s">
        <v>29</v>
      </c>
      <c r="N545" t="s">
        <v>22</v>
      </c>
      <c r="O545" t="s">
        <v>54</v>
      </c>
    </row>
    <row r="546" spans="1:15" x14ac:dyDescent="0.3">
      <c r="A546" t="s">
        <v>748</v>
      </c>
      <c r="B546" t="s">
        <v>618</v>
      </c>
      <c r="C546" t="s">
        <v>37</v>
      </c>
      <c r="D546">
        <v>52</v>
      </c>
      <c r="E546" t="s">
        <v>57</v>
      </c>
      <c r="F546" t="s">
        <v>27</v>
      </c>
      <c r="G546" t="s">
        <v>46</v>
      </c>
      <c r="H546">
        <v>74000</v>
      </c>
      <c r="I546">
        <v>1</v>
      </c>
      <c r="J546">
        <v>3</v>
      </c>
      <c r="K546">
        <v>5</v>
      </c>
      <c r="L546" t="s">
        <v>29</v>
      </c>
      <c r="M546" t="s">
        <v>29</v>
      </c>
      <c r="N546" t="s">
        <v>34</v>
      </c>
      <c r="O546" t="s">
        <v>75</v>
      </c>
    </row>
    <row r="547" spans="1:15" x14ac:dyDescent="0.3">
      <c r="A547" t="s">
        <v>749</v>
      </c>
      <c r="B547" t="s">
        <v>32</v>
      </c>
      <c r="C547" t="s">
        <v>37</v>
      </c>
      <c r="D547">
        <v>30</v>
      </c>
      <c r="E547" t="s">
        <v>49</v>
      </c>
      <c r="F547" t="s">
        <v>50</v>
      </c>
      <c r="G547" t="s">
        <v>33</v>
      </c>
      <c r="H547">
        <v>41000</v>
      </c>
      <c r="I547">
        <v>9</v>
      </c>
      <c r="J547">
        <v>5</v>
      </c>
      <c r="K547">
        <v>4</v>
      </c>
      <c r="L547" t="s">
        <v>21</v>
      </c>
      <c r="M547" t="s">
        <v>29</v>
      </c>
      <c r="N547" t="s">
        <v>34</v>
      </c>
      <c r="O547" t="s">
        <v>54</v>
      </c>
    </row>
    <row r="548" spans="1:15" x14ac:dyDescent="0.3">
      <c r="A548" t="s">
        <v>750</v>
      </c>
      <c r="B548" t="s">
        <v>454</v>
      </c>
      <c r="C548" t="s">
        <v>17</v>
      </c>
      <c r="D548">
        <v>53</v>
      </c>
      <c r="E548" t="s">
        <v>26</v>
      </c>
      <c r="F548" t="s">
        <v>27</v>
      </c>
      <c r="G548" t="s">
        <v>46</v>
      </c>
      <c r="H548">
        <v>101000</v>
      </c>
      <c r="I548">
        <v>3</v>
      </c>
      <c r="J548">
        <v>5</v>
      </c>
      <c r="K548">
        <v>1</v>
      </c>
      <c r="L548" t="s">
        <v>21</v>
      </c>
      <c r="M548" t="s">
        <v>29</v>
      </c>
      <c r="N548" t="s">
        <v>34</v>
      </c>
      <c r="O548" t="s">
        <v>38</v>
      </c>
    </row>
    <row r="549" spans="1:15" x14ac:dyDescent="0.3">
      <c r="A549" t="s">
        <v>751</v>
      </c>
      <c r="B549" t="s">
        <v>357</v>
      </c>
      <c r="C549" t="s">
        <v>37</v>
      </c>
      <c r="D549">
        <v>51</v>
      </c>
      <c r="E549" t="s">
        <v>18</v>
      </c>
      <c r="F549" t="s">
        <v>126</v>
      </c>
      <c r="G549" t="s">
        <v>28</v>
      </c>
      <c r="H549">
        <v>72000</v>
      </c>
      <c r="I549">
        <v>20</v>
      </c>
      <c r="J549">
        <v>2</v>
      </c>
      <c r="K549">
        <v>5</v>
      </c>
      <c r="L549" t="s">
        <v>21</v>
      </c>
      <c r="M549" t="s">
        <v>29</v>
      </c>
      <c r="N549" t="s">
        <v>34</v>
      </c>
      <c r="O549" t="s">
        <v>54</v>
      </c>
    </row>
    <row r="550" spans="1:15" x14ac:dyDescent="0.3">
      <c r="A550" t="s">
        <v>752</v>
      </c>
      <c r="B550" t="s">
        <v>114</v>
      </c>
      <c r="C550" t="s">
        <v>17</v>
      </c>
      <c r="D550">
        <v>39</v>
      </c>
      <c r="E550" t="s">
        <v>18</v>
      </c>
      <c r="F550" t="s">
        <v>19</v>
      </c>
      <c r="G550" t="s">
        <v>28</v>
      </c>
      <c r="H550">
        <v>68000</v>
      </c>
      <c r="I550">
        <v>2</v>
      </c>
      <c r="J550">
        <v>2</v>
      </c>
      <c r="K550">
        <v>4</v>
      </c>
      <c r="L550" t="s">
        <v>21</v>
      </c>
      <c r="M550" t="s">
        <v>21</v>
      </c>
      <c r="N550" t="s">
        <v>34</v>
      </c>
      <c r="O550" t="s">
        <v>43</v>
      </c>
    </row>
    <row r="551" spans="1:15" x14ac:dyDescent="0.3">
      <c r="A551" t="s">
        <v>753</v>
      </c>
      <c r="B551" t="s">
        <v>77</v>
      </c>
      <c r="C551" t="s">
        <v>17</v>
      </c>
      <c r="D551">
        <v>37</v>
      </c>
      <c r="E551" t="s">
        <v>18</v>
      </c>
      <c r="F551" t="s">
        <v>126</v>
      </c>
      <c r="G551" t="s">
        <v>33</v>
      </c>
      <c r="H551">
        <v>104000</v>
      </c>
      <c r="I551">
        <v>7</v>
      </c>
      <c r="J551">
        <v>5</v>
      </c>
      <c r="K551">
        <v>4</v>
      </c>
      <c r="L551" t="s">
        <v>21</v>
      </c>
      <c r="M551" t="s">
        <v>29</v>
      </c>
      <c r="N551" t="s">
        <v>34</v>
      </c>
      <c r="O551" t="s">
        <v>23</v>
      </c>
    </row>
    <row r="552" spans="1:15" x14ac:dyDescent="0.3">
      <c r="A552" t="s">
        <v>754</v>
      </c>
      <c r="B552" t="s">
        <v>372</v>
      </c>
      <c r="C552" t="s">
        <v>37</v>
      </c>
      <c r="D552">
        <v>50</v>
      </c>
      <c r="E552" t="s">
        <v>49</v>
      </c>
      <c r="F552" t="s">
        <v>27</v>
      </c>
      <c r="G552" t="s">
        <v>28</v>
      </c>
      <c r="H552">
        <v>51000</v>
      </c>
      <c r="I552">
        <v>18</v>
      </c>
      <c r="J552">
        <v>4</v>
      </c>
      <c r="K552">
        <v>3</v>
      </c>
      <c r="L552" t="s">
        <v>29</v>
      </c>
      <c r="M552" t="s">
        <v>29</v>
      </c>
      <c r="N552" t="s">
        <v>34</v>
      </c>
      <c r="O552" t="s">
        <v>70</v>
      </c>
    </row>
    <row r="553" spans="1:15" x14ac:dyDescent="0.3">
      <c r="A553" t="s">
        <v>755</v>
      </c>
      <c r="B553" t="s">
        <v>32</v>
      </c>
      <c r="C553" t="s">
        <v>37</v>
      </c>
      <c r="D553">
        <v>43</v>
      </c>
      <c r="E553" t="s">
        <v>57</v>
      </c>
      <c r="F553" t="s">
        <v>27</v>
      </c>
      <c r="G553" t="s">
        <v>28</v>
      </c>
      <c r="H553">
        <v>77000</v>
      </c>
      <c r="I553">
        <v>15</v>
      </c>
      <c r="J553">
        <v>2</v>
      </c>
      <c r="K553">
        <v>3</v>
      </c>
      <c r="L553" t="s">
        <v>29</v>
      </c>
      <c r="M553" t="s">
        <v>29</v>
      </c>
      <c r="N553" t="s">
        <v>22</v>
      </c>
      <c r="O553" t="s">
        <v>43</v>
      </c>
    </row>
    <row r="554" spans="1:15" x14ac:dyDescent="0.3">
      <c r="A554" t="s">
        <v>756</v>
      </c>
      <c r="B554" t="s">
        <v>284</v>
      </c>
      <c r="C554" t="s">
        <v>37</v>
      </c>
      <c r="D554">
        <v>40</v>
      </c>
      <c r="E554" t="s">
        <v>18</v>
      </c>
      <c r="F554" t="s">
        <v>19</v>
      </c>
      <c r="G554" t="s">
        <v>28</v>
      </c>
      <c r="H554">
        <v>102000</v>
      </c>
      <c r="I554">
        <v>8</v>
      </c>
      <c r="J554">
        <v>5</v>
      </c>
      <c r="K554">
        <v>1</v>
      </c>
      <c r="L554" t="s">
        <v>29</v>
      </c>
      <c r="M554" t="s">
        <v>29</v>
      </c>
      <c r="N554" t="s">
        <v>22</v>
      </c>
      <c r="O554" t="s">
        <v>43</v>
      </c>
    </row>
    <row r="555" spans="1:15" x14ac:dyDescent="0.3">
      <c r="A555" t="s">
        <v>757</v>
      </c>
      <c r="B555" t="s">
        <v>56</v>
      </c>
      <c r="C555" t="s">
        <v>17</v>
      </c>
      <c r="D555">
        <v>47</v>
      </c>
      <c r="E555" t="s">
        <v>41</v>
      </c>
      <c r="F555" t="s">
        <v>73</v>
      </c>
      <c r="G555" t="s">
        <v>33</v>
      </c>
      <c r="H555">
        <v>45000</v>
      </c>
      <c r="I555">
        <v>2</v>
      </c>
      <c r="J555">
        <v>4</v>
      </c>
      <c r="K555">
        <v>1</v>
      </c>
      <c r="L555" t="s">
        <v>29</v>
      </c>
      <c r="M555" t="s">
        <v>29</v>
      </c>
      <c r="N555" t="s">
        <v>22</v>
      </c>
      <c r="O555" t="s">
        <v>51</v>
      </c>
    </row>
    <row r="556" spans="1:15" x14ac:dyDescent="0.3">
      <c r="A556" t="s">
        <v>758</v>
      </c>
      <c r="B556" t="s">
        <v>217</v>
      </c>
      <c r="C556" t="s">
        <v>37</v>
      </c>
      <c r="D556">
        <v>37</v>
      </c>
      <c r="E556" t="s">
        <v>57</v>
      </c>
      <c r="F556" t="s">
        <v>27</v>
      </c>
      <c r="G556" t="s">
        <v>20</v>
      </c>
      <c r="H556">
        <v>102000</v>
      </c>
      <c r="I556">
        <v>0</v>
      </c>
      <c r="J556">
        <v>5</v>
      </c>
      <c r="K556">
        <v>4</v>
      </c>
      <c r="L556" t="s">
        <v>29</v>
      </c>
      <c r="M556" t="s">
        <v>29</v>
      </c>
      <c r="N556" t="s">
        <v>34</v>
      </c>
      <c r="O556" t="s">
        <v>70</v>
      </c>
    </row>
    <row r="557" spans="1:15" x14ac:dyDescent="0.3">
      <c r="A557" t="s">
        <v>759</v>
      </c>
      <c r="B557" t="s">
        <v>149</v>
      </c>
      <c r="C557" t="s">
        <v>17</v>
      </c>
      <c r="D557">
        <v>36</v>
      </c>
      <c r="E557" t="s">
        <v>49</v>
      </c>
      <c r="F557" t="s">
        <v>50</v>
      </c>
      <c r="G557" t="s">
        <v>28</v>
      </c>
      <c r="H557">
        <v>39000</v>
      </c>
      <c r="I557">
        <v>12</v>
      </c>
      <c r="J557">
        <v>3</v>
      </c>
      <c r="K557">
        <v>1</v>
      </c>
      <c r="L557" t="s">
        <v>29</v>
      </c>
      <c r="M557" t="s">
        <v>29</v>
      </c>
      <c r="N557" t="s">
        <v>22</v>
      </c>
      <c r="O557" t="s">
        <v>51</v>
      </c>
    </row>
    <row r="558" spans="1:15" x14ac:dyDescent="0.3">
      <c r="A558" t="s">
        <v>760</v>
      </c>
      <c r="B558" t="s">
        <v>114</v>
      </c>
      <c r="C558" t="s">
        <v>17</v>
      </c>
      <c r="D558">
        <v>41</v>
      </c>
      <c r="E558" t="s">
        <v>18</v>
      </c>
      <c r="F558" t="s">
        <v>19</v>
      </c>
      <c r="G558" t="s">
        <v>28</v>
      </c>
      <c r="H558">
        <v>64000</v>
      </c>
      <c r="I558">
        <v>16</v>
      </c>
      <c r="J558">
        <v>3</v>
      </c>
      <c r="K558">
        <v>5</v>
      </c>
      <c r="L558" t="s">
        <v>21</v>
      </c>
      <c r="M558" t="s">
        <v>29</v>
      </c>
      <c r="N558" t="s">
        <v>22</v>
      </c>
      <c r="O558" t="s">
        <v>23</v>
      </c>
    </row>
    <row r="559" spans="1:15" x14ac:dyDescent="0.3">
      <c r="A559" t="s">
        <v>761</v>
      </c>
      <c r="B559" t="s">
        <v>350</v>
      </c>
      <c r="C559" t="s">
        <v>37</v>
      </c>
      <c r="D559">
        <v>52</v>
      </c>
      <c r="E559" t="s">
        <v>66</v>
      </c>
      <c r="F559" t="s">
        <v>82</v>
      </c>
      <c r="G559" t="s">
        <v>33</v>
      </c>
      <c r="H559">
        <v>32000</v>
      </c>
      <c r="I559">
        <v>15</v>
      </c>
      <c r="J559">
        <v>2</v>
      </c>
      <c r="K559">
        <v>3</v>
      </c>
      <c r="L559" t="s">
        <v>21</v>
      </c>
      <c r="M559" t="s">
        <v>29</v>
      </c>
      <c r="N559" t="s">
        <v>22</v>
      </c>
      <c r="O559" t="s">
        <v>51</v>
      </c>
    </row>
    <row r="560" spans="1:15" x14ac:dyDescent="0.3">
      <c r="A560" t="s">
        <v>762</v>
      </c>
      <c r="B560" t="s">
        <v>179</v>
      </c>
      <c r="C560" t="s">
        <v>37</v>
      </c>
      <c r="D560">
        <v>46</v>
      </c>
      <c r="E560" t="s">
        <v>41</v>
      </c>
      <c r="F560" t="s">
        <v>42</v>
      </c>
      <c r="G560" t="s">
        <v>28</v>
      </c>
      <c r="H560">
        <v>68000</v>
      </c>
      <c r="I560">
        <v>9</v>
      </c>
      <c r="J560">
        <v>5</v>
      </c>
      <c r="K560">
        <v>1</v>
      </c>
      <c r="L560" t="s">
        <v>21</v>
      </c>
      <c r="M560" t="s">
        <v>21</v>
      </c>
      <c r="N560" t="s">
        <v>22</v>
      </c>
      <c r="O560" t="s">
        <v>75</v>
      </c>
    </row>
    <row r="561" spans="1:15" x14ac:dyDescent="0.3">
      <c r="A561" t="s">
        <v>763</v>
      </c>
      <c r="B561" t="s">
        <v>362</v>
      </c>
      <c r="C561" t="s">
        <v>17</v>
      </c>
      <c r="D561">
        <v>27</v>
      </c>
      <c r="E561" t="s">
        <v>49</v>
      </c>
      <c r="F561" t="s">
        <v>50</v>
      </c>
      <c r="G561" t="s">
        <v>33</v>
      </c>
      <c r="H561">
        <v>101000</v>
      </c>
      <c r="I561">
        <v>6</v>
      </c>
      <c r="J561">
        <v>4</v>
      </c>
      <c r="K561">
        <v>2</v>
      </c>
      <c r="L561" t="s">
        <v>29</v>
      </c>
      <c r="M561" t="s">
        <v>29</v>
      </c>
      <c r="N561" t="s">
        <v>34</v>
      </c>
      <c r="O561" t="s">
        <v>54</v>
      </c>
    </row>
    <row r="562" spans="1:15" x14ac:dyDescent="0.3">
      <c r="A562" t="s">
        <v>764</v>
      </c>
      <c r="B562" t="s">
        <v>69</v>
      </c>
      <c r="C562" t="s">
        <v>37</v>
      </c>
      <c r="D562">
        <v>23</v>
      </c>
      <c r="E562" t="s">
        <v>26</v>
      </c>
      <c r="F562" t="s">
        <v>27</v>
      </c>
      <c r="G562" t="s">
        <v>20</v>
      </c>
      <c r="H562">
        <v>49000</v>
      </c>
      <c r="I562">
        <v>2</v>
      </c>
      <c r="J562">
        <v>2</v>
      </c>
      <c r="K562">
        <v>4</v>
      </c>
      <c r="L562" t="s">
        <v>21</v>
      </c>
      <c r="M562" t="s">
        <v>21</v>
      </c>
      <c r="N562" t="s">
        <v>22</v>
      </c>
      <c r="O562" t="s">
        <v>23</v>
      </c>
    </row>
    <row r="563" spans="1:15" x14ac:dyDescent="0.3">
      <c r="A563" t="s">
        <v>765</v>
      </c>
      <c r="B563" t="s">
        <v>100</v>
      </c>
      <c r="C563" t="s">
        <v>37</v>
      </c>
      <c r="D563">
        <v>39</v>
      </c>
      <c r="E563" t="s">
        <v>18</v>
      </c>
      <c r="F563" t="s">
        <v>126</v>
      </c>
      <c r="G563" t="s">
        <v>20</v>
      </c>
      <c r="H563">
        <v>34000</v>
      </c>
      <c r="I563">
        <v>2</v>
      </c>
      <c r="J563">
        <v>5</v>
      </c>
      <c r="K563">
        <v>1</v>
      </c>
      <c r="L563" t="s">
        <v>21</v>
      </c>
      <c r="M563" t="s">
        <v>21</v>
      </c>
      <c r="N563" t="s">
        <v>34</v>
      </c>
      <c r="O563" t="s">
        <v>23</v>
      </c>
    </row>
    <row r="564" spans="1:15" x14ac:dyDescent="0.3">
      <c r="A564" t="s">
        <v>766</v>
      </c>
      <c r="B564" t="s">
        <v>65</v>
      </c>
      <c r="C564" t="s">
        <v>37</v>
      </c>
      <c r="D564">
        <v>53</v>
      </c>
      <c r="E564" t="s">
        <v>26</v>
      </c>
      <c r="F564" t="s">
        <v>50</v>
      </c>
      <c r="G564" t="s">
        <v>28</v>
      </c>
      <c r="H564">
        <v>54000</v>
      </c>
      <c r="I564">
        <v>3</v>
      </c>
      <c r="J564">
        <v>4</v>
      </c>
      <c r="K564">
        <v>3</v>
      </c>
      <c r="L564" t="s">
        <v>29</v>
      </c>
      <c r="M564" t="s">
        <v>29</v>
      </c>
      <c r="N564" t="s">
        <v>22</v>
      </c>
      <c r="O564" t="s">
        <v>43</v>
      </c>
    </row>
    <row r="565" spans="1:15" x14ac:dyDescent="0.3">
      <c r="A565" t="s">
        <v>767</v>
      </c>
      <c r="B565" t="s">
        <v>302</v>
      </c>
      <c r="C565" t="s">
        <v>17</v>
      </c>
      <c r="D565">
        <v>26</v>
      </c>
      <c r="E565" t="s">
        <v>26</v>
      </c>
      <c r="F565" t="s">
        <v>50</v>
      </c>
      <c r="G565" t="s">
        <v>28</v>
      </c>
      <c r="H565">
        <v>118000</v>
      </c>
      <c r="I565">
        <v>5</v>
      </c>
      <c r="J565">
        <v>5</v>
      </c>
      <c r="K565">
        <v>5</v>
      </c>
      <c r="L565" t="s">
        <v>29</v>
      </c>
      <c r="M565" t="s">
        <v>29</v>
      </c>
      <c r="N565" t="s">
        <v>34</v>
      </c>
      <c r="O565" t="s">
        <v>38</v>
      </c>
    </row>
    <row r="566" spans="1:15" x14ac:dyDescent="0.3">
      <c r="A566" t="s">
        <v>768</v>
      </c>
      <c r="B566" t="s">
        <v>238</v>
      </c>
      <c r="C566" t="s">
        <v>17</v>
      </c>
      <c r="D566">
        <v>53</v>
      </c>
      <c r="E566" t="s">
        <v>66</v>
      </c>
      <c r="F566" t="s">
        <v>82</v>
      </c>
      <c r="G566" t="s">
        <v>28</v>
      </c>
      <c r="H566">
        <v>49000</v>
      </c>
      <c r="I566">
        <v>0</v>
      </c>
      <c r="J566">
        <v>5</v>
      </c>
      <c r="K566">
        <v>4</v>
      </c>
      <c r="L566" t="s">
        <v>29</v>
      </c>
      <c r="M566" t="s">
        <v>29</v>
      </c>
      <c r="N566" t="s">
        <v>22</v>
      </c>
      <c r="O566" t="s">
        <v>54</v>
      </c>
    </row>
    <row r="567" spans="1:15" x14ac:dyDescent="0.3">
      <c r="A567" t="s">
        <v>769</v>
      </c>
      <c r="B567" t="s">
        <v>98</v>
      </c>
      <c r="C567" t="s">
        <v>17</v>
      </c>
      <c r="D567">
        <v>25</v>
      </c>
      <c r="E567" t="s">
        <v>18</v>
      </c>
      <c r="F567" t="s">
        <v>126</v>
      </c>
      <c r="G567" t="s">
        <v>28</v>
      </c>
      <c r="H567">
        <v>31000</v>
      </c>
      <c r="I567">
        <v>4</v>
      </c>
      <c r="J567">
        <v>5</v>
      </c>
      <c r="K567">
        <v>4</v>
      </c>
      <c r="L567" t="s">
        <v>21</v>
      </c>
      <c r="M567" t="s">
        <v>29</v>
      </c>
      <c r="N567" t="s">
        <v>34</v>
      </c>
      <c r="O567" t="s">
        <v>30</v>
      </c>
    </row>
    <row r="568" spans="1:15" x14ac:dyDescent="0.3">
      <c r="A568" t="s">
        <v>770</v>
      </c>
      <c r="B568" t="s">
        <v>666</v>
      </c>
      <c r="C568" t="s">
        <v>17</v>
      </c>
      <c r="D568">
        <v>23</v>
      </c>
      <c r="E568" t="s">
        <v>41</v>
      </c>
      <c r="F568" t="s">
        <v>73</v>
      </c>
      <c r="G568" t="s">
        <v>46</v>
      </c>
      <c r="H568">
        <v>34000</v>
      </c>
      <c r="I568">
        <v>2</v>
      </c>
      <c r="J568">
        <v>2</v>
      </c>
      <c r="K568">
        <v>2</v>
      </c>
      <c r="L568" t="s">
        <v>29</v>
      </c>
      <c r="M568" t="s">
        <v>29</v>
      </c>
      <c r="N568" t="s">
        <v>34</v>
      </c>
      <c r="O568" t="s">
        <v>43</v>
      </c>
    </row>
    <row r="569" spans="1:15" x14ac:dyDescent="0.3">
      <c r="A569" t="s">
        <v>771</v>
      </c>
      <c r="B569" t="s">
        <v>107</v>
      </c>
      <c r="C569" t="s">
        <v>17</v>
      </c>
      <c r="D569">
        <v>38</v>
      </c>
      <c r="E569" t="s">
        <v>18</v>
      </c>
      <c r="F569" t="s">
        <v>19</v>
      </c>
      <c r="G569" t="s">
        <v>33</v>
      </c>
      <c r="H569">
        <v>27000</v>
      </c>
      <c r="I569">
        <v>3</v>
      </c>
      <c r="J569">
        <v>4</v>
      </c>
      <c r="K569">
        <v>1</v>
      </c>
      <c r="L569" t="s">
        <v>21</v>
      </c>
      <c r="M569" t="s">
        <v>21</v>
      </c>
      <c r="N569" t="s">
        <v>22</v>
      </c>
      <c r="O569" t="s">
        <v>70</v>
      </c>
    </row>
    <row r="570" spans="1:15" x14ac:dyDescent="0.3">
      <c r="A570" t="s">
        <v>772</v>
      </c>
      <c r="B570" t="s">
        <v>36</v>
      </c>
      <c r="C570" t="s">
        <v>37</v>
      </c>
      <c r="D570">
        <v>43</v>
      </c>
      <c r="E570" t="s">
        <v>66</v>
      </c>
      <c r="F570" t="s">
        <v>67</v>
      </c>
      <c r="G570" t="s">
        <v>20</v>
      </c>
      <c r="H570">
        <v>32000</v>
      </c>
      <c r="I570">
        <v>11</v>
      </c>
      <c r="J570">
        <v>2</v>
      </c>
      <c r="K570">
        <v>5</v>
      </c>
      <c r="L570" t="s">
        <v>21</v>
      </c>
      <c r="M570" t="s">
        <v>21</v>
      </c>
      <c r="N570" t="s">
        <v>34</v>
      </c>
      <c r="O570" t="s">
        <v>23</v>
      </c>
    </row>
    <row r="571" spans="1:15" x14ac:dyDescent="0.3">
      <c r="A571" t="s">
        <v>773</v>
      </c>
      <c r="B571" t="s">
        <v>107</v>
      </c>
      <c r="C571" t="s">
        <v>37</v>
      </c>
      <c r="D571">
        <v>52</v>
      </c>
      <c r="E571" t="s">
        <v>49</v>
      </c>
      <c r="F571" t="s">
        <v>27</v>
      </c>
      <c r="G571" t="s">
        <v>33</v>
      </c>
      <c r="H571">
        <v>116000</v>
      </c>
      <c r="I571">
        <v>17</v>
      </c>
      <c r="J571">
        <v>2</v>
      </c>
      <c r="K571">
        <v>2</v>
      </c>
      <c r="L571" t="s">
        <v>21</v>
      </c>
      <c r="M571" t="s">
        <v>29</v>
      </c>
      <c r="N571" t="s">
        <v>34</v>
      </c>
      <c r="O571" t="s">
        <v>51</v>
      </c>
    </row>
    <row r="572" spans="1:15" x14ac:dyDescent="0.3">
      <c r="A572" t="s">
        <v>774</v>
      </c>
      <c r="B572" t="s">
        <v>84</v>
      </c>
      <c r="C572" t="s">
        <v>37</v>
      </c>
      <c r="D572">
        <v>29</v>
      </c>
      <c r="E572" t="s">
        <v>41</v>
      </c>
      <c r="F572" t="s">
        <v>73</v>
      </c>
      <c r="G572" t="s">
        <v>28</v>
      </c>
      <c r="H572">
        <v>40000</v>
      </c>
      <c r="I572">
        <v>2</v>
      </c>
      <c r="J572">
        <v>4</v>
      </c>
      <c r="K572">
        <v>5</v>
      </c>
      <c r="L572" t="s">
        <v>21</v>
      </c>
      <c r="M572" t="s">
        <v>29</v>
      </c>
      <c r="N572" t="s">
        <v>34</v>
      </c>
      <c r="O572" t="s">
        <v>30</v>
      </c>
    </row>
    <row r="573" spans="1:15" x14ac:dyDescent="0.3">
      <c r="A573" t="s">
        <v>775</v>
      </c>
      <c r="B573" t="s">
        <v>205</v>
      </c>
      <c r="C573" t="s">
        <v>37</v>
      </c>
      <c r="D573">
        <v>40</v>
      </c>
      <c r="E573" t="s">
        <v>41</v>
      </c>
      <c r="F573" t="s">
        <v>73</v>
      </c>
      <c r="G573" t="s">
        <v>33</v>
      </c>
      <c r="H573">
        <v>87000</v>
      </c>
      <c r="I573">
        <v>18</v>
      </c>
      <c r="J573">
        <v>2</v>
      </c>
      <c r="K573">
        <v>1</v>
      </c>
      <c r="L573" t="s">
        <v>21</v>
      </c>
      <c r="M573" t="s">
        <v>21</v>
      </c>
      <c r="N573" t="s">
        <v>22</v>
      </c>
      <c r="O573" t="s">
        <v>23</v>
      </c>
    </row>
    <row r="574" spans="1:15" x14ac:dyDescent="0.3">
      <c r="A574" t="s">
        <v>776</v>
      </c>
      <c r="B574" t="s">
        <v>90</v>
      </c>
      <c r="C574" t="s">
        <v>17</v>
      </c>
      <c r="D574">
        <v>46</v>
      </c>
      <c r="E574" t="s">
        <v>41</v>
      </c>
      <c r="F574" t="s">
        <v>73</v>
      </c>
      <c r="G574" t="s">
        <v>33</v>
      </c>
      <c r="H574">
        <v>56000</v>
      </c>
      <c r="I574">
        <v>4</v>
      </c>
      <c r="J574">
        <v>5</v>
      </c>
      <c r="K574">
        <v>3</v>
      </c>
      <c r="L574" t="s">
        <v>21</v>
      </c>
      <c r="M574" t="s">
        <v>29</v>
      </c>
      <c r="N574" t="s">
        <v>22</v>
      </c>
      <c r="O574" t="s">
        <v>23</v>
      </c>
    </row>
    <row r="575" spans="1:15" x14ac:dyDescent="0.3">
      <c r="A575" t="s">
        <v>777</v>
      </c>
      <c r="B575" t="s">
        <v>138</v>
      </c>
      <c r="C575" t="s">
        <v>17</v>
      </c>
      <c r="D575">
        <v>42</v>
      </c>
      <c r="E575" t="s">
        <v>41</v>
      </c>
      <c r="F575" t="s">
        <v>73</v>
      </c>
      <c r="G575" t="s">
        <v>46</v>
      </c>
      <c r="H575">
        <v>68000</v>
      </c>
      <c r="I575">
        <v>16</v>
      </c>
      <c r="J575">
        <v>5</v>
      </c>
      <c r="K575">
        <v>4</v>
      </c>
      <c r="L575" t="s">
        <v>21</v>
      </c>
      <c r="M575" t="s">
        <v>29</v>
      </c>
      <c r="N575" t="s">
        <v>34</v>
      </c>
      <c r="O575" t="s">
        <v>43</v>
      </c>
    </row>
    <row r="576" spans="1:15" x14ac:dyDescent="0.3">
      <c r="A576" t="s">
        <v>778</v>
      </c>
      <c r="B576" t="s">
        <v>263</v>
      </c>
      <c r="C576" t="s">
        <v>17</v>
      </c>
      <c r="D576">
        <v>34</v>
      </c>
      <c r="E576" t="s">
        <v>18</v>
      </c>
      <c r="F576" t="s">
        <v>19</v>
      </c>
      <c r="G576" t="s">
        <v>28</v>
      </c>
      <c r="H576">
        <v>32000</v>
      </c>
      <c r="I576">
        <v>6</v>
      </c>
      <c r="J576">
        <v>3</v>
      </c>
      <c r="K576">
        <v>5</v>
      </c>
      <c r="L576" t="s">
        <v>29</v>
      </c>
      <c r="M576" t="s">
        <v>29</v>
      </c>
      <c r="N576" t="s">
        <v>22</v>
      </c>
      <c r="O576" t="s">
        <v>30</v>
      </c>
    </row>
    <row r="577" spans="1:15" x14ac:dyDescent="0.3">
      <c r="A577" t="s">
        <v>779</v>
      </c>
      <c r="B577" t="s">
        <v>98</v>
      </c>
      <c r="C577" t="s">
        <v>37</v>
      </c>
      <c r="D577">
        <v>55</v>
      </c>
      <c r="E577" t="s">
        <v>66</v>
      </c>
      <c r="F577" t="s">
        <v>67</v>
      </c>
      <c r="G577" t="s">
        <v>20</v>
      </c>
      <c r="H577">
        <v>103000</v>
      </c>
      <c r="I577">
        <v>8</v>
      </c>
      <c r="J577">
        <v>3</v>
      </c>
      <c r="K577">
        <v>5</v>
      </c>
      <c r="L577" t="s">
        <v>21</v>
      </c>
      <c r="M577" t="s">
        <v>29</v>
      </c>
      <c r="N577" t="s">
        <v>22</v>
      </c>
      <c r="O577" t="s">
        <v>30</v>
      </c>
    </row>
    <row r="578" spans="1:15" x14ac:dyDescent="0.3">
      <c r="A578" t="s">
        <v>780</v>
      </c>
      <c r="B578" t="s">
        <v>282</v>
      </c>
      <c r="C578" t="s">
        <v>37</v>
      </c>
      <c r="D578">
        <v>35</v>
      </c>
      <c r="E578" t="s">
        <v>57</v>
      </c>
      <c r="F578" t="s">
        <v>27</v>
      </c>
      <c r="G578" t="s">
        <v>33</v>
      </c>
      <c r="H578">
        <v>117000</v>
      </c>
      <c r="I578">
        <v>1</v>
      </c>
      <c r="J578">
        <v>2</v>
      </c>
      <c r="K578">
        <v>3</v>
      </c>
      <c r="L578" t="s">
        <v>21</v>
      </c>
      <c r="M578" t="s">
        <v>21</v>
      </c>
      <c r="N578" t="s">
        <v>34</v>
      </c>
      <c r="O578" t="s">
        <v>38</v>
      </c>
    </row>
    <row r="579" spans="1:15" x14ac:dyDescent="0.3">
      <c r="A579" t="s">
        <v>781</v>
      </c>
      <c r="B579" t="s">
        <v>36</v>
      </c>
      <c r="C579" t="s">
        <v>17</v>
      </c>
      <c r="D579">
        <v>26</v>
      </c>
      <c r="E579" t="s">
        <v>26</v>
      </c>
      <c r="F579" t="s">
        <v>50</v>
      </c>
      <c r="G579" t="s">
        <v>33</v>
      </c>
      <c r="H579">
        <v>72000</v>
      </c>
      <c r="I579">
        <v>5</v>
      </c>
      <c r="J579">
        <v>4</v>
      </c>
      <c r="K579">
        <v>4</v>
      </c>
      <c r="L579" t="s">
        <v>21</v>
      </c>
      <c r="M579" t="s">
        <v>29</v>
      </c>
      <c r="N579" t="s">
        <v>34</v>
      </c>
      <c r="O579" t="s">
        <v>54</v>
      </c>
    </row>
    <row r="580" spans="1:15" x14ac:dyDescent="0.3">
      <c r="A580" t="s">
        <v>782</v>
      </c>
      <c r="B580" t="s">
        <v>242</v>
      </c>
      <c r="C580" t="s">
        <v>17</v>
      </c>
      <c r="D580">
        <v>38</v>
      </c>
      <c r="E580" t="s">
        <v>57</v>
      </c>
      <c r="F580" t="s">
        <v>50</v>
      </c>
      <c r="G580" t="s">
        <v>20</v>
      </c>
      <c r="H580">
        <v>117000</v>
      </c>
      <c r="I580">
        <v>8</v>
      </c>
      <c r="J580">
        <v>2</v>
      </c>
      <c r="K580">
        <v>4</v>
      </c>
      <c r="L580" t="s">
        <v>21</v>
      </c>
      <c r="M580" t="s">
        <v>29</v>
      </c>
      <c r="N580" t="s">
        <v>22</v>
      </c>
      <c r="O580" t="s">
        <v>30</v>
      </c>
    </row>
    <row r="581" spans="1:15" x14ac:dyDescent="0.3">
      <c r="A581" t="s">
        <v>783</v>
      </c>
      <c r="B581" t="s">
        <v>384</v>
      </c>
      <c r="C581" t="s">
        <v>37</v>
      </c>
      <c r="D581">
        <v>39</v>
      </c>
      <c r="E581" t="s">
        <v>57</v>
      </c>
      <c r="F581" t="s">
        <v>27</v>
      </c>
      <c r="G581" t="s">
        <v>28</v>
      </c>
      <c r="H581">
        <v>78000</v>
      </c>
      <c r="I581">
        <v>9</v>
      </c>
      <c r="J581">
        <v>2</v>
      </c>
      <c r="K581">
        <v>5</v>
      </c>
      <c r="L581" t="s">
        <v>29</v>
      </c>
      <c r="M581" t="s">
        <v>29</v>
      </c>
      <c r="N581" t="s">
        <v>34</v>
      </c>
      <c r="O581" t="s">
        <v>30</v>
      </c>
    </row>
    <row r="582" spans="1:15" x14ac:dyDescent="0.3">
      <c r="A582" t="s">
        <v>784</v>
      </c>
      <c r="B582" t="s">
        <v>191</v>
      </c>
      <c r="C582" t="s">
        <v>17</v>
      </c>
      <c r="D582">
        <v>45</v>
      </c>
      <c r="E582" t="s">
        <v>57</v>
      </c>
      <c r="F582" t="s">
        <v>27</v>
      </c>
      <c r="G582" t="s">
        <v>46</v>
      </c>
      <c r="H582">
        <v>31000</v>
      </c>
      <c r="I582">
        <v>1</v>
      </c>
      <c r="J582">
        <v>5</v>
      </c>
      <c r="K582">
        <v>4</v>
      </c>
      <c r="L582" t="s">
        <v>29</v>
      </c>
      <c r="M582" t="s">
        <v>29</v>
      </c>
      <c r="N582" t="s">
        <v>34</v>
      </c>
      <c r="O582" t="s">
        <v>54</v>
      </c>
    </row>
    <row r="583" spans="1:15" x14ac:dyDescent="0.3">
      <c r="A583" t="s">
        <v>785</v>
      </c>
      <c r="B583" t="s">
        <v>366</v>
      </c>
      <c r="C583" t="s">
        <v>37</v>
      </c>
      <c r="D583">
        <v>45</v>
      </c>
      <c r="E583" t="s">
        <v>18</v>
      </c>
      <c r="F583" t="s">
        <v>126</v>
      </c>
      <c r="G583" t="s">
        <v>33</v>
      </c>
      <c r="H583">
        <v>99000</v>
      </c>
      <c r="I583">
        <v>20</v>
      </c>
      <c r="J583">
        <v>4</v>
      </c>
      <c r="K583">
        <v>4</v>
      </c>
      <c r="L583" t="s">
        <v>21</v>
      </c>
      <c r="M583" t="s">
        <v>29</v>
      </c>
      <c r="N583" t="s">
        <v>34</v>
      </c>
      <c r="O583" t="s">
        <v>38</v>
      </c>
    </row>
    <row r="584" spans="1:15" x14ac:dyDescent="0.3">
      <c r="A584" t="s">
        <v>786</v>
      </c>
      <c r="B584" t="s">
        <v>381</v>
      </c>
      <c r="C584" t="s">
        <v>17</v>
      </c>
      <c r="D584">
        <v>41</v>
      </c>
      <c r="E584" t="s">
        <v>57</v>
      </c>
      <c r="F584" t="s">
        <v>27</v>
      </c>
      <c r="G584" t="s">
        <v>20</v>
      </c>
      <c r="H584">
        <v>109000</v>
      </c>
      <c r="I584">
        <v>15</v>
      </c>
      <c r="J584">
        <v>4</v>
      </c>
      <c r="K584">
        <v>1</v>
      </c>
      <c r="L584" t="s">
        <v>21</v>
      </c>
      <c r="M584" t="s">
        <v>21</v>
      </c>
      <c r="N584" t="s">
        <v>34</v>
      </c>
      <c r="O584" t="s">
        <v>51</v>
      </c>
    </row>
    <row r="585" spans="1:15" x14ac:dyDescent="0.3">
      <c r="A585" t="s">
        <v>787</v>
      </c>
      <c r="B585" t="s">
        <v>142</v>
      </c>
      <c r="C585" t="s">
        <v>37</v>
      </c>
      <c r="D585">
        <v>38</v>
      </c>
      <c r="E585" t="s">
        <v>26</v>
      </c>
      <c r="F585" t="s">
        <v>27</v>
      </c>
      <c r="G585" t="s">
        <v>46</v>
      </c>
      <c r="H585">
        <v>110000</v>
      </c>
      <c r="I585">
        <v>17</v>
      </c>
      <c r="J585">
        <v>2</v>
      </c>
      <c r="K585">
        <v>2</v>
      </c>
      <c r="L585" t="s">
        <v>29</v>
      </c>
      <c r="M585" t="s">
        <v>29</v>
      </c>
      <c r="N585" t="s">
        <v>22</v>
      </c>
      <c r="O585" t="s">
        <v>70</v>
      </c>
    </row>
    <row r="586" spans="1:15" x14ac:dyDescent="0.3">
      <c r="A586" t="s">
        <v>788</v>
      </c>
      <c r="B586" t="s">
        <v>207</v>
      </c>
      <c r="C586" t="s">
        <v>17</v>
      </c>
      <c r="D586">
        <v>46</v>
      </c>
      <c r="E586" t="s">
        <v>57</v>
      </c>
      <c r="F586" t="s">
        <v>27</v>
      </c>
      <c r="G586" t="s">
        <v>20</v>
      </c>
      <c r="H586">
        <v>69000</v>
      </c>
      <c r="I586">
        <v>0</v>
      </c>
      <c r="J586">
        <v>5</v>
      </c>
      <c r="K586">
        <v>1</v>
      </c>
      <c r="L586" t="s">
        <v>29</v>
      </c>
      <c r="M586" t="s">
        <v>29</v>
      </c>
      <c r="N586" t="s">
        <v>34</v>
      </c>
      <c r="O586" t="s">
        <v>51</v>
      </c>
    </row>
    <row r="587" spans="1:15" x14ac:dyDescent="0.3">
      <c r="A587" t="s">
        <v>789</v>
      </c>
      <c r="B587" t="s">
        <v>210</v>
      </c>
      <c r="C587" t="s">
        <v>17</v>
      </c>
      <c r="D587">
        <v>44</v>
      </c>
      <c r="E587" t="s">
        <v>26</v>
      </c>
      <c r="F587" t="s">
        <v>50</v>
      </c>
      <c r="G587" t="s">
        <v>33</v>
      </c>
      <c r="H587">
        <v>95000</v>
      </c>
      <c r="I587">
        <v>12</v>
      </c>
      <c r="J587">
        <v>2</v>
      </c>
      <c r="K587">
        <v>4</v>
      </c>
      <c r="L587" t="s">
        <v>21</v>
      </c>
      <c r="M587" t="s">
        <v>29</v>
      </c>
      <c r="N587" t="s">
        <v>22</v>
      </c>
      <c r="O587" t="s">
        <v>51</v>
      </c>
    </row>
    <row r="588" spans="1:15" x14ac:dyDescent="0.3">
      <c r="A588" t="s">
        <v>790</v>
      </c>
      <c r="B588" t="s">
        <v>53</v>
      </c>
      <c r="C588" t="s">
        <v>37</v>
      </c>
      <c r="D588">
        <v>37</v>
      </c>
      <c r="E588" t="s">
        <v>26</v>
      </c>
      <c r="F588" t="s">
        <v>50</v>
      </c>
      <c r="G588" t="s">
        <v>46</v>
      </c>
      <c r="H588">
        <v>51000</v>
      </c>
      <c r="I588">
        <v>5</v>
      </c>
      <c r="J588">
        <v>4</v>
      </c>
      <c r="K588">
        <v>5</v>
      </c>
      <c r="L588" t="s">
        <v>21</v>
      </c>
      <c r="M588" t="s">
        <v>29</v>
      </c>
      <c r="N588" t="s">
        <v>22</v>
      </c>
      <c r="O588" t="s">
        <v>30</v>
      </c>
    </row>
    <row r="589" spans="1:15" x14ac:dyDescent="0.3">
      <c r="A589" t="s">
        <v>791</v>
      </c>
      <c r="B589" t="s">
        <v>244</v>
      </c>
      <c r="C589" t="s">
        <v>37</v>
      </c>
      <c r="D589">
        <v>49</v>
      </c>
      <c r="E589" t="s">
        <v>49</v>
      </c>
      <c r="F589" t="s">
        <v>27</v>
      </c>
      <c r="G589" t="s">
        <v>46</v>
      </c>
      <c r="H589">
        <v>29000</v>
      </c>
      <c r="I589">
        <v>3</v>
      </c>
      <c r="J589">
        <v>4</v>
      </c>
      <c r="K589">
        <v>2</v>
      </c>
      <c r="L589" t="s">
        <v>29</v>
      </c>
      <c r="M589" t="s">
        <v>29</v>
      </c>
      <c r="N589" t="s">
        <v>34</v>
      </c>
      <c r="O589" t="s">
        <v>51</v>
      </c>
    </row>
    <row r="590" spans="1:15" x14ac:dyDescent="0.3">
      <c r="A590" t="s">
        <v>792</v>
      </c>
      <c r="B590" t="s">
        <v>414</v>
      </c>
      <c r="C590" t="s">
        <v>37</v>
      </c>
      <c r="D590">
        <v>52</v>
      </c>
      <c r="E590" t="s">
        <v>26</v>
      </c>
      <c r="F590" t="s">
        <v>50</v>
      </c>
      <c r="G590" t="s">
        <v>20</v>
      </c>
      <c r="H590">
        <v>71000</v>
      </c>
      <c r="I590">
        <v>5</v>
      </c>
      <c r="J590">
        <v>5</v>
      </c>
      <c r="K590">
        <v>2</v>
      </c>
      <c r="L590" t="s">
        <v>29</v>
      </c>
      <c r="M590" t="s">
        <v>29</v>
      </c>
      <c r="N590" t="s">
        <v>34</v>
      </c>
      <c r="O590" t="s">
        <v>38</v>
      </c>
    </row>
    <row r="591" spans="1:15" x14ac:dyDescent="0.3">
      <c r="A591" t="s">
        <v>793</v>
      </c>
      <c r="B591" t="s">
        <v>454</v>
      </c>
      <c r="C591" t="s">
        <v>37</v>
      </c>
      <c r="D591">
        <v>30</v>
      </c>
      <c r="E591" t="s">
        <v>26</v>
      </c>
      <c r="F591" t="s">
        <v>50</v>
      </c>
      <c r="G591" t="s">
        <v>20</v>
      </c>
      <c r="H591">
        <v>89000</v>
      </c>
      <c r="I591">
        <v>9</v>
      </c>
      <c r="J591">
        <v>2</v>
      </c>
      <c r="K591">
        <v>3</v>
      </c>
      <c r="L591" t="s">
        <v>29</v>
      </c>
      <c r="M591" t="s">
        <v>29</v>
      </c>
      <c r="N591" t="s">
        <v>22</v>
      </c>
      <c r="O591" t="s">
        <v>70</v>
      </c>
    </row>
    <row r="592" spans="1:15" x14ac:dyDescent="0.3">
      <c r="A592" t="s">
        <v>794</v>
      </c>
      <c r="B592" t="s">
        <v>240</v>
      </c>
      <c r="C592" t="s">
        <v>17</v>
      </c>
      <c r="D592">
        <v>29</v>
      </c>
      <c r="E592" t="s">
        <v>18</v>
      </c>
      <c r="F592" t="s">
        <v>126</v>
      </c>
      <c r="G592" t="s">
        <v>33</v>
      </c>
      <c r="H592">
        <v>29000</v>
      </c>
      <c r="I592">
        <v>8</v>
      </c>
      <c r="J592">
        <v>4</v>
      </c>
      <c r="K592">
        <v>4</v>
      </c>
      <c r="L592" t="s">
        <v>21</v>
      </c>
      <c r="M592" t="s">
        <v>29</v>
      </c>
      <c r="N592" t="s">
        <v>34</v>
      </c>
      <c r="O592" t="s">
        <v>70</v>
      </c>
    </row>
    <row r="593" spans="1:15" x14ac:dyDescent="0.3">
      <c r="A593" t="s">
        <v>795</v>
      </c>
      <c r="B593" t="s">
        <v>263</v>
      </c>
      <c r="C593" t="s">
        <v>37</v>
      </c>
      <c r="D593">
        <v>25</v>
      </c>
      <c r="E593" t="s">
        <v>41</v>
      </c>
      <c r="F593" t="s">
        <v>42</v>
      </c>
      <c r="G593" t="s">
        <v>20</v>
      </c>
      <c r="H593">
        <v>111000</v>
      </c>
      <c r="I593">
        <v>4</v>
      </c>
      <c r="J593">
        <v>4</v>
      </c>
      <c r="K593">
        <v>1</v>
      </c>
      <c r="L593" t="s">
        <v>29</v>
      </c>
      <c r="M593" t="s">
        <v>29</v>
      </c>
      <c r="N593" t="s">
        <v>22</v>
      </c>
      <c r="O593" t="s">
        <v>54</v>
      </c>
    </row>
    <row r="594" spans="1:15" x14ac:dyDescent="0.3">
      <c r="A594" t="s">
        <v>796</v>
      </c>
      <c r="B594" t="s">
        <v>134</v>
      </c>
      <c r="C594" t="s">
        <v>17</v>
      </c>
      <c r="D594">
        <v>42</v>
      </c>
      <c r="E594" t="s">
        <v>41</v>
      </c>
      <c r="F594" t="s">
        <v>73</v>
      </c>
      <c r="G594" t="s">
        <v>33</v>
      </c>
      <c r="H594">
        <v>55000</v>
      </c>
      <c r="I594">
        <v>20</v>
      </c>
      <c r="J594">
        <v>2</v>
      </c>
      <c r="K594">
        <v>5</v>
      </c>
      <c r="L594" t="s">
        <v>29</v>
      </c>
      <c r="M594" t="s">
        <v>29</v>
      </c>
      <c r="N594" t="s">
        <v>34</v>
      </c>
      <c r="O594" t="s">
        <v>23</v>
      </c>
    </row>
    <row r="595" spans="1:15" x14ac:dyDescent="0.3">
      <c r="A595" t="s">
        <v>797</v>
      </c>
      <c r="B595" t="s">
        <v>357</v>
      </c>
      <c r="C595" t="s">
        <v>17</v>
      </c>
      <c r="D595">
        <v>29</v>
      </c>
      <c r="E595" t="s">
        <v>57</v>
      </c>
      <c r="F595" t="s">
        <v>27</v>
      </c>
      <c r="G595" t="s">
        <v>20</v>
      </c>
      <c r="H595">
        <v>69000</v>
      </c>
      <c r="I595">
        <v>8</v>
      </c>
      <c r="J595">
        <v>2</v>
      </c>
      <c r="K595">
        <v>5</v>
      </c>
      <c r="L595" t="s">
        <v>21</v>
      </c>
      <c r="M595" t="s">
        <v>29</v>
      </c>
      <c r="N595" t="s">
        <v>22</v>
      </c>
      <c r="O595" t="s">
        <v>54</v>
      </c>
    </row>
    <row r="596" spans="1:15" x14ac:dyDescent="0.3">
      <c r="A596" t="s">
        <v>798</v>
      </c>
      <c r="B596" t="s">
        <v>223</v>
      </c>
      <c r="C596" t="s">
        <v>37</v>
      </c>
      <c r="D596">
        <v>36</v>
      </c>
      <c r="E596" t="s">
        <v>57</v>
      </c>
      <c r="F596" t="s">
        <v>27</v>
      </c>
      <c r="G596" t="s">
        <v>28</v>
      </c>
      <c r="H596">
        <v>100000</v>
      </c>
      <c r="I596">
        <v>15</v>
      </c>
      <c r="J596">
        <v>4</v>
      </c>
      <c r="K596">
        <v>1</v>
      </c>
      <c r="L596" t="s">
        <v>21</v>
      </c>
      <c r="M596" t="s">
        <v>21</v>
      </c>
      <c r="N596" t="s">
        <v>22</v>
      </c>
      <c r="O596" t="s">
        <v>54</v>
      </c>
    </row>
    <row r="597" spans="1:15" x14ac:dyDescent="0.3">
      <c r="A597" t="s">
        <v>799</v>
      </c>
      <c r="B597" t="s">
        <v>510</v>
      </c>
      <c r="C597" t="s">
        <v>17</v>
      </c>
      <c r="D597">
        <v>47</v>
      </c>
      <c r="E597" t="s">
        <v>18</v>
      </c>
      <c r="F597" t="s">
        <v>126</v>
      </c>
      <c r="G597" t="s">
        <v>28</v>
      </c>
      <c r="H597">
        <v>110000</v>
      </c>
      <c r="I597">
        <v>4</v>
      </c>
      <c r="J597">
        <v>3</v>
      </c>
      <c r="K597">
        <v>3</v>
      </c>
      <c r="L597" t="s">
        <v>29</v>
      </c>
      <c r="M597" t="s">
        <v>29</v>
      </c>
      <c r="N597" t="s">
        <v>22</v>
      </c>
      <c r="O597" t="s">
        <v>70</v>
      </c>
    </row>
    <row r="598" spans="1:15" x14ac:dyDescent="0.3">
      <c r="A598" t="s">
        <v>800</v>
      </c>
      <c r="B598" t="s">
        <v>558</v>
      </c>
      <c r="C598" t="s">
        <v>37</v>
      </c>
      <c r="D598">
        <v>25</v>
      </c>
      <c r="E598" t="s">
        <v>18</v>
      </c>
      <c r="F598" t="s">
        <v>19</v>
      </c>
      <c r="G598" t="s">
        <v>46</v>
      </c>
      <c r="H598">
        <v>74000</v>
      </c>
      <c r="I598">
        <v>4</v>
      </c>
      <c r="J598">
        <v>3</v>
      </c>
      <c r="K598">
        <v>3</v>
      </c>
      <c r="L598" t="s">
        <v>29</v>
      </c>
      <c r="M598" t="s">
        <v>29</v>
      </c>
      <c r="N598" t="s">
        <v>34</v>
      </c>
      <c r="O598" t="s">
        <v>30</v>
      </c>
    </row>
    <row r="599" spans="1:15" x14ac:dyDescent="0.3">
      <c r="A599" t="s">
        <v>801</v>
      </c>
      <c r="B599" t="s">
        <v>229</v>
      </c>
      <c r="C599" t="s">
        <v>17</v>
      </c>
      <c r="D599">
        <v>52</v>
      </c>
      <c r="E599" t="s">
        <v>26</v>
      </c>
      <c r="F599" t="s">
        <v>50</v>
      </c>
      <c r="G599" t="s">
        <v>46</v>
      </c>
      <c r="H599">
        <v>74000</v>
      </c>
      <c r="I599">
        <v>12</v>
      </c>
      <c r="J599">
        <v>4</v>
      </c>
      <c r="K599">
        <v>2</v>
      </c>
      <c r="L599" t="s">
        <v>21</v>
      </c>
      <c r="M599" t="s">
        <v>29</v>
      </c>
      <c r="N599" t="s">
        <v>34</v>
      </c>
      <c r="O599" t="s">
        <v>43</v>
      </c>
    </row>
    <row r="600" spans="1:15" x14ac:dyDescent="0.3">
      <c r="A600" t="s">
        <v>802</v>
      </c>
      <c r="B600" t="s">
        <v>114</v>
      </c>
      <c r="C600" t="s">
        <v>17</v>
      </c>
      <c r="D600">
        <v>30</v>
      </c>
      <c r="E600" t="s">
        <v>41</v>
      </c>
      <c r="F600" t="s">
        <v>73</v>
      </c>
      <c r="G600" t="s">
        <v>28</v>
      </c>
      <c r="H600">
        <v>89000</v>
      </c>
      <c r="I600">
        <v>5</v>
      </c>
      <c r="J600">
        <v>5</v>
      </c>
      <c r="K600">
        <v>3</v>
      </c>
      <c r="L600" t="s">
        <v>21</v>
      </c>
      <c r="M600" t="s">
        <v>29</v>
      </c>
      <c r="N600" t="s">
        <v>34</v>
      </c>
      <c r="O600" t="s">
        <v>38</v>
      </c>
    </row>
    <row r="601" spans="1:15" x14ac:dyDescent="0.3">
      <c r="A601" t="s">
        <v>803</v>
      </c>
      <c r="B601" t="s">
        <v>207</v>
      </c>
      <c r="C601" t="s">
        <v>37</v>
      </c>
      <c r="D601">
        <v>50</v>
      </c>
      <c r="E601" t="s">
        <v>18</v>
      </c>
      <c r="F601" t="s">
        <v>19</v>
      </c>
      <c r="G601" t="s">
        <v>20</v>
      </c>
      <c r="H601">
        <v>59000</v>
      </c>
      <c r="I601">
        <v>1</v>
      </c>
      <c r="J601">
        <v>3</v>
      </c>
      <c r="K601">
        <v>5</v>
      </c>
      <c r="L601" t="s">
        <v>29</v>
      </c>
      <c r="M601" t="s">
        <v>29</v>
      </c>
      <c r="N601" t="s">
        <v>34</v>
      </c>
      <c r="O601" t="s">
        <v>75</v>
      </c>
    </row>
    <row r="602" spans="1:15" x14ac:dyDescent="0.3">
      <c r="A602" t="s">
        <v>804</v>
      </c>
      <c r="B602" t="s">
        <v>138</v>
      </c>
      <c r="C602" t="s">
        <v>37</v>
      </c>
      <c r="D602">
        <v>42</v>
      </c>
      <c r="E602" t="s">
        <v>49</v>
      </c>
      <c r="F602" t="s">
        <v>50</v>
      </c>
      <c r="G602" t="s">
        <v>20</v>
      </c>
      <c r="H602">
        <v>99000</v>
      </c>
      <c r="I602">
        <v>16</v>
      </c>
      <c r="J602">
        <v>2</v>
      </c>
      <c r="K602">
        <v>3</v>
      </c>
      <c r="L602" t="s">
        <v>29</v>
      </c>
      <c r="M602" t="s">
        <v>29</v>
      </c>
      <c r="N602" t="s">
        <v>22</v>
      </c>
      <c r="O602" t="s">
        <v>30</v>
      </c>
    </row>
    <row r="603" spans="1:15" x14ac:dyDescent="0.3">
      <c r="A603" t="s">
        <v>805</v>
      </c>
      <c r="B603" t="s">
        <v>154</v>
      </c>
      <c r="C603" t="s">
        <v>17</v>
      </c>
      <c r="D603">
        <v>53</v>
      </c>
      <c r="E603" t="s">
        <v>49</v>
      </c>
      <c r="F603" t="s">
        <v>50</v>
      </c>
      <c r="G603" t="s">
        <v>46</v>
      </c>
      <c r="H603">
        <v>72000</v>
      </c>
      <c r="I603">
        <v>6</v>
      </c>
      <c r="J603">
        <v>4</v>
      </c>
      <c r="K603">
        <v>1</v>
      </c>
      <c r="L603" t="s">
        <v>29</v>
      </c>
      <c r="M603" t="s">
        <v>29</v>
      </c>
      <c r="N603" t="s">
        <v>22</v>
      </c>
      <c r="O603" t="s">
        <v>23</v>
      </c>
    </row>
    <row r="604" spans="1:15" x14ac:dyDescent="0.3">
      <c r="A604" t="s">
        <v>806</v>
      </c>
      <c r="B604" t="s">
        <v>529</v>
      </c>
      <c r="C604" t="s">
        <v>17</v>
      </c>
      <c r="D604">
        <v>49</v>
      </c>
      <c r="E604" t="s">
        <v>26</v>
      </c>
      <c r="F604" t="s">
        <v>50</v>
      </c>
      <c r="G604" t="s">
        <v>33</v>
      </c>
      <c r="H604">
        <v>76000</v>
      </c>
      <c r="I604">
        <v>18</v>
      </c>
      <c r="J604">
        <v>3</v>
      </c>
      <c r="K604">
        <v>3</v>
      </c>
      <c r="L604" t="s">
        <v>29</v>
      </c>
      <c r="M604" t="s">
        <v>21</v>
      </c>
      <c r="N604" t="s">
        <v>22</v>
      </c>
      <c r="O604" t="s">
        <v>30</v>
      </c>
    </row>
    <row r="605" spans="1:15" x14ac:dyDescent="0.3">
      <c r="A605" t="s">
        <v>807</v>
      </c>
      <c r="B605" t="s">
        <v>308</v>
      </c>
      <c r="C605" t="s">
        <v>17</v>
      </c>
      <c r="D605">
        <v>48</v>
      </c>
      <c r="E605" t="s">
        <v>18</v>
      </c>
      <c r="F605" t="s">
        <v>126</v>
      </c>
      <c r="G605" t="s">
        <v>20</v>
      </c>
      <c r="H605">
        <v>25000</v>
      </c>
      <c r="I605">
        <v>13</v>
      </c>
      <c r="J605">
        <v>4</v>
      </c>
      <c r="K605">
        <v>5</v>
      </c>
      <c r="L605" t="s">
        <v>21</v>
      </c>
      <c r="M605" t="s">
        <v>29</v>
      </c>
      <c r="N605" t="s">
        <v>34</v>
      </c>
      <c r="O605" t="s">
        <v>23</v>
      </c>
    </row>
    <row r="606" spans="1:15" x14ac:dyDescent="0.3">
      <c r="A606" t="s">
        <v>808</v>
      </c>
      <c r="B606" t="s">
        <v>217</v>
      </c>
      <c r="C606" t="s">
        <v>17</v>
      </c>
      <c r="D606">
        <v>54</v>
      </c>
      <c r="E606" t="s">
        <v>41</v>
      </c>
      <c r="F606" t="s">
        <v>73</v>
      </c>
      <c r="G606" t="s">
        <v>28</v>
      </c>
      <c r="H606">
        <v>91000</v>
      </c>
      <c r="I606">
        <v>20</v>
      </c>
      <c r="J606">
        <v>2</v>
      </c>
      <c r="K606">
        <v>4</v>
      </c>
      <c r="L606" t="s">
        <v>29</v>
      </c>
      <c r="M606" t="s">
        <v>29</v>
      </c>
      <c r="N606" t="s">
        <v>34</v>
      </c>
      <c r="O606" t="s">
        <v>43</v>
      </c>
    </row>
    <row r="607" spans="1:15" x14ac:dyDescent="0.3">
      <c r="A607" t="s">
        <v>809</v>
      </c>
      <c r="B607" t="s">
        <v>96</v>
      </c>
      <c r="C607" t="s">
        <v>37</v>
      </c>
      <c r="D607">
        <v>40</v>
      </c>
      <c r="E607" t="s">
        <v>66</v>
      </c>
      <c r="F607" t="s">
        <v>67</v>
      </c>
      <c r="G607" t="s">
        <v>33</v>
      </c>
      <c r="H607">
        <v>119000</v>
      </c>
      <c r="I607">
        <v>6</v>
      </c>
      <c r="J607">
        <v>4</v>
      </c>
      <c r="K607">
        <v>3</v>
      </c>
      <c r="L607" t="s">
        <v>29</v>
      </c>
      <c r="M607" t="s">
        <v>29</v>
      </c>
      <c r="N607" t="s">
        <v>34</v>
      </c>
      <c r="O607" t="s">
        <v>54</v>
      </c>
    </row>
    <row r="608" spans="1:15" x14ac:dyDescent="0.3">
      <c r="A608" t="s">
        <v>810</v>
      </c>
      <c r="B608" t="s">
        <v>486</v>
      </c>
      <c r="C608" t="s">
        <v>17</v>
      </c>
      <c r="D608">
        <v>48</v>
      </c>
      <c r="E608" t="s">
        <v>18</v>
      </c>
      <c r="F608" t="s">
        <v>126</v>
      </c>
      <c r="G608" t="s">
        <v>46</v>
      </c>
      <c r="H608">
        <v>42000</v>
      </c>
      <c r="I608">
        <v>12</v>
      </c>
      <c r="J608">
        <v>5</v>
      </c>
      <c r="K608">
        <v>2</v>
      </c>
      <c r="L608" t="s">
        <v>29</v>
      </c>
      <c r="M608" t="s">
        <v>29</v>
      </c>
      <c r="N608" t="s">
        <v>22</v>
      </c>
      <c r="O608" t="s">
        <v>43</v>
      </c>
    </row>
    <row r="609" spans="1:15" x14ac:dyDescent="0.3">
      <c r="A609" t="s">
        <v>811</v>
      </c>
      <c r="B609" t="s">
        <v>16</v>
      </c>
      <c r="C609" t="s">
        <v>17</v>
      </c>
      <c r="D609">
        <v>35</v>
      </c>
      <c r="E609" t="s">
        <v>66</v>
      </c>
      <c r="F609" t="s">
        <v>82</v>
      </c>
      <c r="G609" t="s">
        <v>20</v>
      </c>
      <c r="H609">
        <v>57000</v>
      </c>
      <c r="I609">
        <v>14</v>
      </c>
      <c r="J609">
        <v>5</v>
      </c>
      <c r="K609">
        <v>5</v>
      </c>
      <c r="L609" t="s">
        <v>29</v>
      </c>
      <c r="M609" t="s">
        <v>29</v>
      </c>
      <c r="N609" t="s">
        <v>22</v>
      </c>
      <c r="O609" t="s">
        <v>23</v>
      </c>
    </row>
    <row r="610" spans="1:15" x14ac:dyDescent="0.3">
      <c r="A610" t="s">
        <v>812</v>
      </c>
      <c r="B610" t="s">
        <v>104</v>
      </c>
      <c r="C610" t="s">
        <v>17</v>
      </c>
      <c r="D610">
        <v>43</v>
      </c>
      <c r="E610" t="s">
        <v>41</v>
      </c>
      <c r="F610" t="s">
        <v>73</v>
      </c>
      <c r="G610" t="s">
        <v>28</v>
      </c>
      <c r="H610">
        <v>83000</v>
      </c>
      <c r="I610">
        <v>15</v>
      </c>
      <c r="J610">
        <v>4</v>
      </c>
      <c r="K610">
        <v>3</v>
      </c>
      <c r="L610" t="s">
        <v>29</v>
      </c>
      <c r="M610" t="s">
        <v>29</v>
      </c>
      <c r="N610" t="s">
        <v>34</v>
      </c>
      <c r="O610" t="s">
        <v>70</v>
      </c>
    </row>
    <row r="611" spans="1:15" x14ac:dyDescent="0.3">
      <c r="A611" t="s">
        <v>813</v>
      </c>
      <c r="B611" t="s">
        <v>269</v>
      </c>
      <c r="C611" t="s">
        <v>37</v>
      </c>
      <c r="D611">
        <v>44</v>
      </c>
      <c r="E611" t="s">
        <v>26</v>
      </c>
      <c r="F611" t="s">
        <v>50</v>
      </c>
      <c r="G611" t="s">
        <v>33</v>
      </c>
      <c r="H611">
        <v>49000</v>
      </c>
      <c r="I611">
        <v>12</v>
      </c>
      <c r="J611">
        <v>2</v>
      </c>
      <c r="K611">
        <v>2</v>
      </c>
      <c r="L611" t="s">
        <v>29</v>
      </c>
      <c r="M611" t="s">
        <v>29</v>
      </c>
      <c r="N611" t="s">
        <v>34</v>
      </c>
      <c r="O611" t="s">
        <v>43</v>
      </c>
    </row>
    <row r="612" spans="1:15" x14ac:dyDescent="0.3">
      <c r="A612" t="s">
        <v>814</v>
      </c>
      <c r="B612" t="s">
        <v>815</v>
      </c>
      <c r="C612" t="s">
        <v>37</v>
      </c>
      <c r="D612">
        <v>55</v>
      </c>
      <c r="E612" t="s">
        <v>66</v>
      </c>
      <c r="F612" t="s">
        <v>67</v>
      </c>
      <c r="G612" t="s">
        <v>46</v>
      </c>
      <c r="H612">
        <v>29000</v>
      </c>
      <c r="I612">
        <v>11</v>
      </c>
      <c r="J612">
        <v>4</v>
      </c>
      <c r="K612">
        <v>4</v>
      </c>
      <c r="L612" t="s">
        <v>21</v>
      </c>
      <c r="M612" t="s">
        <v>29</v>
      </c>
      <c r="N612" t="s">
        <v>22</v>
      </c>
      <c r="O612" t="s">
        <v>23</v>
      </c>
    </row>
    <row r="613" spans="1:15" x14ac:dyDescent="0.3">
      <c r="A613" t="s">
        <v>816</v>
      </c>
      <c r="B613" t="s">
        <v>151</v>
      </c>
      <c r="C613" t="s">
        <v>37</v>
      </c>
      <c r="D613">
        <v>23</v>
      </c>
      <c r="E613" t="s">
        <v>41</v>
      </c>
      <c r="F613" t="s">
        <v>42</v>
      </c>
      <c r="G613" t="s">
        <v>20</v>
      </c>
      <c r="H613">
        <v>72000</v>
      </c>
      <c r="I613">
        <v>2</v>
      </c>
      <c r="J613">
        <v>4</v>
      </c>
      <c r="K613">
        <v>1</v>
      </c>
      <c r="L613" t="s">
        <v>29</v>
      </c>
      <c r="M613" t="s">
        <v>29</v>
      </c>
      <c r="N613" t="s">
        <v>34</v>
      </c>
      <c r="O613" t="s">
        <v>54</v>
      </c>
    </row>
    <row r="614" spans="1:15" x14ac:dyDescent="0.3">
      <c r="A614" t="s">
        <v>817</v>
      </c>
      <c r="B614" t="s">
        <v>261</v>
      </c>
      <c r="C614" t="s">
        <v>37</v>
      </c>
      <c r="D614">
        <v>27</v>
      </c>
      <c r="E614" t="s">
        <v>41</v>
      </c>
      <c r="F614" t="s">
        <v>42</v>
      </c>
      <c r="G614" t="s">
        <v>28</v>
      </c>
      <c r="H614">
        <v>100000</v>
      </c>
      <c r="I614">
        <v>5</v>
      </c>
      <c r="J614">
        <v>4</v>
      </c>
      <c r="K614">
        <v>5</v>
      </c>
      <c r="L614" t="s">
        <v>21</v>
      </c>
      <c r="M614" t="s">
        <v>21</v>
      </c>
      <c r="N614" t="s">
        <v>34</v>
      </c>
      <c r="O614" t="s">
        <v>43</v>
      </c>
    </row>
    <row r="615" spans="1:15" x14ac:dyDescent="0.3">
      <c r="A615" t="s">
        <v>818</v>
      </c>
      <c r="B615" t="s">
        <v>201</v>
      </c>
      <c r="C615" t="s">
        <v>17</v>
      </c>
      <c r="D615">
        <v>32</v>
      </c>
      <c r="E615" t="s">
        <v>41</v>
      </c>
      <c r="F615" t="s">
        <v>73</v>
      </c>
      <c r="G615" t="s">
        <v>46</v>
      </c>
      <c r="H615">
        <v>93000</v>
      </c>
      <c r="I615">
        <v>11</v>
      </c>
      <c r="J615">
        <v>2</v>
      </c>
      <c r="K615">
        <v>1</v>
      </c>
      <c r="L615" t="s">
        <v>29</v>
      </c>
      <c r="M615" t="s">
        <v>29</v>
      </c>
      <c r="N615" t="s">
        <v>22</v>
      </c>
      <c r="O615" t="s">
        <v>54</v>
      </c>
    </row>
    <row r="616" spans="1:15" x14ac:dyDescent="0.3">
      <c r="A616" t="s">
        <v>819</v>
      </c>
      <c r="B616" t="s">
        <v>53</v>
      </c>
      <c r="C616" t="s">
        <v>17</v>
      </c>
      <c r="D616">
        <v>24</v>
      </c>
      <c r="E616" t="s">
        <v>41</v>
      </c>
      <c r="F616" t="s">
        <v>73</v>
      </c>
      <c r="G616" t="s">
        <v>28</v>
      </c>
      <c r="H616">
        <v>33000</v>
      </c>
      <c r="I616">
        <v>1</v>
      </c>
      <c r="J616">
        <v>3</v>
      </c>
      <c r="K616">
        <v>3</v>
      </c>
      <c r="L616" t="s">
        <v>29</v>
      </c>
      <c r="M616" t="s">
        <v>29</v>
      </c>
      <c r="N616" t="s">
        <v>34</v>
      </c>
      <c r="O616" t="s">
        <v>43</v>
      </c>
    </row>
    <row r="617" spans="1:15" x14ac:dyDescent="0.3">
      <c r="A617" t="s">
        <v>820</v>
      </c>
      <c r="B617" t="s">
        <v>84</v>
      </c>
      <c r="C617" t="s">
        <v>37</v>
      </c>
      <c r="D617">
        <v>32</v>
      </c>
      <c r="E617" t="s">
        <v>49</v>
      </c>
      <c r="F617" t="s">
        <v>50</v>
      </c>
      <c r="G617" t="s">
        <v>46</v>
      </c>
      <c r="H617">
        <v>85000</v>
      </c>
      <c r="I617">
        <v>3</v>
      </c>
      <c r="J617">
        <v>2</v>
      </c>
      <c r="K617">
        <v>4</v>
      </c>
      <c r="L617" t="s">
        <v>29</v>
      </c>
      <c r="M617" t="s">
        <v>29</v>
      </c>
      <c r="N617" t="s">
        <v>34</v>
      </c>
      <c r="O617" t="s">
        <v>30</v>
      </c>
    </row>
    <row r="618" spans="1:15" x14ac:dyDescent="0.3">
      <c r="A618" t="s">
        <v>821</v>
      </c>
      <c r="B618" t="s">
        <v>84</v>
      </c>
      <c r="C618" t="s">
        <v>17</v>
      </c>
      <c r="D618">
        <v>24</v>
      </c>
      <c r="E618" t="s">
        <v>49</v>
      </c>
      <c r="F618" t="s">
        <v>27</v>
      </c>
      <c r="G618" t="s">
        <v>20</v>
      </c>
      <c r="H618">
        <v>112000</v>
      </c>
      <c r="I618">
        <v>3</v>
      </c>
      <c r="J618">
        <v>2</v>
      </c>
      <c r="K618">
        <v>4</v>
      </c>
      <c r="L618" t="s">
        <v>29</v>
      </c>
      <c r="M618" t="s">
        <v>29</v>
      </c>
      <c r="N618" t="s">
        <v>34</v>
      </c>
      <c r="O618" t="s">
        <v>70</v>
      </c>
    </row>
    <row r="619" spans="1:15" x14ac:dyDescent="0.3">
      <c r="A619" t="s">
        <v>822</v>
      </c>
      <c r="B619" t="s">
        <v>306</v>
      </c>
      <c r="C619" t="s">
        <v>37</v>
      </c>
      <c r="D619">
        <v>41</v>
      </c>
      <c r="E619" t="s">
        <v>18</v>
      </c>
      <c r="F619" t="s">
        <v>19</v>
      </c>
      <c r="G619" t="s">
        <v>20</v>
      </c>
      <c r="H619">
        <v>73000</v>
      </c>
      <c r="I619">
        <v>3</v>
      </c>
      <c r="J619">
        <v>4</v>
      </c>
      <c r="K619">
        <v>2</v>
      </c>
      <c r="L619" t="s">
        <v>29</v>
      </c>
      <c r="M619" t="s">
        <v>29</v>
      </c>
      <c r="N619" t="s">
        <v>34</v>
      </c>
      <c r="O619" t="s">
        <v>38</v>
      </c>
    </row>
    <row r="620" spans="1:15" x14ac:dyDescent="0.3">
      <c r="A620" t="s">
        <v>823</v>
      </c>
      <c r="B620" t="s">
        <v>223</v>
      </c>
      <c r="C620" t="s">
        <v>17</v>
      </c>
      <c r="D620">
        <v>30</v>
      </c>
      <c r="E620" t="s">
        <v>26</v>
      </c>
      <c r="F620" t="s">
        <v>27</v>
      </c>
      <c r="G620" t="s">
        <v>46</v>
      </c>
      <c r="H620">
        <v>74000</v>
      </c>
      <c r="I620">
        <v>0</v>
      </c>
      <c r="J620">
        <v>2</v>
      </c>
      <c r="K620">
        <v>5</v>
      </c>
      <c r="L620" t="s">
        <v>29</v>
      </c>
      <c r="M620" t="s">
        <v>29</v>
      </c>
      <c r="N620" t="s">
        <v>34</v>
      </c>
      <c r="O620" t="s">
        <v>54</v>
      </c>
    </row>
    <row r="621" spans="1:15" x14ac:dyDescent="0.3">
      <c r="A621" t="s">
        <v>824</v>
      </c>
      <c r="B621" t="s">
        <v>625</v>
      </c>
      <c r="C621" t="s">
        <v>17</v>
      </c>
      <c r="D621">
        <v>38</v>
      </c>
      <c r="E621" t="s">
        <v>66</v>
      </c>
      <c r="F621" t="s">
        <v>82</v>
      </c>
      <c r="G621" t="s">
        <v>33</v>
      </c>
      <c r="H621">
        <v>73000</v>
      </c>
      <c r="I621">
        <v>6</v>
      </c>
      <c r="J621">
        <v>4</v>
      </c>
      <c r="K621">
        <v>3</v>
      </c>
      <c r="L621" t="s">
        <v>21</v>
      </c>
      <c r="M621" t="s">
        <v>29</v>
      </c>
      <c r="N621" t="s">
        <v>22</v>
      </c>
      <c r="O621" t="s">
        <v>75</v>
      </c>
    </row>
    <row r="622" spans="1:15" x14ac:dyDescent="0.3">
      <c r="A622" t="s">
        <v>825</v>
      </c>
      <c r="B622" t="s">
        <v>360</v>
      </c>
      <c r="C622" t="s">
        <v>37</v>
      </c>
      <c r="D622">
        <v>47</v>
      </c>
      <c r="E622" t="s">
        <v>26</v>
      </c>
      <c r="F622" t="s">
        <v>50</v>
      </c>
      <c r="G622" t="s">
        <v>28</v>
      </c>
      <c r="H622">
        <v>69000</v>
      </c>
      <c r="I622">
        <v>14</v>
      </c>
      <c r="J622">
        <v>4</v>
      </c>
      <c r="K622">
        <v>4</v>
      </c>
      <c r="L622" t="s">
        <v>21</v>
      </c>
      <c r="M622" t="s">
        <v>21</v>
      </c>
      <c r="N622" t="s">
        <v>22</v>
      </c>
      <c r="O622" t="s">
        <v>38</v>
      </c>
    </row>
    <row r="623" spans="1:15" x14ac:dyDescent="0.3">
      <c r="A623" t="s">
        <v>826</v>
      </c>
      <c r="B623" t="s">
        <v>376</v>
      </c>
      <c r="C623" t="s">
        <v>37</v>
      </c>
      <c r="D623">
        <v>25</v>
      </c>
      <c r="E623" t="s">
        <v>49</v>
      </c>
      <c r="F623" t="s">
        <v>50</v>
      </c>
      <c r="G623" t="s">
        <v>33</v>
      </c>
      <c r="H623">
        <v>85000</v>
      </c>
      <c r="I623">
        <v>4</v>
      </c>
      <c r="J623">
        <v>2</v>
      </c>
      <c r="K623">
        <v>2</v>
      </c>
      <c r="L623" t="s">
        <v>29</v>
      </c>
      <c r="M623" t="s">
        <v>29</v>
      </c>
      <c r="N623" t="s">
        <v>22</v>
      </c>
      <c r="O623" t="s">
        <v>23</v>
      </c>
    </row>
    <row r="624" spans="1:15" x14ac:dyDescent="0.3">
      <c r="A624" t="s">
        <v>827</v>
      </c>
      <c r="B624" t="s">
        <v>261</v>
      </c>
      <c r="C624" t="s">
        <v>37</v>
      </c>
      <c r="D624">
        <v>31</v>
      </c>
      <c r="E624" t="s">
        <v>41</v>
      </c>
      <c r="F624" t="s">
        <v>73</v>
      </c>
      <c r="G624" t="s">
        <v>46</v>
      </c>
      <c r="H624">
        <v>43000</v>
      </c>
      <c r="I624">
        <v>9</v>
      </c>
      <c r="J624">
        <v>3</v>
      </c>
      <c r="K624">
        <v>3</v>
      </c>
      <c r="L624" t="s">
        <v>21</v>
      </c>
      <c r="M624" t="s">
        <v>29</v>
      </c>
      <c r="N624" t="s">
        <v>34</v>
      </c>
      <c r="O624" t="s">
        <v>54</v>
      </c>
    </row>
    <row r="625" spans="1:15" x14ac:dyDescent="0.3">
      <c r="A625" t="s">
        <v>828</v>
      </c>
      <c r="B625" t="s">
        <v>302</v>
      </c>
      <c r="C625" t="s">
        <v>37</v>
      </c>
      <c r="D625">
        <v>31</v>
      </c>
      <c r="E625" t="s">
        <v>41</v>
      </c>
      <c r="F625" t="s">
        <v>73</v>
      </c>
      <c r="G625" t="s">
        <v>28</v>
      </c>
      <c r="H625">
        <v>63000</v>
      </c>
      <c r="I625">
        <v>10</v>
      </c>
      <c r="J625">
        <v>5</v>
      </c>
      <c r="K625">
        <v>1</v>
      </c>
      <c r="L625" t="s">
        <v>21</v>
      </c>
      <c r="M625" t="s">
        <v>29</v>
      </c>
      <c r="N625" t="s">
        <v>34</v>
      </c>
      <c r="O625" t="s">
        <v>38</v>
      </c>
    </row>
    <row r="626" spans="1:15" x14ac:dyDescent="0.3">
      <c r="A626" t="s">
        <v>829</v>
      </c>
      <c r="B626" t="s">
        <v>128</v>
      </c>
      <c r="C626" t="s">
        <v>17</v>
      </c>
      <c r="D626">
        <v>37</v>
      </c>
      <c r="E626" t="s">
        <v>49</v>
      </c>
      <c r="F626" t="s">
        <v>27</v>
      </c>
      <c r="G626" t="s">
        <v>20</v>
      </c>
      <c r="H626">
        <v>44000</v>
      </c>
      <c r="I626">
        <v>14</v>
      </c>
      <c r="J626">
        <v>4</v>
      </c>
      <c r="K626">
        <v>4</v>
      </c>
      <c r="L626" t="s">
        <v>21</v>
      </c>
      <c r="M626" t="s">
        <v>29</v>
      </c>
      <c r="N626" t="s">
        <v>22</v>
      </c>
      <c r="O626" t="s">
        <v>51</v>
      </c>
    </row>
    <row r="627" spans="1:15" x14ac:dyDescent="0.3">
      <c r="A627" t="s">
        <v>830</v>
      </c>
      <c r="B627" t="s">
        <v>154</v>
      </c>
      <c r="C627" t="s">
        <v>37</v>
      </c>
      <c r="D627">
        <v>30</v>
      </c>
      <c r="E627" t="s">
        <v>26</v>
      </c>
      <c r="F627" t="s">
        <v>50</v>
      </c>
      <c r="G627" t="s">
        <v>28</v>
      </c>
      <c r="H627">
        <v>39000</v>
      </c>
      <c r="I627">
        <v>9</v>
      </c>
      <c r="J627">
        <v>3</v>
      </c>
      <c r="K627">
        <v>1</v>
      </c>
      <c r="L627" t="s">
        <v>29</v>
      </c>
      <c r="M627" t="s">
        <v>29</v>
      </c>
      <c r="N627" t="s">
        <v>22</v>
      </c>
      <c r="O627" t="s">
        <v>51</v>
      </c>
    </row>
    <row r="628" spans="1:15" x14ac:dyDescent="0.3">
      <c r="A628" t="s">
        <v>831</v>
      </c>
      <c r="B628" t="s">
        <v>94</v>
      </c>
      <c r="C628" t="s">
        <v>37</v>
      </c>
      <c r="D628">
        <v>52</v>
      </c>
      <c r="E628" t="s">
        <v>18</v>
      </c>
      <c r="F628" t="s">
        <v>126</v>
      </c>
      <c r="G628" t="s">
        <v>28</v>
      </c>
      <c r="H628">
        <v>63000</v>
      </c>
      <c r="I628">
        <v>4</v>
      </c>
      <c r="J628">
        <v>4</v>
      </c>
      <c r="K628">
        <v>4</v>
      </c>
      <c r="L628" t="s">
        <v>29</v>
      </c>
      <c r="M628" t="s">
        <v>29</v>
      </c>
      <c r="N628" t="s">
        <v>22</v>
      </c>
      <c r="O628" t="s">
        <v>30</v>
      </c>
    </row>
    <row r="629" spans="1:15" x14ac:dyDescent="0.3">
      <c r="A629" t="s">
        <v>832</v>
      </c>
      <c r="B629" t="s">
        <v>94</v>
      </c>
      <c r="C629" t="s">
        <v>37</v>
      </c>
      <c r="D629">
        <v>54</v>
      </c>
      <c r="E629" t="s">
        <v>57</v>
      </c>
      <c r="F629" t="s">
        <v>50</v>
      </c>
      <c r="G629" t="s">
        <v>28</v>
      </c>
      <c r="H629">
        <v>55000</v>
      </c>
      <c r="I629">
        <v>8</v>
      </c>
      <c r="J629">
        <v>2</v>
      </c>
      <c r="K629">
        <v>1</v>
      </c>
      <c r="L629" t="s">
        <v>21</v>
      </c>
      <c r="M629" t="s">
        <v>21</v>
      </c>
      <c r="N629" t="s">
        <v>22</v>
      </c>
      <c r="O629" t="s">
        <v>30</v>
      </c>
    </row>
    <row r="630" spans="1:15" x14ac:dyDescent="0.3">
      <c r="A630" t="s">
        <v>833</v>
      </c>
      <c r="B630" t="s">
        <v>267</v>
      </c>
      <c r="C630" t="s">
        <v>37</v>
      </c>
      <c r="D630">
        <v>45</v>
      </c>
      <c r="E630" t="s">
        <v>41</v>
      </c>
      <c r="F630" t="s">
        <v>42</v>
      </c>
      <c r="G630" t="s">
        <v>20</v>
      </c>
      <c r="H630">
        <v>72000</v>
      </c>
      <c r="I630">
        <v>3</v>
      </c>
      <c r="J630">
        <v>2</v>
      </c>
      <c r="K630">
        <v>4</v>
      </c>
      <c r="L630" t="s">
        <v>21</v>
      </c>
      <c r="M630" t="s">
        <v>29</v>
      </c>
      <c r="N630" t="s">
        <v>34</v>
      </c>
      <c r="O630" t="s">
        <v>70</v>
      </c>
    </row>
    <row r="631" spans="1:15" x14ac:dyDescent="0.3">
      <c r="A631" t="s">
        <v>834</v>
      </c>
      <c r="B631" t="s">
        <v>558</v>
      </c>
      <c r="C631" t="s">
        <v>17</v>
      </c>
      <c r="D631">
        <v>47</v>
      </c>
      <c r="E631" t="s">
        <v>66</v>
      </c>
      <c r="F631" t="s">
        <v>82</v>
      </c>
      <c r="G631" t="s">
        <v>33</v>
      </c>
      <c r="H631">
        <v>50000</v>
      </c>
      <c r="I631">
        <v>6</v>
      </c>
      <c r="J631">
        <v>5</v>
      </c>
      <c r="K631">
        <v>5</v>
      </c>
      <c r="L631" t="s">
        <v>29</v>
      </c>
      <c r="M631" t="s">
        <v>29</v>
      </c>
      <c r="N631" t="s">
        <v>34</v>
      </c>
      <c r="O631" t="s">
        <v>30</v>
      </c>
    </row>
    <row r="632" spans="1:15" x14ac:dyDescent="0.3">
      <c r="A632" t="s">
        <v>835</v>
      </c>
      <c r="B632" t="s">
        <v>84</v>
      </c>
      <c r="C632" t="s">
        <v>37</v>
      </c>
      <c r="D632">
        <v>44</v>
      </c>
      <c r="E632" t="s">
        <v>57</v>
      </c>
      <c r="F632" t="s">
        <v>50</v>
      </c>
      <c r="G632" t="s">
        <v>46</v>
      </c>
      <c r="H632">
        <v>91000</v>
      </c>
      <c r="I632">
        <v>3</v>
      </c>
      <c r="J632">
        <v>2</v>
      </c>
      <c r="K632">
        <v>3</v>
      </c>
      <c r="L632" t="s">
        <v>21</v>
      </c>
      <c r="M632" t="s">
        <v>29</v>
      </c>
      <c r="N632" t="s">
        <v>22</v>
      </c>
      <c r="O632" t="s">
        <v>70</v>
      </c>
    </row>
    <row r="633" spans="1:15" x14ac:dyDescent="0.3">
      <c r="A633" t="s">
        <v>836</v>
      </c>
      <c r="B633" t="s">
        <v>59</v>
      </c>
      <c r="C633" t="s">
        <v>17</v>
      </c>
      <c r="D633">
        <v>30</v>
      </c>
      <c r="E633" t="s">
        <v>66</v>
      </c>
      <c r="F633" t="s">
        <v>82</v>
      </c>
      <c r="G633" t="s">
        <v>46</v>
      </c>
      <c r="H633">
        <v>97000</v>
      </c>
      <c r="I633">
        <v>6</v>
      </c>
      <c r="J633">
        <v>2</v>
      </c>
      <c r="K633">
        <v>4</v>
      </c>
      <c r="L633" t="s">
        <v>21</v>
      </c>
      <c r="M633" t="s">
        <v>29</v>
      </c>
      <c r="N633" t="s">
        <v>34</v>
      </c>
      <c r="O633" t="s">
        <v>30</v>
      </c>
    </row>
    <row r="634" spans="1:15" x14ac:dyDescent="0.3">
      <c r="A634" t="s">
        <v>837</v>
      </c>
      <c r="B634" t="s">
        <v>111</v>
      </c>
      <c r="C634" t="s">
        <v>17</v>
      </c>
      <c r="D634">
        <v>25</v>
      </c>
      <c r="E634" t="s">
        <v>66</v>
      </c>
      <c r="F634" t="s">
        <v>67</v>
      </c>
      <c r="G634" t="s">
        <v>20</v>
      </c>
      <c r="H634">
        <v>74000</v>
      </c>
      <c r="I634">
        <v>4</v>
      </c>
      <c r="J634">
        <v>3</v>
      </c>
      <c r="K634">
        <v>4</v>
      </c>
      <c r="L634" t="s">
        <v>21</v>
      </c>
      <c r="M634" t="s">
        <v>29</v>
      </c>
      <c r="N634" t="s">
        <v>34</v>
      </c>
      <c r="O634" t="s">
        <v>38</v>
      </c>
    </row>
    <row r="635" spans="1:15" x14ac:dyDescent="0.3">
      <c r="A635" t="s">
        <v>838</v>
      </c>
      <c r="B635" t="s">
        <v>246</v>
      </c>
      <c r="C635" t="s">
        <v>17</v>
      </c>
      <c r="D635">
        <v>26</v>
      </c>
      <c r="E635" t="s">
        <v>57</v>
      </c>
      <c r="F635" t="s">
        <v>27</v>
      </c>
      <c r="G635" t="s">
        <v>33</v>
      </c>
      <c r="H635">
        <v>104000</v>
      </c>
      <c r="I635">
        <v>5</v>
      </c>
      <c r="J635">
        <v>3</v>
      </c>
      <c r="K635">
        <v>2</v>
      </c>
      <c r="L635" t="s">
        <v>21</v>
      </c>
      <c r="M635" t="s">
        <v>21</v>
      </c>
      <c r="N635" t="s">
        <v>34</v>
      </c>
      <c r="O635" t="s">
        <v>38</v>
      </c>
    </row>
    <row r="636" spans="1:15" x14ac:dyDescent="0.3">
      <c r="A636" t="s">
        <v>839</v>
      </c>
      <c r="B636" t="s">
        <v>201</v>
      </c>
      <c r="C636" t="s">
        <v>37</v>
      </c>
      <c r="D636">
        <v>26</v>
      </c>
      <c r="E636" t="s">
        <v>18</v>
      </c>
      <c r="F636" t="s">
        <v>126</v>
      </c>
      <c r="G636" t="s">
        <v>20</v>
      </c>
      <c r="H636">
        <v>101000</v>
      </c>
      <c r="I636">
        <v>5</v>
      </c>
      <c r="J636">
        <v>4</v>
      </c>
      <c r="K636">
        <v>3</v>
      </c>
      <c r="L636" t="s">
        <v>29</v>
      </c>
      <c r="M636" t="s">
        <v>29</v>
      </c>
      <c r="N636" t="s">
        <v>34</v>
      </c>
      <c r="O636" t="s">
        <v>54</v>
      </c>
    </row>
    <row r="637" spans="1:15" x14ac:dyDescent="0.3">
      <c r="A637" t="s">
        <v>840</v>
      </c>
      <c r="B637" t="s">
        <v>263</v>
      </c>
      <c r="C637" t="s">
        <v>17</v>
      </c>
      <c r="D637">
        <v>40</v>
      </c>
      <c r="E637" t="s">
        <v>41</v>
      </c>
      <c r="F637" t="s">
        <v>73</v>
      </c>
      <c r="G637" t="s">
        <v>33</v>
      </c>
      <c r="H637">
        <v>114000</v>
      </c>
      <c r="I637">
        <v>19</v>
      </c>
      <c r="J637">
        <v>5</v>
      </c>
      <c r="K637">
        <v>1</v>
      </c>
      <c r="L637" t="s">
        <v>29</v>
      </c>
      <c r="M637" t="s">
        <v>29</v>
      </c>
      <c r="N637" t="s">
        <v>22</v>
      </c>
      <c r="O637" t="s">
        <v>51</v>
      </c>
    </row>
    <row r="638" spans="1:15" x14ac:dyDescent="0.3">
      <c r="A638" t="s">
        <v>841</v>
      </c>
      <c r="B638" t="s">
        <v>394</v>
      </c>
      <c r="C638" t="s">
        <v>17</v>
      </c>
      <c r="D638">
        <v>39</v>
      </c>
      <c r="E638" t="s">
        <v>41</v>
      </c>
      <c r="F638" t="s">
        <v>42</v>
      </c>
      <c r="G638" t="s">
        <v>28</v>
      </c>
      <c r="H638">
        <v>107000</v>
      </c>
      <c r="I638">
        <v>0</v>
      </c>
      <c r="J638">
        <v>2</v>
      </c>
      <c r="K638">
        <v>3</v>
      </c>
      <c r="L638" t="s">
        <v>21</v>
      </c>
      <c r="M638" t="s">
        <v>29</v>
      </c>
      <c r="N638" t="s">
        <v>34</v>
      </c>
      <c r="O638" t="s">
        <v>70</v>
      </c>
    </row>
    <row r="639" spans="1:15" x14ac:dyDescent="0.3">
      <c r="A639" t="s">
        <v>842</v>
      </c>
      <c r="B639" t="s">
        <v>273</v>
      </c>
      <c r="C639" t="s">
        <v>17</v>
      </c>
      <c r="D639">
        <v>25</v>
      </c>
      <c r="E639" t="s">
        <v>41</v>
      </c>
      <c r="F639" t="s">
        <v>42</v>
      </c>
      <c r="G639" t="s">
        <v>28</v>
      </c>
      <c r="H639">
        <v>116000</v>
      </c>
      <c r="I639">
        <v>4</v>
      </c>
      <c r="J639">
        <v>2</v>
      </c>
      <c r="K639">
        <v>4</v>
      </c>
      <c r="L639" t="s">
        <v>29</v>
      </c>
      <c r="M639" t="s">
        <v>29</v>
      </c>
      <c r="N639" t="s">
        <v>22</v>
      </c>
      <c r="O639" t="s">
        <v>38</v>
      </c>
    </row>
    <row r="640" spans="1:15" x14ac:dyDescent="0.3">
      <c r="A640" t="s">
        <v>843</v>
      </c>
      <c r="B640" t="s">
        <v>197</v>
      </c>
      <c r="C640" t="s">
        <v>37</v>
      </c>
      <c r="D640">
        <v>31</v>
      </c>
      <c r="E640" t="s">
        <v>66</v>
      </c>
      <c r="F640" t="s">
        <v>82</v>
      </c>
      <c r="G640" t="s">
        <v>46</v>
      </c>
      <c r="H640">
        <v>116000</v>
      </c>
      <c r="I640">
        <v>9</v>
      </c>
      <c r="J640">
        <v>3</v>
      </c>
      <c r="K640">
        <v>5</v>
      </c>
      <c r="L640" t="s">
        <v>29</v>
      </c>
      <c r="M640" t="s">
        <v>29</v>
      </c>
      <c r="N640" t="s">
        <v>34</v>
      </c>
      <c r="O640" t="s">
        <v>54</v>
      </c>
    </row>
    <row r="641" spans="1:15" x14ac:dyDescent="0.3">
      <c r="A641" t="s">
        <v>844</v>
      </c>
      <c r="B641" t="s">
        <v>134</v>
      </c>
      <c r="C641" t="s">
        <v>17</v>
      </c>
      <c r="D641">
        <v>52</v>
      </c>
      <c r="E641" t="s">
        <v>41</v>
      </c>
      <c r="F641" t="s">
        <v>73</v>
      </c>
      <c r="G641" t="s">
        <v>46</v>
      </c>
      <c r="H641">
        <v>76000</v>
      </c>
      <c r="I641">
        <v>14</v>
      </c>
      <c r="J641">
        <v>5</v>
      </c>
      <c r="K641">
        <v>1</v>
      </c>
      <c r="L641" t="s">
        <v>29</v>
      </c>
      <c r="M641" t="s">
        <v>29</v>
      </c>
      <c r="N641" t="s">
        <v>34</v>
      </c>
      <c r="O641" t="s">
        <v>54</v>
      </c>
    </row>
    <row r="642" spans="1:15" x14ac:dyDescent="0.3">
      <c r="A642" t="s">
        <v>845</v>
      </c>
      <c r="B642" t="s">
        <v>261</v>
      </c>
      <c r="C642" t="s">
        <v>37</v>
      </c>
      <c r="D642">
        <v>48</v>
      </c>
      <c r="E642" t="s">
        <v>66</v>
      </c>
      <c r="F642" t="s">
        <v>67</v>
      </c>
      <c r="G642" t="s">
        <v>20</v>
      </c>
      <c r="H642">
        <v>64000</v>
      </c>
      <c r="I642">
        <v>9</v>
      </c>
      <c r="J642">
        <v>2</v>
      </c>
      <c r="K642">
        <v>5</v>
      </c>
      <c r="L642" t="s">
        <v>21</v>
      </c>
      <c r="M642" t="s">
        <v>29</v>
      </c>
      <c r="N642" t="s">
        <v>34</v>
      </c>
      <c r="O642" t="s">
        <v>75</v>
      </c>
    </row>
    <row r="643" spans="1:15" x14ac:dyDescent="0.3">
      <c r="A643" t="s">
        <v>846</v>
      </c>
      <c r="B643" t="s">
        <v>502</v>
      </c>
      <c r="C643" t="s">
        <v>17</v>
      </c>
      <c r="D643">
        <v>52</v>
      </c>
      <c r="E643" t="s">
        <v>26</v>
      </c>
      <c r="F643" t="s">
        <v>50</v>
      </c>
      <c r="G643" t="s">
        <v>20</v>
      </c>
      <c r="H643">
        <v>100000</v>
      </c>
      <c r="I643">
        <v>15</v>
      </c>
      <c r="J643">
        <v>4</v>
      </c>
      <c r="K643">
        <v>4</v>
      </c>
      <c r="L643" t="s">
        <v>29</v>
      </c>
      <c r="M643" t="s">
        <v>29</v>
      </c>
      <c r="N643" t="s">
        <v>22</v>
      </c>
      <c r="O643" t="s">
        <v>54</v>
      </c>
    </row>
    <row r="644" spans="1:15" x14ac:dyDescent="0.3">
      <c r="A644" t="s">
        <v>847</v>
      </c>
      <c r="B644" t="s">
        <v>269</v>
      </c>
      <c r="C644" t="s">
        <v>37</v>
      </c>
      <c r="D644">
        <v>47</v>
      </c>
      <c r="E644" t="s">
        <v>18</v>
      </c>
      <c r="F644" t="s">
        <v>126</v>
      </c>
      <c r="G644" t="s">
        <v>46</v>
      </c>
      <c r="H644">
        <v>26000</v>
      </c>
      <c r="I644">
        <v>15</v>
      </c>
      <c r="J644">
        <v>3</v>
      </c>
      <c r="K644">
        <v>4</v>
      </c>
      <c r="L644" t="s">
        <v>29</v>
      </c>
      <c r="M644" t="s">
        <v>29</v>
      </c>
      <c r="N644" t="s">
        <v>22</v>
      </c>
      <c r="O644" t="s">
        <v>30</v>
      </c>
    </row>
    <row r="645" spans="1:15" x14ac:dyDescent="0.3">
      <c r="A645" t="s">
        <v>848</v>
      </c>
      <c r="B645" t="s">
        <v>242</v>
      </c>
      <c r="C645" t="s">
        <v>17</v>
      </c>
      <c r="D645">
        <v>42</v>
      </c>
      <c r="E645" t="s">
        <v>66</v>
      </c>
      <c r="F645" t="s">
        <v>82</v>
      </c>
      <c r="G645" t="s">
        <v>20</v>
      </c>
      <c r="H645">
        <v>118000</v>
      </c>
      <c r="I645">
        <v>18</v>
      </c>
      <c r="J645">
        <v>4</v>
      </c>
      <c r="K645">
        <v>3</v>
      </c>
      <c r="L645" t="s">
        <v>21</v>
      </c>
      <c r="M645" t="s">
        <v>29</v>
      </c>
      <c r="N645" t="s">
        <v>22</v>
      </c>
      <c r="O645" t="s">
        <v>30</v>
      </c>
    </row>
    <row r="646" spans="1:15" x14ac:dyDescent="0.3">
      <c r="A646" t="s">
        <v>849</v>
      </c>
      <c r="B646" t="s">
        <v>497</v>
      </c>
      <c r="C646" t="s">
        <v>37</v>
      </c>
      <c r="D646">
        <v>53</v>
      </c>
      <c r="E646" t="s">
        <v>49</v>
      </c>
      <c r="F646" t="s">
        <v>50</v>
      </c>
      <c r="G646" t="s">
        <v>20</v>
      </c>
      <c r="H646">
        <v>120000</v>
      </c>
      <c r="I646">
        <v>4</v>
      </c>
      <c r="J646">
        <v>5</v>
      </c>
      <c r="K646">
        <v>4</v>
      </c>
      <c r="L646" t="s">
        <v>29</v>
      </c>
      <c r="M646" t="s">
        <v>29</v>
      </c>
      <c r="N646" t="s">
        <v>34</v>
      </c>
      <c r="O646" t="s">
        <v>70</v>
      </c>
    </row>
    <row r="647" spans="1:15" x14ac:dyDescent="0.3">
      <c r="A647" t="s">
        <v>850</v>
      </c>
      <c r="B647" t="s">
        <v>397</v>
      </c>
      <c r="C647" t="s">
        <v>37</v>
      </c>
      <c r="D647">
        <v>28</v>
      </c>
      <c r="E647" t="s">
        <v>49</v>
      </c>
      <c r="F647" t="s">
        <v>27</v>
      </c>
      <c r="G647" t="s">
        <v>46</v>
      </c>
      <c r="H647">
        <v>89000</v>
      </c>
      <c r="I647">
        <v>6</v>
      </c>
      <c r="J647">
        <v>5</v>
      </c>
      <c r="K647">
        <v>1</v>
      </c>
      <c r="L647" t="s">
        <v>21</v>
      </c>
      <c r="M647" t="s">
        <v>21</v>
      </c>
      <c r="N647" t="s">
        <v>34</v>
      </c>
      <c r="O647" t="s">
        <v>54</v>
      </c>
    </row>
    <row r="648" spans="1:15" x14ac:dyDescent="0.3">
      <c r="A648" t="s">
        <v>851</v>
      </c>
      <c r="B648" t="s">
        <v>251</v>
      </c>
      <c r="C648" t="s">
        <v>37</v>
      </c>
      <c r="D648">
        <v>52</v>
      </c>
      <c r="E648" t="s">
        <v>26</v>
      </c>
      <c r="F648" t="s">
        <v>27</v>
      </c>
      <c r="G648" t="s">
        <v>33</v>
      </c>
      <c r="H648">
        <v>89000</v>
      </c>
      <c r="I648">
        <v>3</v>
      </c>
      <c r="J648">
        <v>5</v>
      </c>
      <c r="K648">
        <v>4</v>
      </c>
      <c r="L648" t="s">
        <v>29</v>
      </c>
      <c r="M648" t="s">
        <v>29</v>
      </c>
      <c r="N648" t="s">
        <v>22</v>
      </c>
      <c r="O648" t="s">
        <v>23</v>
      </c>
    </row>
    <row r="649" spans="1:15" x14ac:dyDescent="0.3">
      <c r="A649" t="s">
        <v>852</v>
      </c>
      <c r="B649" t="s">
        <v>130</v>
      </c>
      <c r="C649" t="s">
        <v>37</v>
      </c>
      <c r="D649">
        <v>28</v>
      </c>
      <c r="E649" t="s">
        <v>66</v>
      </c>
      <c r="F649" t="s">
        <v>67</v>
      </c>
      <c r="G649" t="s">
        <v>20</v>
      </c>
      <c r="H649">
        <v>41000</v>
      </c>
      <c r="I649">
        <v>5</v>
      </c>
      <c r="J649">
        <v>5</v>
      </c>
      <c r="K649">
        <v>3</v>
      </c>
      <c r="L649" t="s">
        <v>21</v>
      </c>
      <c r="M649" t="s">
        <v>21</v>
      </c>
      <c r="N649" t="s">
        <v>34</v>
      </c>
      <c r="O649" t="s">
        <v>70</v>
      </c>
    </row>
    <row r="650" spans="1:15" x14ac:dyDescent="0.3">
      <c r="A650" t="s">
        <v>853</v>
      </c>
      <c r="B650" t="s">
        <v>242</v>
      </c>
      <c r="C650" t="s">
        <v>37</v>
      </c>
      <c r="D650">
        <v>29</v>
      </c>
      <c r="E650" t="s">
        <v>57</v>
      </c>
      <c r="F650" t="s">
        <v>27</v>
      </c>
      <c r="G650" t="s">
        <v>20</v>
      </c>
      <c r="H650">
        <v>66000</v>
      </c>
      <c r="I650">
        <v>0</v>
      </c>
      <c r="J650">
        <v>5</v>
      </c>
      <c r="K650">
        <v>3</v>
      </c>
      <c r="L650" t="s">
        <v>29</v>
      </c>
      <c r="M650" t="s">
        <v>21</v>
      </c>
      <c r="N650" t="s">
        <v>22</v>
      </c>
      <c r="O650" t="s">
        <v>75</v>
      </c>
    </row>
    <row r="651" spans="1:15" x14ac:dyDescent="0.3">
      <c r="A651" t="s">
        <v>854</v>
      </c>
      <c r="B651" t="s">
        <v>379</v>
      </c>
      <c r="C651" t="s">
        <v>37</v>
      </c>
      <c r="D651">
        <v>30</v>
      </c>
      <c r="E651" t="s">
        <v>66</v>
      </c>
      <c r="F651" t="s">
        <v>82</v>
      </c>
      <c r="G651" t="s">
        <v>33</v>
      </c>
      <c r="H651">
        <v>28000</v>
      </c>
      <c r="I651">
        <v>9</v>
      </c>
      <c r="J651">
        <v>3</v>
      </c>
      <c r="K651">
        <v>1</v>
      </c>
      <c r="L651" t="s">
        <v>21</v>
      </c>
      <c r="M651" t="s">
        <v>21</v>
      </c>
      <c r="N651" t="s">
        <v>34</v>
      </c>
      <c r="O651" t="s">
        <v>23</v>
      </c>
    </row>
    <row r="652" spans="1:15" x14ac:dyDescent="0.3">
      <c r="A652" t="s">
        <v>855</v>
      </c>
      <c r="B652" t="s">
        <v>666</v>
      </c>
      <c r="C652" t="s">
        <v>37</v>
      </c>
      <c r="D652">
        <v>46</v>
      </c>
      <c r="E652" t="s">
        <v>26</v>
      </c>
      <c r="F652" t="s">
        <v>50</v>
      </c>
      <c r="G652" t="s">
        <v>28</v>
      </c>
      <c r="H652">
        <v>118000</v>
      </c>
      <c r="I652">
        <v>19</v>
      </c>
      <c r="J652">
        <v>2</v>
      </c>
      <c r="K652">
        <v>5</v>
      </c>
      <c r="L652" t="s">
        <v>21</v>
      </c>
      <c r="M652" t="s">
        <v>29</v>
      </c>
      <c r="N652" t="s">
        <v>22</v>
      </c>
      <c r="O652" t="s">
        <v>30</v>
      </c>
    </row>
    <row r="653" spans="1:15" x14ac:dyDescent="0.3">
      <c r="A653" t="s">
        <v>856</v>
      </c>
      <c r="B653" t="s">
        <v>90</v>
      </c>
      <c r="C653" t="s">
        <v>37</v>
      </c>
      <c r="D653">
        <v>41</v>
      </c>
      <c r="E653" t="s">
        <v>41</v>
      </c>
      <c r="F653" t="s">
        <v>42</v>
      </c>
      <c r="G653" t="s">
        <v>20</v>
      </c>
      <c r="H653">
        <v>90000</v>
      </c>
      <c r="I653">
        <v>18</v>
      </c>
      <c r="J653">
        <v>2</v>
      </c>
      <c r="K653">
        <v>1</v>
      </c>
      <c r="L653" t="s">
        <v>21</v>
      </c>
      <c r="M653" t="s">
        <v>29</v>
      </c>
      <c r="N653" t="s">
        <v>34</v>
      </c>
      <c r="O653" t="s">
        <v>51</v>
      </c>
    </row>
    <row r="654" spans="1:15" x14ac:dyDescent="0.3">
      <c r="A654" t="s">
        <v>857</v>
      </c>
      <c r="B654" t="s">
        <v>486</v>
      </c>
      <c r="C654" t="s">
        <v>17</v>
      </c>
      <c r="D654">
        <v>29</v>
      </c>
      <c r="E654" t="s">
        <v>18</v>
      </c>
      <c r="F654" t="s">
        <v>126</v>
      </c>
      <c r="G654" t="s">
        <v>46</v>
      </c>
      <c r="H654">
        <v>114000</v>
      </c>
      <c r="I654">
        <v>6</v>
      </c>
      <c r="J654">
        <v>4</v>
      </c>
      <c r="K654">
        <v>1</v>
      </c>
      <c r="L654" t="s">
        <v>29</v>
      </c>
      <c r="M654" t="s">
        <v>21</v>
      </c>
      <c r="N654" t="s">
        <v>22</v>
      </c>
      <c r="O654" t="s">
        <v>51</v>
      </c>
    </row>
    <row r="655" spans="1:15" x14ac:dyDescent="0.3">
      <c r="A655" t="s">
        <v>858</v>
      </c>
      <c r="B655" t="s">
        <v>125</v>
      </c>
      <c r="C655" t="s">
        <v>17</v>
      </c>
      <c r="D655">
        <v>34</v>
      </c>
      <c r="E655" t="s">
        <v>41</v>
      </c>
      <c r="F655" t="s">
        <v>42</v>
      </c>
      <c r="G655" t="s">
        <v>46</v>
      </c>
      <c r="H655">
        <v>62000</v>
      </c>
      <c r="I655">
        <v>0</v>
      </c>
      <c r="J655">
        <v>5</v>
      </c>
      <c r="K655">
        <v>4</v>
      </c>
      <c r="L655" t="s">
        <v>29</v>
      </c>
      <c r="M655" t="s">
        <v>29</v>
      </c>
      <c r="N655" t="s">
        <v>22</v>
      </c>
      <c r="O655" t="s">
        <v>54</v>
      </c>
    </row>
    <row r="656" spans="1:15" x14ac:dyDescent="0.3">
      <c r="A656" t="s">
        <v>859</v>
      </c>
      <c r="B656" t="s">
        <v>448</v>
      </c>
      <c r="C656" t="s">
        <v>37</v>
      </c>
      <c r="D656">
        <v>32</v>
      </c>
      <c r="E656" t="s">
        <v>41</v>
      </c>
      <c r="F656" t="s">
        <v>42</v>
      </c>
      <c r="G656" t="s">
        <v>46</v>
      </c>
      <c r="H656">
        <v>69000</v>
      </c>
      <c r="I656">
        <v>11</v>
      </c>
      <c r="J656">
        <v>5</v>
      </c>
      <c r="K656">
        <v>3</v>
      </c>
      <c r="L656" t="s">
        <v>21</v>
      </c>
      <c r="M656" t="s">
        <v>21</v>
      </c>
      <c r="N656" t="s">
        <v>22</v>
      </c>
      <c r="O656" t="s">
        <v>54</v>
      </c>
    </row>
    <row r="657" spans="1:15" x14ac:dyDescent="0.3">
      <c r="A657" t="s">
        <v>860</v>
      </c>
      <c r="B657" t="s">
        <v>625</v>
      </c>
      <c r="C657" t="s">
        <v>17</v>
      </c>
      <c r="D657">
        <v>26</v>
      </c>
      <c r="E657" t="s">
        <v>66</v>
      </c>
      <c r="F657" t="s">
        <v>82</v>
      </c>
      <c r="G657" t="s">
        <v>46</v>
      </c>
      <c r="H657">
        <v>86000</v>
      </c>
      <c r="I657">
        <v>5</v>
      </c>
      <c r="J657">
        <v>5</v>
      </c>
      <c r="K657">
        <v>2</v>
      </c>
      <c r="L657" t="s">
        <v>21</v>
      </c>
      <c r="M657" t="s">
        <v>21</v>
      </c>
      <c r="N657" t="s">
        <v>34</v>
      </c>
      <c r="O657" t="s">
        <v>43</v>
      </c>
    </row>
    <row r="658" spans="1:15" x14ac:dyDescent="0.3">
      <c r="A658" t="s">
        <v>861</v>
      </c>
      <c r="B658" t="s">
        <v>238</v>
      </c>
      <c r="C658" t="s">
        <v>17</v>
      </c>
      <c r="D658">
        <v>30</v>
      </c>
      <c r="E658" t="s">
        <v>57</v>
      </c>
      <c r="F658" t="s">
        <v>27</v>
      </c>
      <c r="G658" t="s">
        <v>28</v>
      </c>
      <c r="H658">
        <v>109000</v>
      </c>
      <c r="I658">
        <v>3</v>
      </c>
      <c r="J658">
        <v>2</v>
      </c>
      <c r="K658">
        <v>5</v>
      </c>
      <c r="L658" t="s">
        <v>29</v>
      </c>
      <c r="M658" t="s">
        <v>29</v>
      </c>
      <c r="N658" t="s">
        <v>22</v>
      </c>
      <c r="O658" t="s">
        <v>75</v>
      </c>
    </row>
    <row r="659" spans="1:15" x14ac:dyDescent="0.3">
      <c r="A659" t="s">
        <v>862</v>
      </c>
      <c r="B659" t="s">
        <v>166</v>
      </c>
      <c r="C659" t="s">
        <v>17</v>
      </c>
      <c r="D659">
        <v>43</v>
      </c>
      <c r="E659" t="s">
        <v>26</v>
      </c>
      <c r="F659" t="s">
        <v>50</v>
      </c>
      <c r="G659" t="s">
        <v>33</v>
      </c>
      <c r="H659">
        <v>39000</v>
      </c>
      <c r="I659">
        <v>3</v>
      </c>
      <c r="J659">
        <v>3</v>
      </c>
      <c r="K659">
        <v>2</v>
      </c>
      <c r="L659" t="s">
        <v>21</v>
      </c>
      <c r="M659" t="s">
        <v>21</v>
      </c>
      <c r="N659" t="s">
        <v>22</v>
      </c>
      <c r="O659" t="s">
        <v>54</v>
      </c>
    </row>
    <row r="660" spans="1:15" x14ac:dyDescent="0.3">
      <c r="A660" t="s">
        <v>863</v>
      </c>
      <c r="B660" t="s">
        <v>154</v>
      </c>
      <c r="C660" t="s">
        <v>17</v>
      </c>
      <c r="D660">
        <v>55</v>
      </c>
      <c r="E660" t="s">
        <v>49</v>
      </c>
      <c r="F660" t="s">
        <v>27</v>
      </c>
      <c r="G660" t="s">
        <v>33</v>
      </c>
      <c r="H660">
        <v>46000</v>
      </c>
      <c r="I660">
        <v>2</v>
      </c>
      <c r="J660">
        <v>3</v>
      </c>
      <c r="K660">
        <v>1</v>
      </c>
      <c r="L660" t="s">
        <v>29</v>
      </c>
      <c r="M660" t="s">
        <v>29</v>
      </c>
      <c r="N660" t="s">
        <v>22</v>
      </c>
      <c r="O660" t="s">
        <v>38</v>
      </c>
    </row>
    <row r="661" spans="1:15" x14ac:dyDescent="0.3">
      <c r="A661" t="s">
        <v>864</v>
      </c>
      <c r="B661" t="s">
        <v>160</v>
      </c>
      <c r="C661" t="s">
        <v>37</v>
      </c>
      <c r="D661">
        <v>44</v>
      </c>
      <c r="E661" t="s">
        <v>57</v>
      </c>
      <c r="F661" t="s">
        <v>50</v>
      </c>
      <c r="G661" t="s">
        <v>28</v>
      </c>
      <c r="H661">
        <v>109000</v>
      </c>
      <c r="I661">
        <v>14</v>
      </c>
      <c r="J661">
        <v>5</v>
      </c>
      <c r="K661">
        <v>1</v>
      </c>
      <c r="L661" t="s">
        <v>21</v>
      </c>
      <c r="M661" t="s">
        <v>21</v>
      </c>
      <c r="N661" t="s">
        <v>22</v>
      </c>
      <c r="O661" t="s">
        <v>70</v>
      </c>
    </row>
    <row r="662" spans="1:15" x14ac:dyDescent="0.3">
      <c r="A662" t="s">
        <v>865</v>
      </c>
      <c r="B662" t="s">
        <v>77</v>
      </c>
      <c r="C662" t="s">
        <v>17</v>
      </c>
      <c r="D662">
        <v>30</v>
      </c>
      <c r="E662" t="s">
        <v>41</v>
      </c>
      <c r="F662" t="s">
        <v>42</v>
      </c>
      <c r="G662" t="s">
        <v>46</v>
      </c>
      <c r="H662">
        <v>97000</v>
      </c>
      <c r="I662">
        <v>3</v>
      </c>
      <c r="J662">
        <v>4</v>
      </c>
      <c r="K662">
        <v>5</v>
      </c>
      <c r="L662" t="s">
        <v>21</v>
      </c>
      <c r="M662" t="s">
        <v>29</v>
      </c>
      <c r="N662" t="s">
        <v>22</v>
      </c>
      <c r="O662" t="s">
        <v>43</v>
      </c>
    </row>
    <row r="663" spans="1:15" x14ac:dyDescent="0.3">
      <c r="A663" t="s">
        <v>866</v>
      </c>
      <c r="B663" t="s">
        <v>197</v>
      </c>
      <c r="C663" t="s">
        <v>17</v>
      </c>
      <c r="D663">
        <v>29</v>
      </c>
      <c r="E663" t="s">
        <v>57</v>
      </c>
      <c r="F663" t="s">
        <v>50</v>
      </c>
      <c r="G663" t="s">
        <v>20</v>
      </c>
      <c r="H663">
        <v>71000</v>
      </c>
      <c r="I663">
        <v>3</v>
      </c>
      <c r="J663">
        <v>5</v>
      </c>
      <c r="K663">
        <v>5</v>
      </c>
      <c r="L663" t="s">
        <v>21</v>
      </c>
      <c r="M663" t="s">
        <v>29</v>
      </c>
      <c r="N663" t="s">
        <v>22</v>
      </c>
      <c r="O663" t="s">
        <v>23</v>
      </c>
    </row>
    <row r="664" spans="1:15" x14ac:dyDescent="0.3">
      <c r="A664" t="s">
        <v>867</v>
      </c>
      <c r="B664" t="s">
        <v>151</v>
      </c>
      <c r="C664" t="s">
        <v>17</v>
      </c>
      <c r="D664">
        <v>28</v>
      </c>
      <c r="E664" t="s">
        <v>26</v>
      </c>
      <c r="F664" t="s">
        <v>50</v>
      </c>
      <c r="G664" t="s">
        <v>46</v>
      </c>
      <c r="H664">
        <v>25000</v>
      </c>
      <c r="I664">
        <v>4</v>
      </c>
      <c r="J664">
        <v>3</v>
      </c>
      <c r="K664">
        <v>3</v>
      </c>
      <c r="L664" t="s">
        <v>21</v>
      </c>
      <c r="M664" t="s">
        <v>21</v>
      </c>
      <c r="N664" t="s">
        <v>34</v>
      </c>
      <c r="O664" t="s">
        <v>54</v>
      </c>
    </row>
    <row r="665" spans="1:15" x14ac:dyDescent="0.3">
      <c r="A665" t="s">
        <v>868</v>
      </c>
      <c r="B665" t="s">
        <v>372</v>
      </c>
      <c r="C665" t="s">
        <v>37</v>
      </c>
      <c r="D665">
        <v>35</v>
      </c>
      <c r="E665" t="s">
        <v>26</v>
      </c>
      <c r="F665" t="s">
        <v>27</v>
      </c>
      <c r="G665" t="s">
        <v>33</v>
      </c>
      <c r="H665">
        <v>107000</v>
      </c>
      <c r="I665">
        <v>2</v>
      </c>
      <c r="J665">
        <v>2</v>
      </c>
      <c r="K665">
        <v>2</v>
      </c>
      <c r="L665" t="s">
        <v>29</v>
      </c>
      <c r="M665" t="s">
        <v>29</v>
      </c>
      <c r="N665" t="s">
        <v>34</v>
      </c>
      <c r="O665" t="s">
        <v>38</v>
      </c>
    </row>
    <row r="666" spans="1:15" x14ac:dyDescent="0.3">
      <c r="A666" t="s">
        <v>869</v>
      </c>
      <c r="B666" t="s">
        <v>446</v>
      </c>
      <c r="C666" t="s">
        <v>37</v>
      </c>
      <c r="D666">
        <v>53</v>
      </c>
      <c r="E666" t="s">
        <v>57</v>
      </c>
      <c r="F666" t="s">
        <v>27</v>
      </c>
      <c r="G666" t="s">
        <v>20</v>
      </c>
      <c r="H666">
        <v>37000</v>
      </c>
      <c r="I666">
        <v>20</v>
      </c>
      <c r="J666">
        <v>3</v>
      </c>
      <c r="K666">
        <v>2</v>
      </c>
      <c r="L666" t="s">
        <v>29</v>
      </c>
      <c r="M666" t="s">
        <v>21</v>
      </c>
      <c r="N666" t="s">
        <v>34</v>
      </c>
      <c r="O666" t="s">
        <v>43</v>
      </c>
    </row>
    <row r="667" spans="1:15" x14ac:dyDescent="0.3">
      <c r="A667" t="s">
        <v>870</v>
      </c>
      <c r="B667" t="s">
        <v>502</v>
      </c>
      <c r="C667" t="s">
        <v>37</v>
      </c>
      <c r="D667">
        <v>54</v>
      </c>
      <c r="E667" t="s">
        <v>57</v>
      </c>
      <c r="F667" t="s">
        <v>27</v>
      </c>
      <c r="G667" t="s">
        <v>46</v>
      </c>
      <c r="H667">
        <v>31000</v>
      </c>
      <c r="I667">
        <v>20</v>
      </c>
      <c r="J667">
        <v>5</v>
      </c>
      <c r="K667">
        <v>4</v>
      </c>
      <c r="L667" t="s">
        <v>21</v>
      </c>
      <c r="M667" t="s">
        <v>29</v>
      </c>
      <c r="N667" t="s">
        <v>34</v>
      </c>
      <c r="O667" t="s">
        <v>54</v>
      </c>
    </row>
    <row r="668" spans="1:15" x14ac:dyDescent="0.3">
      <c r="A668" t="s">
        <v>871</v>
      </c>
      <c r="B668" t="s">
        <v>125</v>
      </c>
      <c r="C668" t="s">
        <v>37</v>
      </c>
      <c r="D668">
        <v>50</v>
      </c>
      <c r="E668" t="s">
        <v>57</v>
      </c>
      <c r="F668" t="s">
        <v>50</v>
      </c>
      <c r="G668" t="s">
        <v>20</v>
      </c>
      <c r="H668">
        <v>98000</v>
      </c>
      <c r="I668">
        <v>18</v>
      </c>
      <c r="J668">
        <v>5</v>
      </c>
      <c r="K668">
        <v>4</v>
      </c>
      <c r="L668" t="s">
        <v>21</v>
      </c>
      <c r="M668" t="s">
        <v>21</v>
      </c>
      <c r="N668" t="s">
        <v>22</v>
      </c>
      <c r="O668" t="s">
        <v>75</v>
      </c>
    </row>
    <row r="669" spans="1:15" x14ac:dyDescent="0.3">
      <c r="A669" t="s">
        <v>872</v>
      </c>
      <c r="B669" t="s">
        <v>357</v>
      </c>
      <c r="C669" t="s">
        <v>37</v>
      </c>
      <c r="D669">
        <v>29</v>
      </c>
      <c r="E669" t="s">
        <v>49</v>
      </c>
      <c r="F669" t="s">
        <v>50</v>
      </c>
      <c r="G669" t="s">
        <v>46</v>
      </c>
      <c r="H669">
        <v>91000</v>
      </c>
      <c r="I669">
        <v>8</v>
      </c>
      <c r="J669">
        <v>3</v>
      </c>
      <c r="K669">
        <v>5</v>
      </c>
      <c r="L669" t="s">
        <v>29</v>
      </c>
      <c r="M669" t="s">
        <v>29</v>
      </c>
      <c r="N669" t="s">
        <v>22</v>
      </c>
      <c r="O669" t="s">
        <v>75</v>
      </c>
    </row>
    <row r="670" spans="1:15" x14ac:dyDescent="0.3">
      <c r="A670" t="s">
        <v>873</v>
      </c>
      <c r="B670" t="s">
        <v>147</v>
      </c>
      <c r="C670" t="s">
        <v>37</v>
      </c>
      <c r="D670">
        <v>53</v>
      </c>
      <c r="E670" t="s">
        <v>57</v>
      </c>
      <c r="F670" t="s">
        <v>27</v>
      </c>
      <c r="G670" t="s">
        <v>20</v>
      </c>
      <c r="H670">
        <v>57000</v>
      </c>
      <c r="I670">
        <v>4</v>
      </c>
      <c r="J670">
        <v>4</v>
      </c>
      <c r="K670">
        <v>1</v>
      </c>
      <c r="L670" t="s">
        <v>29</v>
      </c>
      <c r="M670" t="s">
        <v>29</v>
      </c>
      <c r="N670" t="s">
        <v>22</v>
      </c>
      <c r="O670" t="s">
        <v>54</v>
      </c>
    </row>
    <row r="671" spans="1:15" x14ac:dyDescent="0.3">
      <c r="A671" t="s">
        <v>874</v>
      </c>
      <c r="B671" t="s">
        <v>360</v>
      </c>
      <c r="C671" t="s">
        <v>37</v>
      </c>
      <c r="D671">
        <v>52</v>
      </c>
      <c r="E671" t="s">
        <v>18</v>
      </c>
      <c r="F671" t="s">
        <v>19</v>
      </c>
      <c r="G671" t="s">
        <v>20</v>
      </c>
      <c r="H671">
        <v>60000</v>
      </c>
      <c r="I671">
        <v>19</v>
      </c>
      <c r="J671">
        <v>3</v>
      </c>
      <c r="K671">
        <v>2</v>
      </c>
      <c r="L671" t="s">
        <v>21</v>
      </c>
      <c r="M671" t="s">
        <v>29</v>
      </c>
      <c r="N671" t="s">
        <v>22</v>
      </c>
      <c r="O671" t="s">
        <v>51</v>
      </c>
    </row>
    <row r="672" spans="1:15" x14ac:dyDescent="0.3">
      <c r="A672" t="s">
        <v>875</v>
      </c>
      <c r="B672" t="s">
        <v>244</v>
      </c>
      <c r="C672" t="s">
        <v>17</v>
      </c>
      <c r="D672">
        <v>47</v>
      </c>
      <c r="E672" t="s">
        <v>18</v>
      </c>
      <c r="F672" t="s">
        <v>126</v>
      </c>
      <c r="G672" t="s">
        <v>20</v>
      </c>
      <c r="H672">
        <v>119000</v>
      </c>
      <c r="I672">
        <v>3</v>
      </c>
      <c r="J672">
        <v>4</v>
      </c>
      <c r="K672">
        <v>2</v>
      </c>
      <c r="L672" t="s">
        <v>21</v>
      </c>
      <c r="M672" t="s">
        <v>21</v>
      </c>
      <c r="N672" t="s">
        <v>22</v>
      </c>
      <c r="O672" t="s">
        <v>30</v>
      </c>
    </row>
    <row r="673" spans="1:15" x14ac:dyDescent="0.3">
      <c r="A673" t="s">
        <v>876</v>
      </c>
      <c r="B673" t="s">
        <v>48</v>
      </c>
      <c r="C673" t="s">
        <v>37</v>
      </c>
      <c r="D673">
        <v>43</v>
      </c>
      <c r="E673" t="s">
        <v>57</v>
      </c>
      <c r="F673" t="s">
        <v>27</v>
      </c>
      <c r="G673" t="s">
        <v>28</v>
      </c>
      <c r="H673">
        <v>91000</v>
      </c>
      <c r="I673">
        <v>9</v>
      </c>
      <c r="J673">
        <v>2</v>
      </c>
      <c r="K673">
        <v>2</v>
      </c>
      <c r="L673" t="s">
        <v>21</v>
      </c>
      <c r="M673" t="s">
        <v>21</v>
      </c>
      <c r="N673" t="s">
        <v>22</v>
      </c>
      <c r="O673" t="s">
        <v>75</v>
      </c>
    </row>
    <row r="674" spans="1:15" x14ac:dyDescent="0.3">
      <c r="A674" t="s">
        <v>877</v>
      </c>
      <c r="B674" t="s">
        <v>132</v>
      </c>
      <c r="C674" t="s">
        <v>37</v>
      </c>
      <c r="D674">
        <v>48</v>
      </c>
      <c r="E674" t="s">
        <v>57</v>
      </c>
      <c r="F674" t="s">
        <v>27</v>
      </c>
      <c r="G674" t="s">
        <v>33</v>
      </c>
      <c r="H674">
        <v>59000</v>
      </c>
      <c r="I674">
        <v>5</v>
      </c>
      <c r="J674">
        <v>5</v>
      </c>
      <c r="K674">
        <v>4</v>
      </c>
      <c r="L674" t="s">
        <v>29</v>
      </c>
      <c r="M674" t="s">
        <v>29</v>
      </c>
      <c r="N674" t="s">
        <v>34</v>
      </c>
      <c r="O674" t="s">
        <v>51</v>
      </c>
    </row>
    <row r="675" spans="1:15" x14ac:dyDescent="0.3">
      <c r="A675" t="s">
        <v>878</v>
      </c>
      <c r="B675" t="s">
        <v>233</v>
      </c>
      <c r="C675" t="s">
        <v>37</v>
      </c>
      <c r="D675">
        <v>29</v>
      </c>
      <c r="E675" t="s">
        <v>49</v>
      </c>
      <c r="F675" t="s">
        <v>27</v>
      </c>
      <c r="G675" t="s">
        <v>46</v>
      </c>
      <c r="H675">
        <v>52000</v>
      </c>
      <c r="I675">
        <v>8</v>
      </c>
      <c r="J675">
        <v>2</v>
      </c>
      <c r="K675">
        <v>4</v>
      </c>
      <c r="L675" t="s">
        <v>29</v>
      </c>
      <c r="M675" t="s">
        <v>29</v>
      </c>
      <c r="N675" t="s">
        <v>34</v>
      </c>
      <c r="O675" t="s">
        <v>54</v>
      </c>
    </row>
    <row r="676" spans="1:15" x14ac:dyDescent="0.3">
      <c r="A676" t="s">
        <v>879</v>
      </c>
      <c r="B676" t="s">
        <v>166</v>
      </c>
      <c r="C676" t="s">
        <v>17</v>
      </c>
      <c r="D676">
        <v>22</v>
      </c>
      <c r="E676" t="s">
        <v>66</v>
      </c>
      <c r="F676" t="s">
        <v>82</v>
      </c>
      <c r="G676" t="s">
        <v>33</v>
      </c>
      <c r="H676">
        <v>113000</v>
      </c>
      <c r="I676">
        <v>1</v>
      </c>
      <c r="J676">
        <v>2</v>
      </c>
      <c r="K676">
        <v>1</v>
      </c>
      <c r="L676" t="s">
        <v>29</v>
      </c>
      <c r="M676" t="s">
        <v>29</v>
      </c>
      <c r="N676" t="s">
        <v>22</v>
      </c>
      <c r="O676" t="s">
        <v>75</v>
      </c>
    </row>
    <row r="677" spans="1:15" x14ac:dyDescent="0.3">
      <c r="A677" t="s">
        <v>880</v>
      </c>
      <c r="B677" t="s">
        <v>191</v>
      </c>
      <c r="C677" t="s">
        <v>17</v>
      </c>
      <c r="D677">
        <v>29</v>
      </c>
      <c r="E677" t="s">
        <v>26</v>
      </c>
      <c r="F677" t="s">
        <v>50</v>
      </c>
      <c r="G677" t="s">
        <v>28</v>
      </c>
      <c r="H677">
        <v>31000</v>
      </c>
      <c r="I677">
        <v>8</v>
      </c>
      <c r="J677">
        <v>2</v>
      </c>
      <c r="K677">
        <v>4</v>
      </c>
      <c r="L677" t="s">
        <v>21</v>
      </c>
      <c r="M677" t="s">
        <v>29</v>
      </c>
      <c r="N677" t="s">
        <v>22</v>
      </c>
      <c r="O677" t="s">
        <v>38</v>
      </c>
    </row>
    <row r="678" spans="1:15" x14ac:dyDescent="0.3">
      <c r="A678" t="s">
        <v>881</v>
      </c>
      <c r="B678" t="s">
        <v>706</v>
      </c>
      <c r="C678" t="s">
        <v>17</v>
      </c>
      <c r="D678">
        <v>34</v>
      </c>
      <c r="E678" t="s">
        <v>41</v>
      </c>
      <c r="F678" t="s">
        <v>73</v>
      </c>
      <c r="G678" t="s">
        <v>20</v>
      </c>
      <c r="H678">
        <v>104000</v>
      </c>
      <c r="I678">
        <v>10</v>
      </c>
      <c r="J678">
        <v>2</v>
      </c>
      <c r="K678">
        <v>4</v>
      </c>
      <c r="L678" t="s">
        <v>29</v>
      </c>
      <c r="M678" t="s">
        <v>29</v>
      </c>
      <c r="N678" t="s">
        <v>22</v>
      </c>
      <c r="O678" t="s">
        <v>51</v>
      </c>
    </row>
    <row r="679" spans="1:15" x14ac:dyDescent="0.3">
      <c r="A679" t="s">
        <v>882</v>
      </c>
      <c r="B679" t="s">
        <v>249</v>
      </c>
      <c r="C679" t="s">
        <v>37</v>
      </c>
      <c r="D679">
        <v>51</v>
      </c>
      <c r="E679" t="s">
        <v>26</v>
      </c>
      <c r="F679" t="s">
        <v>27</v>
      </c>
      <c r="G679" t="s">
        <v>33</v>
      </c>
      <c r="H679">
        <v>27000</v>
      </c>
      <c r="I679">
        <v>3</v>
      </c>
      <c r="J679">
        <v>2</v>
      </c>
      <c r="K679">
        <v>1</v>
      </c>
      <c r="L679" t="s">
        <v>21</v>
      </c>
      <c r="M679" t="s">
        <v>29</v>
      </c>
      <c r="N679" t="s">
        <v>22</v>
      </c>
      <c r="O679" t="s">
        <v>75</v>
      </c>
    </row>
    <row r="680" spans="1:15" x14ac:dyDescent="0.3">
      <c r="A680" t="s">
        <v>883</v>
      </c>
      <c r="B680" t="s">
        <v>552</v>
      </c>
      <c r="C680" t="s">
        <v>17</v>
      </c>
      <c r="D680">
        <v>35</v>
      </c>
      <c r="E680" t="s">
        <v>41</v>
      </c>
      <c r="F680" t="s">
        <v>42</v>
      </c>
      <c r="G680" t="s">
        <v>33</v>
      </c>
      <c r="H680">
        <v>40000</v>
      </c>
      <c r="I680">
        <v>10</v>
      </c>
      <c r="J680">
        <v>5</v>
      </c>
      <c r="K680">
        <v>3</v>
      </c>
      <c r="L680" t="s">
        <v>29</v>
      </c>
      <c r="M680" t="s">
        <v>29</v>
      </c>
      <c r="N680" t="s">
        <v>34</v>
      </c>
      <c r="O680" t="s">
        <v>51</v>
      </c>
    </row>
    <row r="681" spans="1:15" x14ac:dyDescent="0.3">
      <c r="A681" t="s">
        <v>884</v>
      </c>
      <c r="B681" t="s">
        <v>476</v>
      </c>
      <c r="C681" t="s">
        <v>17</v>
      </c>
      <c r="D681">
        <v>40</v>
      </c>
      <c r="E681" t="s">
        <v>49</v>
      </c>
      <c r="F681" t="s">
        <v>50</v>
      </c>
      <c r="G681" t="s">
        <v>28</v>
      </c>
      <c r="H681">
        <v>115000</v>
      </c>
      <c r="I681">
        <v>16</v>
      </c>
      <c r="J681">
        <v>4</v>
      </c>
      <c r="K681">
        <v>1</v>
      </c>
      <c r="L681" t="s">
        <v>21</v>
      </c>
      <c r="M681" t="s">
        <v>29</v>
      </c>
      <c r="N681" t="s">
        <v>34</v>
      </c>
      <c r="O681" t="s">
        <v>30</v>
      </c>
    </row>
    <row r="682" spans="1:15" x14ac:dyDescent="0.3">
      <c r="A682" t="s">
        <v>885</v>
      </c>
      <c r="B682" t="s">
        <v>197</v>
      </c>
      <c r="C682" t="s">
        <v>37</v>
      </c>
      <c r="D682">
        <v>43</v>
      </c>
      <c r="E682" t="s">
        <v>26</v>
      </c>
      <c r="F682" t="s">
        <v>27</v>
      </c>
      <c r="G682" t="s">
        <v>33</v>
      </c>
      <c r="H682">
        <v>105000</v>
      </c>
      <c r="I682">
        <v>6</v>
      </c>
      <c r="J682">
        <v>3</v>
      </c>
      <c r="K682">
        <v>4</v>
      </c>
      <c r="L682" t="s">
        <v>21</v>
      </c>
      <c r="M682" t="s">
        <v>21</v>
      </c>
      <c r="N682" t="s">
        <v>34</v>
      </c>
      <c r="O682" t="s">
        <v>54</v>
      </c>
    </row>
    <row r="683" spans="1:15" x14ac:dyDescent="0.3">
      <c r="A683" t="s">
        <v>886</v>
      </c>
      <c r="B683" t="s">
        <v>100</v>
      </c>
      <c r="C683" t="s">
        <v>17</v>
      </c>
      <c r="D683">
        <v>43</v>
      </c>
      <c r="E683" t="s">
        <v>26</v>
      </c>
      <c r="F683" t="s">
        <v>27</v>
      </c>
      <c r="G683" t="s">
        <v>20</v>
      </c>
      <c r="H683">
        <v>26000</v>
      </c>
      <c r="I683">
        <v>12</v>
      </c>
      <c r="J683">
        <v>4</v>
      </c>
      <c r="K683">
        <v>4</v>
      </c>
      <c r="L683" t="s">
        <v>21</v>
      </c>
      <c r="M683" t="s">
        <v>29</v>
      </c>
      <c r="N683" t="s">
        <v>22</v>
      </c>
      <c r="O683" t="s">
        <v>75</v>
      </c>
    </row>
    <row r="684" spans="1:15" x14ac:dyDescent="0.3">
      <c r="A684" t="s">
        <v>887</v>
      </c>
      <c r="B684" t="s">
        <v>32</v>
      </c>
      <c r="C684" t="s">
        <v>17</v>
      </c>
      <c r="D684">
        <v>33</v>
      </c>
      <c r="E684" t="s">
        <v>57</v>
      </c>
      <c r="F684" t="s">
        <v>50</v>
      </c>
      <c r="G684" t="s">
        <v>33</v>
      </c>
      <c r="H684">
        <v>26000</v>
      </c>
      <c r="I684">
        <v>12</v>
      </c>
      <c r="J684">
        <v>2</v>
      </c>
      <c r="K684">
        <v>2</v>
      </c>
      <c r="L684" t="s">
        <v>29</v>
      </c>
      <c r="M684" t="s">
        <v>29</v>
      </c>
      <c r="N684" t="s">
        <v>22</v>
      </c>
      <c r="O684" t="s">
        <v>43</v>
      </c>
    </row>
    <row r="685" spans="1:15" x14ac:dyDescent="0.3">
      <c r="A685" t="s">
        <v>888</v>
      </c>
      <c r="B685" t="s">
        <v>360</v>
      </c>
      <c r="C685" t="s">
        <v>17</v>
      </c>
      <c r="D685">
        <v>38</v>
      </c>
      <c r="E685" t="s">
        <v>57</v>
      </c>
      <c r="F685" t="s">
        <v>50</v>
      </c>
      <c r="G685" t="s">
        <v>46</v>
      </c>
      <c r="H685">
        <v>73000</v>
      </c>
      <c r="I685">
        <v>5</v>
      </c>
      <c r="J685">
        <v>5</v>
      </c>
      <c r="K685">
        <v>1</v>
      </c>
      <c r="L685" t="s">
        <v>21</v>
      </c>
      <c r="M685" t="s">
        <v>21</v>
      </c>
      <c r="N685" t="s">
        <v>22</v>
      </c>
      <c r="O685" t="s">
        <v>30</v>
      </c>
    </row>
    <row r="686" spans="1:15" x14ac:dyDescent="0.3">
      <c r="A686" t="s">
        <v>889</v>
      </c>
      <c r="B686" t="s">
        <v>96</v>
      </c>
      <c r="C686" t="s">
        <v>17</v>
      </c>
      <c r="D686">
        <v>35</v>
      </c>
      <c r="E686" t="s">
        <v>66</v>
      </c>
      <c r="F686" t="s">
        <v>67</v>
      </c>
      <c r="G686" t="s">
        <v>28</v>
      </c>
      <c r="H686">
        <v>30000</v>
      </c>
      <c r="I686">
        <v>2</v>
      </c>
      <c r="J686">
        <v>4</v>
      </c>
      <c r="K686">
        <v>2</v>
      </c>
      <c r="L686" t="s">
        <v>21</v>
      </c>
      <c r="M686" t="s">
        <v>29</v>
      </c>
      <c r="N686" t="s">
        <v>34</v>
      </c>
      <c r="O686" t="s">
        <v>23</v>
      </c>
    </row>
    <row r="687" spans="1:15" x14ac:dyDescent="0.3">
      <c r="A687" t="s">
        <v>890</v>
      </c>
      <c r="B687" t="s">
        <v>207</v>
      </c>
      <c r="C687" t="s">
        <v>17</v>
      </c>
      <c r="D687">
        <v>28</v>
      </c>
      <c r="E687" t="s">
        <v>41</v>
      </c>
      <c r="F687" t="s">
        <v>73</v>
      </c>
      <c r="G687" t="s">
        <v>28</v>
      </c>
      <c r="H687">
        <v>53000</v>
      </c>
      <c r="I687">
        <v>7</v>
      </c>
      <c r="J687">
        <v>2</v>
      </c>
      <c r="K687">
        <v>3</v>
      </c>
      <c r="L687" t="s">
        <v>21</v>
      </c>
      <c r="M687" t="s">
        <v>29</v>
      </c>
      <c r="N687" t="s">
        <v>22</v>
      </c>
      <c r="O687" t="s">
        <v>43</v>
      </c>
    </row>
    <row r="688" spans="1:15" x14ac:dyDescent="0.3">
      <c r="A688" t="s">
        <v>891</v>
      </c>
      <c r="B688" t="s">
        <v>384</v>
      </c>
      <c r="C688" t="s">
        <v>37</v>
      </c>
      <c r="D688">
        <v>28</v>
      </c>
      <c r="E688" t="s">
        <v>57</v>
      </c>
      <c r="F688" t="s">
        <v>27</v>
      </c>
      <c r="G688" t="s">
        <v>33</v>
      </c>
      <c r="H688">
        <v>75000</v>
      </c>
      <c r="I688">
        <v>7</v>
      </c>
      <c r="J688">
        <v>4</v>
      </c>
      <c r="K688">
        <v>3</v>
      </c>
      <c r="L688" t="s">
        <v>29</v>
      </c>
      <c r="M688" t="s">
        <v>29</v>
      </c>
      <c r="N688" t="s">
        <v>34</v>
      </c>
      <c r="O688" t="s">
        <v>75</v>
      </c>
    </row>
    <row r="689" spans="1:15" x14ac:dyDescent="0.3">
      <c r="A689" t="s">
        <v>892</v>
      </c>
      <c r="B689" t="s">
        <v>366</v>
      </c>
      <c r="C689" t="s">
        <v>37</v>
      </c>
      <c r="D689">
        <v>22</v>
      </c>
      <c r="E689" t="s">
        <v>18</v>
      </c>
      <c r="F689" t="s">
        <v>126</v>
      </c>
      <c r="G689" t="s">
        <v>33</v>
      </c>
      <c r="H689">
        <v>85000</v>
      </c>
      <c r="I689">
        <v>1</v>
      </c>
      <c r="J689">
        <v>2</v>
      </c>
      <c r="K689">
        <v>4</v>
      </c>
      <c r="L689" t="s">
        <v>29</v>
      </c>
      <c r="M689" t="s">
        <v>29</v>
      </c>
      <c r="N689" t="s">
        <v>22</v>
      </c>
      <c r="O689" t="s">
        <v>43</v>
      </c>
    </row>
    <row r="690" spans="1:15" x14ac:dyDescent="0.3">
      <c r="A690" t="s">
        <v>893</v>
      </c>
      <c r="B690" t="s">
        <v>320</v>
      </c>
      <c r="C690" t="s">
        <v>17</v>
      </c>
      <c r="D690">
        <v>51</v>
      </c>
      <c r="E690" t="s">
        <v>66</v>
      </c>
      <c r="F690" t="s">
        <v>82</v>
      </c>
      <c r="G690" t="s">
        <v>20</v>
      </c>
      <c r="H690">
        <v>108000</v>
      </c>
      <c r="I690">
        <v>4</v>
      </c>
      <c r="J690">
        <v>3</v>
      </c>
      <c r="K690">
        <v>2</v>
      </c>
      <c r="L690" t="s">
        <v>29</v>
      </c>
      <c r="M690" t="s">
        <v>29</v>
      </c>
      <c r="N690" t="s">
        <v>22</v>
      </c>
      <c r="O690" t="s">
        <v>23</v>
      </c>
    </row>
    <row r="691" spans="1:15" x14ac:dyDescent="0.3">
      <c r="A691" t="s">
        <v>894</v>
      </c>
      <c r="B691" t="s">
        <v>154</v>
      </c>
      <c r="C691" t="s">
        <v>37</v>
      </c>
      <c r="D691">
        <v>42</v>
      </c>
      <c r="E691" t="s">
        <v>41</v>
      </c>
      <c r="F691" t="s">
        <v>73</v>
      </c>
      <c r="G691" t="s">
        <v>28</v>
      </c>
      <c r="H691">
        <v>34000</v>
      </c>
      <c r="I691">
        <v>3</v>
      </c>
      <c r="J691">
        <v>4</v>
      </c>
      <c r="K691">
        <v>3</v>
      </c>
      <c r="L691" t="s">
        <v>21</v>
      </c>
      <c r="M691" t="s">
        <v>29</v>
      </c>
      <c r="N691" t="s">
        <v>22</v>
      </c>
      <c r="O691" t="s">
        <v>38</v>
      </c>
    </row>
    <row r="692" spans="1:15" x14ac:dyDescent="0.3">
      <c r="A692" t="s">
        <v>895</v>
      </c>
      <c r="B692" t="s">
        <v>633</v>
      </c>
      <c r="C692" t="s">
        <v>17</v>
      </c>
      <c r="D692">
        <v>45</v>
      </c>
      <c r="E692" t="s">
        <v>57</v>
      </c>
      <c r="F692" t="s">
        <v>27</v>
      </c>
      <c r="G692" t="s">
        <v>33</v>
      </c>
      <c r="H692">
        <v>85000</v>
      </c>
      <c r="I692">
        <v>5</v>
      </c>
      <c r="J692">
        <v>5</v>
      </c>
      <c r="K692">
        <v>2</v>
      </c>
      <c r="L692" t="s">
        <v>21</v>
      </c>
      <c r="M692" t="s">
        <v>21</v>
      </c>
      <c r="N692" t="s">
        <v>34</v>
      </c>
      <c r="O692" t="s">
        <v>51</v>
      </c>
    </row>
    <row r="693" spans="1:15" x14ac:dyDescent="0.3">
      <c r="A693" t="s">
        <v>896</v>
      </c>
      <c r="B693" t="s">
        <v>86</v>
      </c>
      <c r="C693" t="s">
        <v>17</v>
      </c>
      <c r="D693">
        <v>37</v>
      </c>
      <c r="E693" t="s">
        <v>26</v>
      </c>
      <c r="F693" t="s">
        <v>50</v>
      </c>
      <c r="G693" t="s">
        <v>20</v>
      </c>
      <c r="H693">
        <v>113000</v>
      </c>
      <c r="I693">
        <v>5</v>
      </c>
      <c r="J693">
        <v>2</v>
      </c>
      <c r="K693">
        <v>3</v>
      </c>
      <c r="L693" t="s">
        <v>21</v>
      </c>
      <c r="M693" t="s">
        <v>29</v>
      </c>
      <c r="N693" t="s">
        <v>34</v>
      </c>
      <c r="O693" t="s">
        <v>54</v>
      </c>
    </row>
    <row r="694" spans="1:15" x14ac:dyDescent="0.3">
      <c r="A694" t="s">
        <v>897</v>
      </c>
      <c r="B694" t="s">
        <v>362</v>
      </c>
      <c r="C694" t="s">
        <v>37</v>
      </c>
      <c r="D694">
        <v>45</v>
      </c>
      <c r="E694" t="s">
        <v>18</v>
      </c>
      <c r="F694" t="s">
        <v>126</v>
      </c>
      <c r="G694" t="s">
        <v>28</v>
      </c>
      <c r="H694">
        <v>42000</v>
      </c>
      <c r="I694">
        <v>10</v>
      </c>
      <c r="J694">
        <v>2</v>
      </c>
      <c r="K694">
        <v>1</v>
      </c>
      <c r="L694" t="s">
        <v>29</v>
      </c>
      <c r="M694" t="s">
        <v>29</v>
      </c>
      <c r="N694" t="s">
        <v>34</v>
      </c>
      <c r="O694" t="s">
        <v>30</v>
      </c>
    </row>
    <row r="695" spans="1:15" x14ac:dyDescent="0.3">
      <c r="A695" t="s">
        <v>898</v>
      </c>
      <c r="B695" t="s">
        <v>529</v>
      </c>
      <c r="C695" t="s">
        <v>37</v>
      </c>
      <c r="D695">
        <v>45</v>
      </c>
      <c r="E695" t="s">
        <v>41</v>
      </c>
      <c r="F695" t="s">
        <v>73</v>
      </c>
      <c r="G695" t="s">
        <v>33</v>
      </c>
      <c r="H695">
        <v>35000</v>
      </c>
      <c r="I695">
        <v>4</v>
      </c>
      <c r="J695">
        <v>3</v>
      </c>
      <c r="K695">
        <v>5</v>
      </c>
      <c r="L695" t="s">
        <v>29</v>
      </c>
      <c r="M695" t="s">
        <v>29</v>
      </c>
      <c r="N695" t="s">
        <v>34</v>
      </c>
      <c r="O695" t="s">
        <v>51</v>
      </c>
    </row>
    <row r="696" spans="1:15" x14ac:dyDescent="0.3">
      <c r="A696" t="s">
        <v>899</v>
      </c>
      <c r="B696" t="s">
        <v>134</v>
      </c>
      <c r="C696" t="s">
        <v>37</v>
      </c>
      <c r="D696">
        <v>46</v>
      </c>
      <c r="E696" t="s">
        <v>57</v>
      </c>
      <c r="F696" t="s">
        <v>50</v>
      </c>
      <c r="G696" t="s">
        <v>46</v>
      </c>
      <c r="H696">
        <v>87000</v>
      </c>
      <c r="I696">
        <v>20</v>
      </c>
      <c r="J696">
        <v>3</v>
      </c>
      <c r="K696">
        <v>3</v>
      </c>
      <c r="L696" t="s">
        <v>21</v>
      </c>
      <c r="M696" t="s">
        <v>29</v>
      </c>
      <c r="N696" t="s">
        <v>22</v>
      </c>
      <c r="O696" t="s">
        <v>30</v>
      </c>
    </row>
    <row r="697" spans="1:15" x14ac:dyDescent="0.3">
      <c r="A697" t="s">
        <v>900</v>
      </c>
      <c r="B697" t="s">
        <v>253</v>
      </c>
      <c r="C697" t="s">
        <v>17</v>
      </c>
      <c r="D697">
        <v>34</v>
      </c>
      <c r="E697" t="s">
        <v>49</v>
      </c>
      <c r="F697" t="s">
        <v>27</v>
      </c>
      <c r="G697" t="s">
        <v>20</v>
      </c>
      <c r="H697">
        <v>109000</v>
      </c>
      <c r="I697">
        <v>13</v>
      </c>
      <c r="J697">
        <v>2</v>
      </c>
      <c r="K697">
        <v>1</v>
      </c>
      <c r="L697" t="s">
        <v>21</v>
      </c>
      <c r="M697" t="s">
        <v>21</v>
      </c>
      <c r="N697" t="s">
        <v>34</v>
      </c>
      <c r="O697" t="s">
        <v>54</v>
      </c>
    </row>
    <row r="698" spans="1:15" x14ac:dyDescent="0.3">
      <c r="A698" t="s">
        <v>901</v>
      </c>
      <c r="B698" t="s">
        <v>59</v>
      </c>
      <c r="C698" t="s">
        <v>37</v>
      </c>
      <c r="D698">
        <v>43</v>
      </c>
      <c r="E698" t="s">
        <v>26</v>
      </c>
      <c r="F698" t="s">
        <v>50</v>
      </c>
      <c r="G698" t="s">
        <v>28</v>
      </c>
      <c r="H698">
        <v>112000</v>
      </c>
      <c r="I698">
        <v>9</v>
      </c>
      <c r="J698">
        <v>3</v>
      </c>
      <c r="K698">
        <v>2</v>
      </c>
      <c r="L698" t="s">
        <v>21</v>
      </c>
      <c r="M698" t="s">
        <v>21</v>
      </c>
      <c r="N698" t="s">
        <v>34</v>
      </c>
      <c r="O698" t="s">
        <v>75</v>
      </c>
    </row>
    <row r="699" spans="1:15" x14ac:dyDescent="0.3">
      <c r="A699" t="s">
        <v>902</v>
      </c>
      <c r="B699" t="s">
        <v>267</v>
      </c>
      <c r="C699" t="s">
        <v>37</v>
      </c>
      <c r="D699">
        <v>52</v>
      </c>
      <c r="E699" t="s">
        <v>66</v>
      </c>
      <c r="F699" t="s">
        <v>67</v>
      </c>
      <c r="G699" t="s">
        <v>46</v>
      </c>
      <c r="H699">
        <v>28000</v>
      </c>
      <c r="I699">
        <v>2</v>
      </c>
      <c r="J699">
        <v>5</v>
      </c>
      <c r="K699">
        <v>1</v>
      </c>
      <c r="L699" t="s">
        <v>29</v>
      </c>
      <c r="M699" t="s">
        <v>29</v>
      </c>
      <c r="N699" t="s">
        <v>34</v>
      </c>
      <c r="O699" t="s">
        <v>51</v>
      </c>
    </row>
    <row r="700" spans="1:15" x14ac:dyDescent="0.3">
      <c r="A700" t="s">
        <v>903</v>
      </c>
      <c r="B700" t="s">
        <v>96</v>
      </c>
      <c r="C700" t="s">
        <v>17</v>
      </c>
      <c r="D700">
        <v>55</v>
      </c>
      <c r="E700" t="s">
        <v>26</v>
      </c>
      <c r="F700" t="s">
        <v>50</v>
      </c>
      <c r="G700" t="s">
        <v>28</v>
      </c>
      <c r="H700">
        <v>60000</v>
      </c>
      <c r="I700">
        <v>3</v>
      </c>
      <c r="J700">
        <v>3</v>
      </c>
      <c r="K700">
        <v>5</v>
      </c>
      <c r="L700" t="s">
        <v>21</v>
      </c>
      <c r="M700" t="s">
        <v>29</v>
      </c>
      <c r="N700" t="s">
        <v>22</v>
      </c>
      <c r="O700" t="s">
        <v>54</v>
      </c>
    </row>
    <row r="701" spans="1:15" x14ac:dyDescent="0.3">
      <c r="A701" t="s">
        <v>904</v>
      </c>
      <c r="B701" t="s">
        <v>242</v>
      </c>
      <c r="C701" t="s">
        <v>37</v>
      </c>
      <c r="D701">
        <v>34</v>
      </c>
      <c r="E701" t="s">
        <v>26</v>
      </c>
      <c r="F701" t="s">
        <v>50</v>
      </c>
      <c r="G701" t="s">
        <v>46</v>
      </c>
      <c r="H701">
        <v>95000</v>
      </c>
      <c r="I701">
        <v>12</v>
      </c>
      <c r="J701">
        <v>5</v>
      </c>
      <c r="K701">
        <v>4</v>
      </c>
      <c r="L701" t="s">
        <v>21</v>
      </c>
      <c r="M701" t="s">
        <v>29</v>
      </c>
      <c r="N701" t="s">
        <v>34</v>
      </c>
      <c r="O701" t="s">
        <v>43</v>
      </c>
    </row>
    <row r="702" spans="1:15" x14ac:dyDescent="0.3">
      <c r="A702" t="s">
        <v>905</v>
      </c>
      <c r="B702" t="s">
        <v>263</v>
      </c>
      <c r="C702" t="s">
        <v>17</v>
      </c>
      <c r="D702">
        <v>22</v>
      </c>
      <c r="E702" t="s">
        <v>18</v>
      </c>
      <c r="F702" t="s">
        <v>19</v>
      </c>
      <c r="G702" t="s">
        <v>20</v>
      </c>
      <c r="H702">
        <v>38000</v>
      </c>
      <c r="I702">
        <v>1</v>
      </c>
      <c r="J702">
        <v>2</v>
      </c>
      <c r="K702">
        <v>4</v>
      </c>
      <c r="L702" t="s">
        <v>29</v>
      </c>
      <c r="M702" t="s">
        <v>29</v>
      </c>
      <c r="N702" t="s">
        <v>22</v>
      </c>
      <c r="O702" t="s">
        <v>54</v>
      </c>
    </row>
    <row r="703" spans="1:15" x14ac:dyDescent="0.3">
      <c r="A703" t="s">
        <v>906</v>
      </c>
      <c r="B703" t="s">
        <v>79</v>
      </c>
      <c r="C703" t="s">
        <v>17</v>
      </c>
      <c r="D703">
        <v>24</v>
      </c>
      <c r="E703" t="s">
        <v>41</v>
      </c>
      <c r="F703" t="s">
        <v>42</v>
      </c>
      <c r="G703" t="s">
        <v>46</v>
      </c>
      <c r="H703">
        <v>86000</v>
      </c>
      <c r="I703">
        <v>3</v>
      </c>
      <c r="J703">
        <v>2</v>
      </c>
      <c r="K703">
        <v>2</v>
      </c>
      <c r="L703" t="s">
        <v>21</v>
      </c>
      <c r="M703" t="s">
        <v>29</v>
      </c>
      <c r="N703" t="s">
        <v>22</v>
      </c>
      <c r="O703" t="s">
        <v>38</v>
      </c>
    </row>
    <row r="704" spans="1:15" x14ac:dyDescent="0.3">
      <c r="A704" t="s">
        <v>907</v>
      </c>
      <c r="B704" t="s">
        <v>642</v>
      </c>
      <c r="C704" t="s">
        <v>37</v>
      </c>
      <c r="D704">
        <v>28</v>
      </c>
      <c r="E704" t="s">
        <v>57</v>
      </c>
      <c r="F704" t="s">
        <v>50</v>
      </c>
      <c r="G704" t="s">
        <v>33</v>
      </c>
      <c r="H704">
        <v>111000</v>
      </c>
      <c r="I704">
        <v>7</v>
      </c>
      <c r="J704">
        <v>4</v>
      </c>
      <c r="K704">
        <v>4</v>
      </c>
      <c r="L704" t="s">
        <v>29</v>
      </c>
      <c r="M704" t="s">
        <v>29</v>
      </c>
      <c r="N704" t="s">
        <v>34</v>
      </c>
      <c r="O704" t="s">
        <v>54</v>
      </c>
    </row>
    <row r="705" spans="1:15" x14ac:dyDescent="0.3">
      <c r="A705" t="s">
        <v>908</v>
      </c>
      <c r="B705" t="s">
        <v>263</v>
      </c>
      <c r="C705" t="s">
        <v>17</v>
      </c>
      <c r="D705">
        <v>34</v>
      </c>
      <c r="E705" t="s">
        <v>49</v>
      </c>
      <c r="F705" t="s">
        <v>27</v>
      </c>
      <c r="G705" t="s">
        <v>33</v>
      </c>
      <c r="H705">
        <v>42000</v>
      </c>
      <c r="I705">
        <v>13</v>
      </c>
      <c r="J705">
        <v>2</v>
      </c>
      <c r="K705">
        <v>5</v>
      </c>
      <c r="L705" t="s">
        <v>29</v>
      </c>
      <c r="M705" t="s">
        <v>29</v>
      </c>
      <c r="N705" t="s">
        <v>22</v>
      </c>
      <c r="O705" t="s">
        <v>23</v>
      </c>
    </row>
    <row r="706" spans="1:15" x14ac:dyDescent="0.3">
      <c r="A706" t="s">
        <v>909</v>
      </c>
      <c r="B706" t="s">
        <v>94</v>
      </c>
      <c r="C706" t="s">
        <v>37</v>
      </c>
      <c r="D706">
        <v>52</v>
      </c>
      <c r="E706" t="s">
        <v>49</v>
      </c>
      <c r="F706" t="s">
        <v>27</v>
      </c>
      <c r="G706" t="s">
        <v>20</v>
      </c>
      <c r="H706">
        <v>103000</v>
      </c>
      <c r="I706">
        <v>4</v>
      </c>
      <c r="J706">
        <v>2</v>
      </c>
      <c r="K706">
        <v>3</v>
      </c>
      <c r="L706" t="s">
        <v>21</v>
      </c>
      <c r="M706" t="s">
        <v>29</v>
      </c>
      <c r="N706" t="s">
        <v>34</v>
      </c>
      <c r="O706" t="s">
        <v>30</v>
      </c>
    </row>
    <row r="707" spans="1:15" x14ac:dyDescent="0.3">
      <c r="A707" t="s">
        <v>910</v>
      </c>
      <c r="B707" t="s">
        <v>16</v>
      </c>
      <c r="C707" t="s">
        <v>17</v>
      </c>
      <c r="D707">
        <v>34</v>
      </c>
      <c r="E707" t="s">
        <v>41</v>
      </c>
      <c r="F707" t="s">
        <v>73</v>
      </c>
      <c r="G707" t="s">
        <v>28</v>
      </c>
      <c r="H707">
        <v>49000</v>
      </c>
      <c r="I707">
        <v>12</v>
      </c>
      <c r="J707">
        <v>2</v>
      </c>
      <c r="K707">
        <v>4</v>
      </c>
      <c r="L707" t="s">
        <v>21</v>
      </c>
      <c r="M707" t="s">
        <v>29</v>
      </c>
      <c r="N707" t="s">
        <v>22</v>
      </c>
      <c r="O707" t="s">
        <v>75</v>
      </c>
    </row>
    <row r="708" spans="1:15" x14ac:dyDescent="0.3">
      <c r="A708" t="s">
        <v>911</v>
      </c>
      <c r="B708" t="s">
        <v>357</v>
      </c>
      <c r="C708" t="s">
        <v>17</v>
      </c>
      <c r="D708">
        <v>26</v>
      </c>
      <c r="E708" t="s">
        <v>66</v>
      </c>
      <c r="F708" t="s">
        <v>82</v>
      </c>
      <c r="G708" t="s">
        <v>33</v>
      </c>
      <c r="H708">
        <v>92000</v>
      </c>
      <c r="I708">
        <v>2</v>
      </c>
      <c r="J708">
        <v>4</v>
      </c>
      <c r="K708">
        <v>5</v>
      </c>
      <c r="L708" t="s">
        <v>29</v>
      </c>
      <c r="M708" t="s">
        <v>29</v>
      </c>
      <c r="N708" t="s">
        <v>22</v>
      </c>
      <c r="O708" t="s">
        <v>54</v>
      </c>
    </row>
    <row r="709" spans="1:15" x14ac:dyDescent="0.3">
      <c r="A709" t="s">
        <v>912</v>
      </c>
      <c r="B709" t="s">
        <v>297</v>
      </c>
      <c r="C709" t="s">
        <v>17</v>
      </c>
      <c r="D709">
        <v>22</v>
      </c>
      <c r="E709" t="s">
        <v>26</v>
      </c>
      <c r="F709" t="s">
        <v>27</v>
      </c>
      <c r="G709" t="s">
        <v>33</v>
      </c>
      <c r="H709">
        <v>112000</v>
      </c>
      <c r="I709">
        <v>1</v>
      </c>
      <c r="J709">
        <v>2</v>
      </c>
      <c r="K709">
        <v>3</v>
      </c>
      <c r="L709" t="s">
        <v>29</v>
      </c>
      <c r="M709" t="s">
        <v>29</v>
      </c>
      <c r="N709" t="s">
        <v>34</v>
      </c>
      <c r="O709" t="s">
        <v>51</v>
      </c>
    </row>
    <row r="710" spans="1:15" x14ac:dyDescent="0.3">
      <c r="A710" t="s">
        <v>913</v>
      </c>
      <c r="B710" t="s">
        <v>88</v>
      </c>
      <c r="C710" t="s">
        <v>17</v>
      </c>
      <c r="D710">
        <v>43</v>
      </c>
      <c r="E710" t="s">
        <v>66</v>
      </c>
      <c r="F710" t="s">
        <v>67</v>
      </c>
      <c r="G710" t="s">
        <v>28</v>
      </c>
      <c r="H710">
        <v>68000</v>
      </c>
      <c r="I710">
        <v>10</v>
      </c>
      <c r="J710">
        <v>5</v>
      </c>
      <c r="K710">
        <v>5</v>
      </c>
      <c r="L710" t="s">
        <v>21</v>
      </c>
      <c r="M710" t="s">
        <v>29</v>
      </c>
      <c r="N710" t="s">
        <v>34</v>
      </c>
      <c r="O710" t="s">
        <v>30</v>
      </c>
    </row>
    <row r="711" spans="1:15" x14ac:dyDescent="0.3">
      <c r="A711" t="s">
        <v>914</v>
      </c>
      <c r="B711" t="s">
        <v>244</v>
      </c>
      <c r="C711" t="s">
        <v>17</v>
      </c>
      <c r="D711">
        <v>30</v>
      </c>
      <c r="E711" t="s">
        <v>26</v>
      </c>
      <c r="F711" t="s">
        <v>50</v>
      </c>
      <c r="G711" t="s">
        <v>33</v>
      </c>
      <c r="H711">
        <v>90000</v>
      </c>
      <c r="I711">
        <v>9</v>
      </c>
      <c r="J711">
        <v>2</v>
      </c>
      <c r="K711">
        <v>2</v>
      </c>
      <c r="L711" t="s">
        <v>29</v>
      </c>
      <c r="M711" t="s">
        <v>29</v>
      </c>
      <c r="N711" t="s">
        <v>22</v>
      </c>
      <c r="O711" t="s">
        <v>43</v>
      </c>
    </row>
    <row r="712" spans="1:15" x14ac:dyDescent="0.3">
      <c r="A712" t="s">
        <v>915</v>
      </c>
      <c r="B712" t="s">
        <v>320</v>
      </c>
      <c r="C712" t="s">
        <v>17</v>
      </c>
      <c r="D712">
        <v>39</v>
      </c>
      <c r="E712" t="s">
        <v>18</v>
      </c>
      <c r="F712" t="s">
        <v>19</v>
      </c>
      <c r="G712" t="s">
        <v>46</v>
      </c>
      <c r="H712">
        <v>64000</v>
      </c>
      <c r="I712">
        <v>17</v>
      </c>
      <c r="J712">
        <v>3</v>
      </c>
      <c r="K712">
        <v>4</v>
      </c>
      <c r="L712" t="s">
        <v>21</v>
      </c>
      <c r="M712" t="s">
        <v>29</v>
      </c>
      <c r="N712" t="s">
        <v>34</v>
      </c>
      <c r="O712" t="s">
        <v>43</v>
      </c>
    </row>
    <row r="713" spans="1:15" x14ac:dyDescent="0.3">
      <c r="A713" t="s">
        <v>916</v>
      </c>
      <c r="B713" t="s">
        <v>132</v>
      </c>
      <c r="C713" t="s">
        <v>37</v>
      </c>
      <c r="D713">
        <v>48</v>
      </c>
      <c r="E713" t="s">
        <v>18</v>
      </c>
      <c r="F713" t="s">
        <v>19</v>
      </c>
      <c r="G713" t="s">
        <v>28</v>
      </c>
      <c r="H713">
        <v>66000</v>
      </c>
      <c r="I713">
        <v>20</v>
      </c>
      <c r="J713">
        <v>2</v>
      </c>
      <c r="K713">
        <v>5</v>
      </c>
      <c r="L713" t="s">
        <v>21</v>
      </c>
      <c r="M713" t="s">
        <v>21</v>
      </c>
      <c r="N713" t="s">
        <v>34</v>
      </c>
      <c r="O713" t="s">
        <v>30</v>
      </c>
    </row>
    <row r="714" spans="1:15" x14ac:dyDescent="0.3">
      <c r="A714" t="s">
        <v>917</v>
      </c>
      <c r="B714" t="s">
        <v>72</v>
      </c>
      <c r="C714" t="s">
        <v>17</v>
      </c>
      <c r="D714">
        <v>54</v>
      </c>
      <c r="E714" t="s">
        <v>41</v>
      </c>
      <c r="F714" t="s">
        <v>73</v>
      </c>
      <c r="G714" t="s">
        <v>33</v>
      </c>
      <c r="H714">
        <v>36000</v>
      </c>
      <c r="I714">
        <v>11</v>
      </c>
      <c r="J714">
        <v>2</v>
      </c>
      <c r="K714">
        <v>3</v>
      </c>
      <c r="L714" t="s">
        <v>29</v>
      </c>
      <c r="M714" t="s">
        <v>29</v>
      </c>
      <c r="N714" t="s">
        <v>22</v>
      </c>
      <c r="O714" t="s">
        <v>23</v>
      </c>
    </row>
    <row r="715" spans="1:15" x14ac:dyDescent="0.3">
      <c r="A715" t="s">
        <v>918</v>
      </c>
      <c r="B715" t="s">
        <v>476</v>
      </c>
      <c r="C715" t="s">
        <v>37</v>
      </c>
      <c r="D715">
        <v>39</v>
      </c>
      <c r="E715" t="s">
        <v>41</v>
      </c>
      <c r="F715" t="s">
        <v>42</v>
      </c>
      <c r="G715" t="s">
        <v>20</v>
      </c>
      <c r="H715">
        <v>51000</v>
      </c>
      <c r="I715">
        <v>7</v>
      </c>
      <c r="J715">
        <v>5</v>
      </c>
      <c r="K715">
        <v>4</v>
      </c>
      <c r="L715" t="s">
        <v>21</v>
      </c>
      <c r="M715" t="s">
        <v>29</v>
      </c>
      <c r="N715" t="s">
        <v>34</v>
      </c>
      <c r="O715" t="s">
        <v>43</v>
      </c>
    </row>
    <row r="716" spans="1:15" x14ac:dyDescent="0.3">
      <c r="A716" t="s">
        <v>919</v>
      </c>
      <c r="B716" t="s">
        <v>263</v>
      </c>
      <c r="C716" t="s">
        <v>17</v>
      </c>
      <c r="D716">
        <v>35</v>
      </c>
      <c r="E716" t="s">
        <v>26</v>
      </c>
      <c r="F716" t="s">
        <v>50</v>
      </c>
      <c r="G716" t="s">
        <v>46</v>
      </c>
      <c r="H716">
        <v>36000</v>
      </c>
      <c r="I716">
        <v>14</v>
      </c>
      <c r="J716">
        <v>2</v>
      </c>
      <c r="K716">
        <v>4</v>
      </c>
      <c r="L716" t="s">
        <v>29</v>
      </c>
      <c r="M716" t="s">
        <v>29</v>
      </c>
      <c r="N716" t="s">
        <v>22</v>
      </c>
      <c r="O716" t="s">
        <v>43</v>
      </c>
    </row>
    <row r="717" spans="1:15" x14ac:dyDescent="0.3">
      <c r="A717" t="s">
        <v>920</v>
      </c>
      <c r="B717" t="s">
        <v>77</v>
      </c>
      <c r="C717" t="s">
        <v>37</v>
      </c>
      <c r="D717">
        <v>33</v>
      </c>
      <c r="E717" t="s">
        <v>49</v>
      </c>
      <c r="F717" t="s">
        <v>27</v>
      </c>
      <c r="G717" t="s">
        <v>20</v>
      </c>
      <c r="H717">
        <v>95000</v>
      </c>
      <c r="I717">
        <v>1</v>
      </c>
      <c r="J717">
        <v>4</v>
      </c>
      <c r="K717">
        <v>2</v>
      </c>
      <c r="L717" t="s">
        <v>29</v>
      </c>
      <c r="M717" t="s">
        <v>29</v>
      </c>
      <c r="N717" t="s">
        <v>22</v>
      </c>
      <c r="O717" t="s">
        <v>30</v>
      </c>
    </row>
    <row r="718" spans="1:15" x14ac:dyDescent="0.3">
      <c r="A718" t="s">
        <v>921</v>
      </c>
      <c r="B718" t="s">
        <v>219</v>
      </c>
      <c r="C718" t="s">
        <v>37</v>
      </c>
      <c r="D718">
        <v>51</v>
      </c>
      <c r="E718" t="s">
        <v>18</v>
      </c>
      <c r="F718" t="s">
        <v>126</v>
      </c>
      <c r="G718" t="s">
        <v>46</v>
      </c>
      <c r="H718">
        <v>26000</v>
      </c>
      <c r="I718">
        <v>9</v>
      </c>
      <c r="J718">
        <v>4</v>
      </c>
      <c r="K718">
        <v>5</v>
      </c>
      <c r="L718" t="s">
        <v>21</v>
      </c>
      <c r="M718" t="s">
        <v>29</v>
      </c>
      <c r="N718" t="s">
        <v>22</v>
      </c>
      <c r="O718" t="s">
        <v>23</v>
      </c>
    </row>
    <row r="719" spans="1:15" x14ac:dyDescent="0.3">
      <c r="A719" t="s">
        <v>922</v>
      </c>
      <c r="B719" t="s">
        <v>142</v>
      </c>
      <c r="C719" t="s">
        <v>17</v>
      </c>
      <c r="D719">
        <v>51</v>
      </c>
      <c r="E719" t="s">
        <v>49</v>
      </c>
      <c r="F719" t="s">
        <v>27</v>
      </c>
      <c r="G719" t="s">
        <v>46</v>
      </c>
      <c r="H719">
        <v>97000</v>
      </c>
      <c r="I719">
        <v>17</v>
      </c>
      <c r="J719">
        <v>2</v>
      </c>
      <c r="K719">
        <v>2</v>
      </c>
      <c r="L719" t="s">
        <v>29</v>
      </c>
      <c r="M719" t="s">
        <v>29</v>
      </c>
      <c r="N719" t="s">
        <v>22</v>
      </c>
      <c r="O719" t="s">
        <v>51</v>
      </c>
    </row>
    <row r="720" spans="1:15" x14ac:dyDescent="0.3">
      <c r="A720" t="s">
        <v>923</v>
      </c>
      <c r="B720" t="s">
        <v>529</v>
      </c>
      <c r="C720" t="s">
        <v>17</v>
      </c>
      <c r="D720">
        <v>46</v>
      </c>
      <c r="E720" t="s">
        <v>49</v>
      </c>
      <c r="F720" t="s">
        <v>27</v>
      </c>
      <c r="G720" t="s">
        <v>46</v>
      </c>
      <c r="H720">
        <v>98000</v>
      </c>
      <c r="I720">
        <v>14</v>
      </c>
      <c r="J720">
        <v>5</v>
      </c>
      <c r="K720">
        <v>5</v>
      </c>
      <c r="L720" t="s">
        <v>21</v>
      </c>
      <c r="M720" t="s">
        <v>29</v>
      </c>
      <c r="N720" t="s">
        <v>34</v>
      </c>
      <c r="O720" t="s">
        <v>51</v>
      </c>
    </row>
    <row r="721" spans="1:15" x14ac:dyDescent="0.3">
      <c r="A721" t="s">
        <v>924</v>
      </c>
      <c r="B721" t="s">
        <v>357</v>
      </c>
      <c r="C721" t="s">
        <v>37</v>
      </c>
      <c r="D721">
        <v>33</v>
      </c>
      <c r="E721" t="s">
        <v>18</v>
      </c>
      <c r="F721" t="s">
        <v>19</v>
      </c>
      <c r="G721" t="s">
        <v>46</v>
      </c>
      <c r="H721">
        <v>65000</v>
      </c>
      <c r="I721">
        <v>5</v>
      </c>
      <c r="J721">
        <v>3</v>
      </c>
      <c r="K721">
        <v>4</v>
      </c>
      <c r="L721" t="s">
        <v>29</v>
      </c>
      <c r="M721" t="s">
        <v>21</v>
      </c>
      <c r="N721" t="s">
        <v>34</v>
      </c>
      <c r="O721" t="s">
        <v>51</v>
      </c>
    </row>
    <row r="722" spans="1:15" x14ac:dyDescent="0.3">
      <c r="A722" t="s">
        <v>925</v>
      </c>
      <c r="B722" t="s">
        <v>633</v>
      </c>
      <c r="C722" t="s">
        <v>37</v>
      </c>
      <c r="D722">
        <v>34</v>
      </c>
      <c r="E722" t="s">
        <v>18</v>
      </c>
      <c r="F722" t="s">
        <v>126</v>
      </c>
      <c r="G722" t="s">
        <v>46</v>
      </c>
      <c r="H722">
        <v>112000</v>
      </c>
      <c r="I722">
        <v>6</v>
      </c>
      <c r="J722">
        <v>4</v>
      </c>
      <c r="K722">
        <v>3</v>
      </c>
      <c r="L722" t="s">
        <v>29</v>
      </c>
      <c r="M722" t="s">
        <v>29</v>
      </c>
      <c r="N722" t="s">
        <v>34</v>
      </c>
      <c r="O722" t="s">
        <v>70</v>
      </c>
    </row>
    <row r="723" spans="1:15" x14ac:dyDescent="0.3">
      <c r="A723" t="s">
        <v>926</v>
      </c>
      <c r="B723" t="s">
        <v>142</v>
      </c>
      <c r="C723" t="s">
        <v>17</v>
      </c>
      <c r="D723">
        <v>32</v>
      </c>
      <c r="E723" t="s">
        <v>57</v>
      </c>
      <c r="F723" t="s">
        <v>50</v>
      </c>
      <c r="G723" t="s">
        <v>46</v>
      </c>
      <c r="H723">
        <v>57000</v>
      </c>
      <c r="I723">
        <v>11</v>
      </c>
      <c r="J723">
        <v>5</v>
      </c>
      <c r="K723">
        <v>4</v>
      </c>
      <c r="L723" t="s">
        <v>21</v>
      </c>
      <c r="M723" t="s">
        <v>29</v>
      </c>
      <c r="N723" t="s">
        <v>34</v>
      </c>
      <c r="O723" t="s">
        <v>75</v>
      </c>
    </row>
    <row r="724" spans="1:15" x14ac:dyDescent="0.3">
      <c r="A724" t="s">
        <v>927</v>
      </c>
      <c r="B724" t="s">
        <v>145</v>
      </c>
      <c r="C724" t="s">
        <v>37</v>
      </c>
      <c r="D724">
        <v>44</v>
      </c>
      <c r="E724" t="s">
        <v>18</v>
      </c>
      <c r="F724" t="s">
        <v>126</v>
      </c>
      <c r="G724" t="s">
        <v>46</v>
      </c>
      <c r="H724">
        <v>108000</v>
      </c>
      <c r="I724">
        <v>14</v>
      </c>
      <c r="J724">
        <v>5</v>
      </c>
      <c r="K724">
        <v>2</v>
      </c>
      <c r="L724" t="s">
        <v>21</v>
      </c>
      <c r="M724" t="s">
        <v>29</v>
      </c>
      <c r="N724" t="s">
        <v>34</v>
      </c>
      <c r="O724" t="s">
        <v>51</v>
      </c>
    </row>
    <row r="725" spans="1:15" x14ac:dyDescent="0.3">
      <c r="A725" t="s">
        <v>928</v>
      </c>
      <c r="B725" t="s">
        <v>354</v>
      </c>
      <c r="C725" t="s">
        <v>17</v>
      </c>
      <c r="D725">
        <v>31</v>
      </c>
      <c r="E725" t="s">
        <v>41</v>
      </c>
      <c r="F725" t="s">
        <v>42</v>
      </c>
      <c r="G725" t="s">
        <v>28</v>
      </c>
      <c r="H725">
        <v>73000</v>
      </c>
      <c r="I725">
        <v>9</v>
      </c>
      <c r="J725">
        <v>3</v>
      </c>
      <c r="K725">
        <v>4</v>
      </c>
      <c r="L725" t="s">
        <v>21</v>
      </c>
      <c r="M725" t="s">
        <v>29</v>
      </c>
      <c r="N725" t="s">
        <v>34</v>
      </c>
      <c r="O725" t="s">
        <v>43</v>
      </c>
    </row>
    <row r="726" spans="1:15" x14ac:dyDescent="0.3">
      <c r="A726" t="s">
        <v>929</v>
      </c>
      <c r="B726" t="s">
        <v>292</v>
      </c>
      <c r="C726" t="s">
        <v>37</v>
      </c>
      <c r="D726">
        <v>27</v>
      </c>
      <c r="E726" t="s">
        <v>57</v>
      </c>
      <c r="F726" t="s">
        <v>27</v>
      </c>
      <c r="G726" t="s">
        <v>28</v>
      </c>
      <c r="H726">
        <v>115000</v>
      </c>
      <c r="I726">
        <v>6</v>
      </c>
      <c r="J726">
        <v>5</v>
      </c>
      <c r="K726">
        <v>5</v>
      </c>
      <c r="L726" t="s">
        <v>21</v>
      </c>
      <c r="M726" t="s">
        <v>29</v>
      </c>
      <c r="N726" t="s">
        <v>22</v>
      </c>
      <c r="O726" t="s">
        <v>38</v>
      </c>
    </row>
    <row r="727" spans="1:15" x14ac:dyDescent="0.3">
      <c r="A727" t="s">
        <v>930</v>
      </c>
      <c r="B727" t="s">
        <v>295</v>
      </c>
      <c r="C727" t="s">
        <v>17</v>
      </c>
      <c r="D727">
        <v>42</v>
      </c>
      <c r="E727" t="s">
        <v>49</v>
      </c>
      <c r="F727" t="s">
        <v>27</v>
      </c>
      <c r="G727" t="s">
        <v>28</v>
      </c>
      <c r="H727">
        <v>62000</v>
      </c>
      <c r="I727">
        <v>3</v>
      </c>
      <c r="J727">
        <v>5</v>
      </c>
      <c r="K727">
        <v>5</v>
      </c>
      <c r="L727" t="s">
        <v>21</v>
      </c>
      <c r="M727" t="s">
        <v>29</v>
      </c>
      <c r="N727" t="s">
        <v>34</v>
      </c>
      <c r="O727" t="s">
        <v>38</v>
      </c>
    </row>
    <row r="728" spans="1:15" x14ac:dyDescent="0.3">
      <c r="A728" t="s">
        <v>931</v>
      </c>
      <c r="B728" t="s">
        <v>132</v>
      </c>
      <c r="C728" t="s">
        <v>37</v>
      </c>
      <c r="D728">
        <v>39</v>
      </c>
      <c r="E728" t="s">
        <v>49</v>
      </c>
      <c r="F728" t="s">
        <v>50</v>
      </c>
      <c r="G728" t="s">
        <v>28</v>
      </c>
      <c r="H728">
        <v>92000</v>
      </c>
      <c r="I728">
        <v>8</v>
      </c>
      <c r="J728">
        <v>4</v>
      </c>
      <c r="K728">
        <v>4</v>
      </c>
      <c r="L728" t="s">
        <v>29</v>
      </c>
      <c r="M728" t="s">
        <v>29</v>
      </c>
      <c r="N728" t="s">
        <v>22</v>
      </c>
      <c r="O728" t="s">
        <v>23</v>
      </c>
    </row>
    <row r="729" spans="1:15" x14ac:dyDescent="0.3">
      <c r="A729" t="s">
        <v>932</v>
      </c>
      <c r="B729" t="s">
        <v>225</v>
      </c>
      <c r="C729" t="s">
        <v>37</v>
      </c>
      <c r="D729">
        <v>35</v>
      </c>
      <c r="E729" t="s">
        <v>49</v>
      </c>
      <c r="F729" t="s">
        <v>50</v>
      </c>
      <c r="G729" t="s">
        <v>20</v>
      </c>
      <c r="H729">
        <v>61000</v>
      </c>
      <c r="I729">
        <v>1</v>
      </c>
      <c r="J729">
        <v>3</v>
      </c>
      <c r="K729">
        <v>2</v>
      </c>
      <c r="L729" t="s">
        <v>21</v>
      </c>
      <c r="M729" t="s">
        <v>21</v>
      </c>
      <c r="N729" t="s">
        <v>34</v>
      </c>
      <c r="O729" t="s">
        <v>38</v>
      </c>
    </row>
    <row r="730" spans="1:15" x14ac:dyDescent="0.3">
      <c r="A730" t="s">
        <v>933</v>
      </c>
      <c r="B730" t="s">
        <v>36</v>
      </c>
      <c r="C730" t="s">
        <v>37</v>
      </c>
      <c r="D730">
        <v>53</v>
      </c>
      <c r="E730" t="s">
        <v>66</v>
      </c>
      <c r="F730" t="s">
        <v>67</v>
      </c>
      <c r="G730" t="s">
        <v>20</v>
      </c>
      <c r="H730">
        <v>91000</v>
      </c>
      <c r="I730">
        <v>12</v>
      </c>
      <c r="J730">
        <v>2</v>
      </c>
      <c r="K730">
        <v>2</v>
      </c>
      <c r="L730" t="s">
        <v>29</v>
      </c>
      <c r="M730" t="s">
        <v>29</v>
      </c>
      <c r="N730" t="s">
        <v>34</v>
      </c>
      <c r="O730" t="s">
        <v>23</v>
      </c>
    </row>
    <row r="731" spans="1:15" x14ac:dyDescent="0.3">
      <c r="A731" t="s">
        <v>934</v>
      </c>
      <c r="B731" t="s">
        <v>104</v>
      </c>
      <c r="C731" t="s">
        <v>17</v>
      </c>
      <c r="D731">
        <v>28</v>
      </c>
      <c r="E731" t="s">
        <v>41</v>
      </c>
      <c r="F731" t="s">
        <v>73</v>
      </c>
      <c r="G731" t="s">
        <v>28</v>
      </c>
      <c r="H731">
        <v>30000</v>
      </c>
      <c r="I731">
        <v>7</v>
      </c>
      <c r="J731">
        <v>5</v>
      </c>
      <c r="K731">
        <v>5</v>
      </c>
      <c r="L731" t="s">
        <v>21</v>
      </c>
      <c r="M731" t="s">
        <v>29</v>
      </c>
      <c r="N731" t="s">
        <v>22</v>
      </c>
      <c r="O731" t="s">
        <v>70</v>
      </c>
    </row>
    <row r="732" spans="1:15" x14ac:dyDescent="0.3">
      <c r="A732" t="s">
        <v>935</v>
      </c>
      <c r="B732" t="s">
        <v>370</v>
      </c>
      <c r="C732" t="s">
        <v>17</v>
      </c>
      <c r="D732">
        <v>52</v>
      </c>
      <c r="E732" t="s">
        <v>66</v>
      </c>
      <c r="F732" t="s">
        <v>67</v>
      </c>
      <c r="G732" t="s">
        <v>20</v>
      </c>
      <c r="H732">
        <v>39000</v>
      </c>
      <c r="I732">
        <v>19</v>
      </c>
      <c r="J732">
        <v>3</v>
      </c>
      <c r="K732">
        <v>3</v>
      </c>
      <c r="L732" t="s">
        <v>29</v>
      </c>
      <c r="M732" t="s">
        <v>29</v>
      </c>
      <c r="N732" t="s">
        <v>34</v>
      </c>
      <c r="O732" t="s">
        <v>51</v>
      </c>
    </row>
    <row r="733" spans="1:15" x14ac:dyDescent="0.3">
      <c r="A733" t="s">
        <v>936</v>
      </c>
      <c r="B733" t="s">
        <v>210</v>
      </c>
      <c r="C733" t="s">
        <v>17</v>
      </c>
      <c r="D733">
        <v>40</v>
      </c>
      <c r="E733" t="s">
        <v>26</v>
      </c>
      <c r="F733" t="s">
        <v>50</v>
      </c>
      <c r="G733" t="s">
        <v>33</v>
      </c>
      <c r="H733">
        <v>117000</v>
      </c>
      <c r="I733">
        <v>14</v>
      </c>
      <c r="J733">
        <v>3</v>
      </c>
      <c r="K733">
        <v>4</v>
      </c>
      <c r="L733" t="s">
        <v>29</v>
      </c>
      <c r="M733" t="s">
        <v>29</v>
      </c>
      <c r="N733" t="s">
        <v>22</v>
      </c>
      <c r="O733" t="s">
        <v>70</v>
      </c>
    </row>
    <row r="734" spans="1:15" x14ac:dyDescent="0.3">
      <c r="A734" t="s">
        <v>937</v>
      </c>
      <c r="B734" t="s">
        <v>65</v>
      </c>
      <c r="C734" t="s">
        <v>17</v>
      </c>
      <c r="D734">
        <v>36</v>
      </c>
      <c r="E734" t="s">
        <v>49</v>
      </c>
      <c r="F734" t="s">
        <v>27</v>
      </c>
      <c r="G734" t="s">
        <v>28</v>
      </c>
      <c r="H734">
        <v>33000</v>
      </c>
      <c r="I734">
        <v>5</v>
      </c>
      <c r="J734">
        <v>5</v>
      </c>
      <c r="K734">
        <v>4</v>
      </c>
      <c r="L734" t="s">
        <v>29</v>
      </c>
      <c r="M734" t="s">
        <v>29</v>
      </c>
      <c r="N734" t="s">
        <v>22</v>
      </c>
      <c r="O734" t="s">
        <v>75</v>
      </c>
    </row>
    <row r="735" spans="1:15" x14ac:dyDescent="0.3">
      <c r="A735" t="s">
        <v>938</v>
      </c>
      <c r="B735" t="s">
        <v>122</v>
      </c>
      <c r="C735" t="s">
        <v>37</v>
      </c>
      <c r="D735">
        <v>29</v>
      </c>
      <c r="E735" t="s">
        <v>26</v>
      </c>
      <c r="F735" t="s">
        <v>27</v>
      </c>
      <c r="G735" t="s">
        <v>28</v>
      </c>
      <c r="H735">
        <v>106000</v>
      </c>
      <c r="I735">
        <v>4</v>
      </c>
      <c r="J735">
        <v>3</v>
      </c>
      <c r="K735">
        <v>2</v>
      </c>
      <c r="L735" t="s">
        <v>21</v>
      </c>
      <c r="M735" t="s">
        <v>29</v>
      </c>
      <c r="N735" t="s">
        <v>22</v>
      </c>
      <c r="O735" t="s">
        <v>70</v>
      </c>
    </row>
    <row r="736" spans="1:15" x14ac:dyDescent="0.3">
      <c r="A736" t="s">
        <v>939</v>
      </c>
      <c r="B736" t="s">
        <v>107</v>
      </c>
      <c r="C736" t="s">
        <v>17</v>
      </c>
      <c r="D736">
        <v>38</v>
      </c>
      <c r="E736" t="s">
        <v>18</v>
      </c>
      <c r="F736" t="s">
        <v>126</v>
      </c>
      <c r="G736" t="s">
        <v>20</v>
      </c>
      <c r="H736">
        <v>98000</v>
      </c>
      <c r="I736">
        <v>3</v>
      </c>
      <c r="J736">
        <v>2</v>
      </c>
      <c r="K736">
        <v>2</v>
      </c>
      <c r="L736" t="s">
        <v>21</v>
      </c>
      <c r="M736" t="s">
        <v>21</v>
      </c>
      <c r="N736" t="s">
        <v>22</v>
      </c>
      <c r="O736" t="s">
        <v>70</v>
      </c>
    </row>
    <row r="737" spans="1:15" x14ac:dyDescent="0.3">
      <c r="A737" t="s">
        <v>940</v>
      </c>
      <c r="B737" t="s">
        <v>454</v>
      </c>
      <c r="C737" t="s">
        <v>37</v>
      </c>
      <c r="D737">
        <v>54</v>
      </c>
      <c r="E737" t="s">
        <v>26</v>
      </c>
      <c r="F737" t="s">
        <v>50</v>
      </c>
      <c r="G737" t="s">
        <v>20</v>
      </c>
      <c r="H737">
        <v>67000</v>
      </c>
      <c r="I737">
        <v>1</v>
      </c>
      <c r="J737">
        <v>5</v>
      </c>
      <c r="K737">
        <v>2</v>
      </c>
      <c r="L737" t="s">
        <v>29</v>
      </c>
      <c r="M737" t="s">
        <v>29</v>
      </c>
      <c r="N737" t="s">
        <v>34</v>
      </c>
      <c r="O737" t="s">
        <v>54</v>
      </c>
    </row>
    <row r="738" spans="1:15" x14ac:dyDescent="0.3">
      <c r="A738" t="s">
        <v>941</v>
      </c>
      <c r="B738" t="s">
        <v>618</v>
      </c>
      <c r="C738" t="s">
        <v>17</v>
      </c>
      <c r="D738">
        <v>39</v>
      </c>
      <c r="E738" t="s">
        <v>26</v>
      </c>
      <c r="F738" t="s">
        <v>27</v>
      </c>
      <c r="G738" t="s">
        <v>28</v>
      </c>
      <c r="H738">
        <v>88000</v>
      </c>
      <c r="I738">
        <v>14</v>
      </c>
      <c r="J738">
        <v>2</v>
      </c>
      <c r="K738">
        <v>4</v>
      </c>
      <c r="L738" t="s">
        <v>29</v>
      </c>
      <c r="M738" t="s">
        <v>29</v>
      </c>
      <c r="N738" t="s">
        <v>22</v>
      </c>
      <c r="O738" t="s">
        <v>54</v>
      </c>
    </row>
    <row r="739" spans="1:15" x14ac:dyDescent="0.3">
      <c r="A739" t="s">
        <v>942</v>
      </c>
      <c r="B739" t="s">
        <v>379</v>
      </c>
      <c r="C739" t="s">
        <v>37</v>
      </c>
      <c r="D739">
        <v>52</v>
      </c>
      <c r="E739" t="s">
        <v>26</v>
      </c>
      <c r="F739" t="s">
        <v>27</v>
      </c>
      <c r="G739" t="s">
        <v>28</v>
      </c>
      <c r="H739">
        <v>28000</v>
      </c>
      <c r="I739">
        <v>2</v>
      </c>
      <c r="J739">
        <v>4</v>
      </c>
      <c r="K739">
        <v>3</v>
      </c>
      <c r="L739" t="s">
        <v>21</v>
      </c>
      <c r="M739" t="s">
        <v>29</v>
      </c>
      <c r="N739" t="s">
        <v>22</v>
      </c>
      <c r="O739" t="s">
        <v>51</v>
      </c>
    </row>
    <row r="740" spans="1:15" x14ac:dyDescent="0.3">
      <c r="A740" t="s">
        <v>943</v>
      </c>
      <c r="B740" t="s">
        <v>306</v>
      </c>
      <c r="C740" t="s">
        <v>17</v>
      </c>
      <c r="D740">
        <v>48</v>
      </c>
      <c r="E740" t="s">
        <v>26</v>
      </c>
      <c r="F740" t="s">
        <v>50</v>
      </c>
      <c r="G740" t="s">
        <v>33</v>
      </c>
      <c r="H740">
        <v>73000</v>
      </c>
      <c r="I740">
        <v>6</v>
      </c>
      <c r="J740">
        <v>4</v>
      </c>
      <c r="K740">
        <v>3</v>
      </c>
      <c r="L740" t="s">
        <v>21</v>
      </c>
      <c r="M740" t="s">
        <v>29</v>
      </c>
      <c r="N740" t="s">
        <v>22</v>
      </c>
      <c r="O740" t="s">
        <v>43</v>
      </c>
    </row>
    <row r="741" spans="1:15" x14ac:dyDescent="0.3">
      <c r="A741" t="s">
        <v>944</v>
      </c>
      <c r="B741" t="s">
        <v>347</v>
      </c>
      <c r="C741" t="s">
        <v>17</v>
      </c>
      <c r="D741">
        <v>44</v>
      </c>
      <c r="E741" t="s">
        <v>49</v>
      </c>
      <c r="F741" t="s">
        <v>27</v>
      </c>
      <c r="G741" t="s">
        <v>33</v>
      </c>
      <c r="H741">
        <v>83000</v>
      </c>
      <c r="I741">
        <v>4</v>
      </c>
      <c r="J741">
        <v>3</v>
      </c>
      <c r="K741">
        <v>2</v>
      </c>
      <c r="L741" t="s">
        <v>29</v>
      </c>
      <c r="M741" t="s">
        <v>29</v>
      </c>
      <c r="N741" t="s">
        <v>22</v>
      </c>
      <c r="O741" t="s">
        <v>51</v>
      </c>
    </row>
    <row r="742" spans="1:15" x14ac:dyDescent="0.3">
      <c r="A742" t="s">
        <v>945</v>
      </c>
      <c r="B742" t="s">
        <v>284</v>
      </c>
      <c r="C742" t="s">
        <v>37</v>
      </c>
      <c r="D742">
        <v>36</v>
      </c>
      <c r="E742" t="s">
        <v>49</v>
      </c>
      <c r="F742" t="s">
        <v>50</v>
      </c>
      <c r="G742" t="s">
        <v>33</v>
      </c>
      <c r="H742">
        <v>43000</v>
      </c>
      <c r="I742">
        <v>10</v>
      </c>
      <c r="J742">
        <v>5</v>
      </c>
      <c r="K742">
        <v>3</v>
      </c>
      <c r="L742" t="s">
        <v>29</v>
      </c>
      <c r="M742" t="s">
        <v>29</v>
      </c>
      <c r="N742" t="s">
        <v>22</v>
      </c>
      <c r="O742" t="s">
        <v>51</v>
      </c>
    </row>
    <row r="743" spans="1:15" x14ac:dyDescent="0.3">
      <c r="A743" t="s">
        <v>946</v>
      </c>
      <c r="B743" t="s">
        <v>166</v>
      </c>
      <c r="C743" t="s">
        <v>37</v>
      </c>
      <c r="D743">
        <v>35</v>
      </c>
      <c r="E743" t="s">
        <v>66</v>
      </c>
      <c r="F743" t="s">
        <v>82</v>
      </c>
      <c r="G743" t="s">
        <v>28</v>
      </c>
      <c r="H743">
        <v>73000</v>
      </c>
      <c r="I743">
        <v>11</v>
      </c>
      <c r="J743">
        <v>4</v>
      </c>
      <c r="K743">
        <v>3</v>
      </c>
      <c r="L743" t="s">
        <v>21</v>
      </c>
      <c r="M743" t="s">
        <v>29</v>
      </c>
      <c r="N743" t="s">
        <v>22</v>
      </c>
      <c r="O743" t="s">
        <v>54</v>
      </c>
    </row>
    <row r="744" spans="1:15" x14ac:dyDescent="0.3">
      <c r="A744" t="s">
        <v>947</v>
      </c>
      <c r="B744" t="s">
        <v>149</v>
      </c>
      <c r="C744" t="s">
        <v>17</v>
      </c>
      <c r="D744">
        <v>36</v>
      </c>
      <c r="E744" t="s">
        <v>49</v>
      </c>
      <c r="F744" t="s">
        <v>27</v>
      </c>
      <c r="G744" t="s">
        <v>33</v>
      </c>
      <c r="H744">
        <v>105000</v>
      </c>
      <c r="I744">
        <v>6</v>
      </c>
      <c r="J744">
        <v>2</v>
      </c>
      <c r="K744">
        <v>2</v>
      </c>
      <c r="L744" t="s">
        <v>21</v>
      </c>
      <c r="M744" t="s">
        <v>29</v>
      </c>
      <c r="N744" t="s">
        <v>34</v>
      </c>
      <c r="O744" t="s">
        <v>23</v>
      </c>
    </row>
    <row r="745" spans="1:15" x14ac:dyDescent="0.3">
      <c r="A745" t="s">
        <v>948</v>
      </c>
      <c r="B745" t="s">
        <v>164</v>
      </c>
      <c r="C745" t="s">
        <v>17</v>
      </c>
      <c r="D745">
        <v>33</v>
      </c>
      <c r="E745" t="s">
        <v>66</v>
      </c>
      <c r="F745" t="s">
        <v>82</v>
      </c>
      <c r="G745" t="s">
        <v>33</v>
      </c>
      <c r="H745">
        <v>79000</v>
      </c>
      <c r="I745">
        <v>0</v>
      </c>
      <c r="J745">
        <v>4</v>
      </c>
      <c r="K745">
        <v>3</v>
      </c>
      <c r="L745" t="s">
        <v>29</v>
      </c>
      <c r="M745" t="s">
        <v>29</v>
      </c>
      <c r="N745" t="s">
        <v>22</v>
      </c>
      <c r="O745" t="s">
        <v>43</v>
      </c>
    </row>
    <row r="746" spans="1:15" x14ac:dyDescent="0.3">
      <c r="A746" t="s">
        <v>949</v>
      </c>
      <c r="B746" t="s">
        <v>633</v>
      </c>
      <c r="C746" t="s">
        <v>17</v>
      </c>
      <c r="D746">
        <v>25</v>
      </c>
      <c r="E746" t="s">
        <v>18</v>
      </c>
      <c r="F746" t="s">
        <v>126</v>
      </c>
      <c r="G746" t="s">
        <v>46</v>
      </c>
      <c r="H746">
        <v>100000</v>
      </c>
      <c r="I746">
        <v>4</v>
      </c>
      <c r="J746">
        <v>5</v>
      </c>
      <c r="K746">
        <v>2</v>
      </c>
      <c r="L746" t="s">
        <v>29</v>
      </c>
      <c r="M746" t="s">
        <v>29</v>
      </c>
      <c r="N746" t="s">
        <v>34</v>
      </c>
      <c r="O746" t="s">
        <v>43</v>
      </c>
    </row>
    <row r="747" spans="1:15" x14ac:dyDescent="0.3">
      <c r="A747" t="s">
        <v>950</v>
      </c>
      <c r="B747" t="s">
        <v>439</v>
      </c>
      <c r="C747" t="s">
        <v>37</v>
      </c>
      <c r="D747">
        <v>46</v>
      </c>
      <c r="E747" t="s">
        <v>41</v>
      </c>
      <c r="F747" t="s">
        <v>42</v>
      </c>
      <c r="G747" t="s">
        <v>33</v>
      </c>
      <c r="H747">
        <v>78000</v>
      </c>
      <c r="I747">
        <v>13</v>
      </c>
      <c r="J747">
        <v>3</v>
      </c>
      <c r="K747">
        <v>2</v>
      </c>
      <c r="L747" t="s">
        <v>21</v>
      </c>
      <c r="M747" t="s">
        <v>21</v>
      </c>
      <c r="N747" t="s">
        <v>22</v>
      </c>
      <c r="O747" t="s">
        <v>75</v>
      </c>
    </row>
    <row r="748" spans="1:15" x14ac:dyDescent="0.3">
      <c r="A748" t="s">
        <v>951</v>
      </c>
      <c r="B748" t="s">
        <v>706</v>
      </c>
      <c r="C748" t="s">
        <v>37</v>
      </c>
      <c r="D748">
        <v>39</v>
      </c>
      <c r="E748" t="s">
        <v>18</v>
      </c>
      <c r="F748" t="s">
        <v>19</v>
      </c>
      <c r="G748" t="s">
        <v>46</v>
      </c>
      <c r="H748">
        <v>90000</v>
      </c>
      <c r="I748">
        <v>16</v>
      </c>
      <c r="J748">
        <v>3</v>
      </c>
      <c r="K748">
        <v>2</v>
      </c>
      <c r="L748" t="s">
        <v>29</v>
      </c>
      <c r="M748" t="s">
        <v>29</v>
      </c>
      <c r="N748" t="s">
        <v>22</v>
      </c>
      <c r="O748" t="s">
        <v>75</v>
      </c>
    </row>
    <row r="749" spans="1:15" x14ac:dyDescent="0.3">
      <c r="A749" t="s">
        <v>952</v>
      </c>
      <c r="B749" t="s">
        <v>96</v>
      </c>
      <c r="C749" t="s">
        <v>37</v>
      </c>
      <c r="D749">
        <v>30</v>
      </c>
      <c r="E749" t="s">
        <v>49</v>
      </c>
      <c r="F749" t="s">
        <v>50</v>
      </c>
      <c r="G749" t="s">
        <v>28</v>
      </c>
      <c r="H749">
        <v>78000</v>
      </c>
      <c r="I749">
        <v>5</v>
      </c>
      <c r="J749">
        <v>2</v>
      </c>
      <c r="K749">
        <v>3</v>
      </c>
      <c r="L749" t="s">
        <v>29</v>
      </c>
      <c r="M749" t="s">
        <v>29</v>
      </c>
      <c r="N749" t="s">
        <v>34</v>
      </c>
      <c r="O749" t="s">
        <v>54</v>
      </c>
    </row>
    <row r="750" spans="1:15" x14ac:dyDescent="0.3">
      <c r="A750" t="s">
        <v>953</v>
      </c>
      <c r="B750" t="s">
        <v>666</v>
      </c>
      <c r="C750" t="s">
        <v>17</v>
      </c>
      <c r="D750">
        <v>32</v>
      </c>
      <c r="E750" t="s">
        <v>26</v>
      </c>
      <c r="F750" t="s">
        <v>50</v>
      </c>
      <c r="G750" t="s">
        <v>28</v>
      </c>
      <c r="H750">
        <v>71000</v>
      </c>
      <c r="I750">
        <v>7</v>
      </c>
      <c r="J750">
        <v>4</v>
      </c>
      <c r="K750">
        <v>3</v>
      </c>
      <c r="L750" t="s">
        <v>21</v>
      </c>
      <c r="M750" t="s">
        <v>29</v>
      </c>
      <c r="N750" t="s">
        <v>22</v>
      </c>
      <c r="O750" t="s">
        <v>54</v>
      </c>
    </row>
    <row r="751" spans="1:15" x14ac:dyDescent="0.3">
      <c r="A751" t="s">
        <v>954</v>
      </c>
      <c r="B751" t="s">
        <v>160</v>
      </c>
      <c r="C751" t="s">
        <v>37</v>
      </c>
      <c r="D751">
        <v>30</v>
      </c>
      <c r="E751" t="s">
        <v>66</v>
      </c>
      <c r="F751" t="s">
        <v>67</v>
      </c>
      <c r="G751" t="s">
        <v>33</v>
      </c>
      <c r="H751">
        <v>34000</v>
      </c>
      <c r="I751">
        <v>9</v>
      </c>
      <c r="J751">
        <v>2</v>
      </c>
      <c r="K751">
        <v>3</v>
      </c>
      <c r="L751" t="s">
        <v>21</v>
      </c>
      <c r="M751" t="s">
        <v>29</v>
      </c>
      <c r="N751" t="s">
        <v>22</v>
      </c>
      <c r="O751" t="s">
        <v>51</v>
      </c>
    </row>
    <row r="752" spans="1:15" x14ac:dyDescent="0.3">
      <c r="A752" t="s">
        <v>955</v>
      </c>
      <c r="B752" t="s">
        <v>92</v>
      </c>
      <c r="C752" t="s">
        <v>17</v>
      </c>
      <c r="D752">
        <v>22</v>
      </c>
      <c r="E752" t="s">
        <v>49</v>
      </c>
      <c r="F752" t="s">
        <v>27</v>
      </c>
      <c r="G752" t="s">
        <v>28</v>
      </c>
      <c r="H752">
        <v>31000</v>
      </c>
      <c r="I752">
        <v>1</v>
      </c>
      <c r="J752">
        <v>4</v>
      </c>
      <c r="K752">
        <v>4</v>
      </c>
      <c r="L752" t="s">
        <v>29</v>
      </c>
      <c r="M752" t="s">
        <v>29</v>
      </c>
      <c r="N752" t="s">
        <v>22</v>
      </c>
      <c r="O752" t="s">
        <v>43</v>
      </c>
    </row>
    <row r="753" spans="1:15" x14ac:dyDescent="0.3">
      <c r="A753" t="s">
        <v>956</v>
      </c>
      <c r="B753" t="s">
        <v>154</v>
      </c>
      <c r="C753" t="s">
        <v>37</v>
      </c>
      <c r="D753">
        <v>55</v>
      </c>
      <c r="E753" t="s">
        <v>26</v>
      </c>
      <c r="F753" t="s">
        <v>50</v>
      </c>
      <c r="G753" t="s">
        <v>46</v>
      </c>
      <c r="H753">
        <v>81000</v>
      </c>
      <c r="I753">
        <v>6</v>
      </c>
      <c r="J753">
        <v>2</v>
      </c>
      <c r="K753">
        <v>5</v>
      </c>
      <c r="L753" t="s">
        <v>29</v>
      </c>
      <c r="M753" t="s">
        <v>29</v>
      </c>
      <c r="N753" t="s">
        <v>22</v>
      </c>
      <c r="O753" t="s">
        <v>23</v>
      </c>
    </row>
    <row r="754" spans="1:15" x14ac:dyDescent="0.3">
      <c r="A754" t="s">
        <v>957</v>
      </c>
      <c r="B754" t="s">
        <v>69</v>
      </c>
      <c r="C754" t="s">
        <v>17</v>
      </c>
      <c r="D754">
        <v>24</v>
      </c>
      <c r="E754" t="s">
        <v>66</v>
      </c>
      <c r="F754" t="s">
        <v>82</v>
      </c>
      <c r="G754" t="s">
        <v>20</v>
      </c>
      <c r="H754">
        <v>80000</v>
      </c>
      <c r="I754">
        <v>3</v>
      </c>
      <c r="J754">
        <v>5</v>
      </c>
      <c r="K754">
        <v>4</v>
      </c>
      <c r="L754" t="s">
        <v>21</v>
      </c>
      <c r="M754" t="s">
        <v>29</v>
      </c>
      <c r="N754" t="s">
        <v>34</v>
      </c>
      <c r="O754" t="s">
        <v>43</v>
      </c>
    </row>
    <row r="755" spans="1:15" x14ac:dyDescent="0.3">
      <c r="A755" t="s">
        <v>958</v>
      </c>
      <c r="B755" t="s">
        <v>470</v>
      </c>
      <c r="C755" t="s">
        <v>37</v>
      </c>
      <c r="D755">
        <v>40</v>
      </c>
      <c r="E755" t="s">
        <v>49</v>
      </c>
      <c r="F755" t="s">
        <v>50</v>
      </c>
      <c r="G755" t="s">
        <v>28</v>
      </c>
      <c r="H755">
        <v>73000</v>
      </c>
      <c r="I755">
        <v>10</v>
      </c>
      <c r="J755">
        <v>5</v>
      </c>
      <c r="K755">
        <v>3</v>
      </c>
      <c r="L755" t="s">
        <v>21</v>
      </c>
      <c r="M755" t="s">
        <v>29</v>
      </c>
      <c r="N755" t="s">
        <v>34</v>
      </c>
      <c r="O755" t="s">
        <v>54</v>
      </c>
    </row>
    <row r="756" spans="1:15" x14ac:dyDescent="0.3">
      <c r="A756" t="s">
        <v>959</v>
      </c>
      <c r="B756" t="s">
        <v>215</v>
      </c>
      <c r="C756" t="s">
        <v>37</v>
      </c>
      <c r="D756">
        <v>26</v>
      </c>
      <c r="E756" t="s">
        <v>18</v>
      </c>
      <c r="F756" t="s">
        <v>19</v>
      </c>
      <c r="G756" t="s">
        <v>28</v>
      </c>
      <c r="H756">
        <v>40000</v>
      </c>
      <c r="I756">
        <v>5</v>
      </c>
      <c r="J756">
        <v>4</v>
      </c>
      <c r="K756">
        <v>3</v>
      </c>
      <c r="L756" t="s">
        <v>29</v>
      </c>
      <c r="M756" t="s">
        <v>29</v>
      </c>
      <c r="N756" t="s">
        <v>22</v>
      </c>
      <c r="O756" t="s">
        <v>75</v>
      </c>
    </row>
    <row r="757" spans="1:15" x14ac:dyDescent="0.3">
      <c r="A757" t="s">
        <v>960</v>
      </c>
      <c r="B757" t="s">
        <v>326</v>
      </c>
      <c r="C757" t="s">
        <v>37</v>
      </c>
      <c r="D757">
        <v>41</v>
      </c>
      <c r="E757" t="s">
        <v>41</v>
      </c>
      <c r="F757" t="s">
        <v>73</v>
      </c>
      <c r="G757" t="s">
        <v>28</v>
      </c>
      <c r="H757">
        <v>108000</v>
      </c>
      <c r="I757">
        <v>3</v>
      </c>
      <c r="J757">
        <v>2</v>
      </c>
      <c r="K757">
        <v>5</v>
      </c>
      <c r="L757" t="s">
        <v>29</v>
      </c>
      <c r="M757" t="s">
        <v>29</v>
      </c>
      <c r="N757" t="s">
        <v>22</v>
      </c>
      <c r="O757" t="s">
        <v>23</v>
      </c>
    </row>
    <row r="758" spans="1:15" x14ac:dyDescent="0.3">
      <c r="A758" t="s">
        <v>961</v>
      </c>
      <c r="B758" t="s">
        <v>284</v>
      </c>
      <c r="C758" t="s">
        <v>17</v>
      </c>
      <c r="D758">
        <v>22</v>
      </c>
      <c r="E758" t="s">
        <v>26</v>
      </c>
      <c r="F758" t="s">
        <v>50</v>
      </c>
      <c r="G758" t="s">
        <v>33</v>
      </c>
      <c r="H758">
        <v>89000</v>
      </c>
      <c r="I758">
        <v>1</v>
      </c>
      <c r="J758">
        <v>2</v>
      </c>
      <c r="K758">
        <v>2</v>
      </c>
      <c r="L758" t="s">
        <v>21</v>
      </c>
      <c r="M758" t="s">
        <v>21</v>
      </c>
      <c r="N758" t="s">
        <v>34</v>
      </c>
      <c r="O758" t="s">
        <v>75</v>
      </c>
    </row>
    <row r="759" spans="1:15" x14ac:dyDescent="0.3">
      <c r="A759" t="s">
        <v>962</v>
      </c>
      <c r="B759" t="s">
        <v>470</v>
      </c>
      <c r="C759" t="s">
        <v>17</v>
      </c>
      <c r="D759">
        <v>25</v>
      </c>
      <c r="E759" t="s">
        <v>18</v>
      </c>
      <c r="F759" t="s">
        <v>126</v>
      </c>
      <c r="G759" t="s">
        <v>28</v>
      </c>
      <c r="H759">
        <v>43000</v>
      </c>
      <c r="I759">
        <v>4</v>
      </c>
      <c r="J759">
        <v>4</v>
      </c>
      <c r="K759">
        <v>1</v>
      </c>
      <c r="L759" t="s">
        <v>21</v>
      </c>
      <c r="M759" t="s">
        <v>21</v>
      </c>
      <c r="N759" t="s">
        <v>34</v>
      </c>
      <c r="O759" t="s">
        <v>54</v>
      </c>
    </row>
    <row r="760" spans="1:15" x14ac:dyDescent="0.3">
      <c r="A760" t="s">
        <v>963</v>
      </c>
      <c r="B760" t="s">
        <v>116</v>
      </c>
      <c r="C760" t="s">
        <v>37</v>
      </c>
      <c r="D760">
        <v>39</v>
      </c>
      <c r="E760" t="s">
        <v>18</v>
      </c>
      <c r="F760" t="s">
        <v>19</v>
      </c>
      <c r="G760" t="s">
        <v>28</v>
      </c>
      <c r="H760">
        <v>48000</v>
      </c>
      <c r="I760">
        <v>12</v>
      </c>
      <c r="J760">
        <v>3</v>
      </c>
      <c r="K760">
        <v>5</v>
      </c>
      <c r="L760" t="s">
        <v>21</v>
      </c>
      <c r="M760" t="s">
        <v>29</v>
      </c>
      <c r="N760" t="s">
        <v>34</v>
      </c>
      <c r="O760" t="s">
        <v>23</v>
      </c>
    </row>
    <row r="761" spans="1:15" x14ac:dyDescent="0.3">
      <c r="A761" t="s">
        <v>964</v>
      </c>
      <c r="B761" t="s">
        <v>543</v>
      </c>
      <c r="C761" t="s">
        <v>37</v>
      </c>
      <c r="D761">
        <v>39</v>
      </c>
      <c r="E761" t="s">
        <v>66</v>
      </c>
      <c r="F761" t="s">
        <v>67</v>
      </c>
      <c r="G761" t="s">
        <v>28</v>
      </c>
      <c r="H761">
        <v>61000</v>
      </c>
      <c r="I761">
        <v>11</v>
      </c>
      <c r="J761">
        <v>3</v>
      </c>
      <c r="K761">
        <v>3</v>
      </c>
      <c r="L761" t="s">
        <v>21</v>
      </c>
      <c r="M761" t="s">
        <v>29</v>
      </c>
      <c r="N761" t="s">
        <v>22</v>
      </c>
      <c r="O761" t="s">
        <v>51</v>
      </c>
    </row>
    <row r="762" spans="1:15" x14ac:dyDescent="0.3">
      <c r="A762" t="s">
        <v>965</v>
      </c>
      <c r="B762" t="s">
        <v>109</v>
      </c>
      <c r="C762" t="s">
        <v>37</v>
      </c>
      <c r="D762">
        <v>52</v>
      </c>
      <c r="E762" t="s">
        <v>57</v>
      </c>
      <c r="F762" t="s">
        <v>27</v>
      </c>
      <c r="G762" t="s">
        <v>33</v>
      </c>
      <c r="H762">
        <v>103000</v>
      </c>
      <c r="I762">
        <v>13</v>
      </c>
      <c r="J762">
        <v>3</v>
      </c>
      <c r="K762">
        <v>2</v>
      </c>
      <c r="L762" t="s">
        <v>21</v>
      </c>
      <c r="M762" t="s">
        <v>21</v>
      </c>
      <c r="N762" t="s">
        <v>34</v>
      </c>
      <c r="O762" t="s">
        <v>38</v>
      </c>
    </row>
    <row r="763" spans="1:15" x14ac:dyDescent="0.3">
      <c r="A763" t="s">
        <v>966</v>
      </c>
      <c r="B763" t="s">
        <v>120</v>
      </c>
      <c r="C763" t="s">
        <v>37</v>
      </c>
      <c r="D763">
        <v>46</v>
      </c>
      <c r="E763" t="s">
        <v>57</v>
      </c>
      <c r="F763" t="s">
        <v>27</v>
      </c>
      <c r="G763" t="s">
        <v>28</v>
      </c>
      <c r="H763">
        <v>31000</v>
      </c>
      <c r="I763">
        <v>10</v>
      </c>
      <c r="J763">
        <v>3</v>
      </c>
      <c r="K763">
        <v>2</v>
      </c>
      <c r="L763" t="s">
        <v>29</v>
      </c>
      <c r="M763" t="s">
        <v>21</v>
      </c>
      <c r="N763" t="s">
        <v>34</v>
      </c>
      <c r="O763" t="s">
        <v>23</v>
      </c>
    </row>
    <row r="764" spans="1:15" x14ac:dyDescent="0.3">
      <c r="A764" t="s">
        <v>967</v>
      </c>
      <c r="B764" t="s">
        <v>302</v>
      </c>
      <c r="C764" t="s">
        <v>17</v>
      </c>
      <c r="D764">
        <v>54</v>
      </c>
      <c r="E764" t="s">
        <v>26</v>
      </c>
      <c r="F764" t="s">
        <v>50</v>
      </c>
      <c r="G764" t="s">
        <v>46</v>
      </c>
      <c r="H764">
        <v>46000</v>
      </c>
      <c r="I764">
        <v>13</v>
      </c>
      <c r="J764">
        <v>4</v>
      </c>
      <c r="K764">
        <v>3</v>
      </c>
      <c r="L764" t="s">
        <v>21</v>
      </c>
      <c r="M764" t="s">
        <v>29</v>
      </c>
      <c r="N764" t="s">
        <v>22</v>
      </c>
      <c r="O764" t="s">
        <v>43</v>
      </c>
    </row>
    <row r="765" spans="1:15" x14ac:dyDescent="0.3">
      <c r="A765" t="s">
        <v>968</v>
      </c>
      <c r="B765" t="s">
        <v>128</v>
      </c>
      <c r="C765" t="s">
        <v>17</v>
      </c>
      <c r="D765">
        <v>36</v>
      </c>
      <c r="E765" t="s">
        <v>57</v>
      </c>
      <c r="F765" t="s">
        <v>27</v>
      </c>
      <c r="G765" t="s">
        <v>46</v>
      </c>
      <c r="H765">
        <v>36000</v>
      </c>
      <c r="I765">
        <v>15</v>
      </c>
      <c r="J765">
        <v>4</v>
      </c>
      <c r="K765">
        <v>2</v>
      </c>
      <c r="L765" t="s">
        <v>21</v>
      </c>
      <c r="M765" t="s">
        <v>21</v>
      </c>
      <c r="N765" t="s">
        <v>34</v>
      </c>
      <c r="O765" t="s">
        <v>70</v>
      </c>
    </row>
    <row r="766" spans="1:15" x14ac:dyDescent="0.3">
      <c r="A766" t="s">
        <v>969</v>
      </c>
      <c r="B766" t="s">
        <v>114</v>
      </c>
      <c r="C766" t="s">
        <v>17</v>
      </c>
      <c r="D766">
        <v>55</v>
      </c>
      <c r="E766" t="s">
        <v>49</v>
      </c>
      <c r="F766" t="s">
        <v>50</v>
      </c>
      <c r="G766" t="s">
        <v>28</v>
      </c>
      <c r="H766">
        <v>119000</v>
      </c>
      <c r="I766">
        <v>9</v>
      </c>
      <c r="J766">
        <v>4</v>
      </c>
      <c r="K766">
        <v>3</v>
      </c>
      <c r="L766" t="s">
        <v>21</v>
      </c>
      <c r="M766" t="s">
        <v>29</v>
      </c>
      <c r="N766" t="s">
        <v>22</v>
      </c>
      <c r="O766" t="s">
        <v>30</v>
      </c>
    </row>
    <row r="767" spans="1:15" x14ac:dyDescent="0.3">
      <c r="A767" t="s">
        <v>970</v>
      </c>
      <c r="B767" t="s">
        <v>168</v>
      </c>
      <c r="C767" t="s">
        <v>17</v>
      </c>
      <c r="D767">
        <v>53</v>
      </c>
      <c r="E767" t="s">
        <v>66</v>
      </c>
      <c r="F767" t="s">
        <v>67</v>
      </c>
      <c r="G767" t="s">
        <v>28</v>
      </c>
      <c r="H767">
        <v>51000</v>
      </c>
      <c r="I767">
        <v>1</v>
      </c>
      <c r="J767">
        <v>4</v>
      </c>
      <c r="K767">
        <v>5</v>
      </c>
      <c r="L767" t="s">
        <v>29</v>
      </c>
      <c r="M767" t="s">
        <v>29</v>
      </c>
      <c r="N767" t="s">
        <v>34</v>
      </c>
      <c r="O767" t="s">
        <v>54</v>
      </c>
    </row>
    <row r="768" spans="1:15" x14ac:dyDescent="0.3">
      <c r="A768" t="s">
        <v>971</v>
      </c>
      <c r="B768" t="s">
        <v>815</v>
      </c>
      <c r="C768" t="s">
        <v>17</v>
      </c>
      <c r="D768">
        <v>24</v>
      </c>
      <c r="E768" t="s">
        <v>66</v>
      </c>
      <c r="F768" t="s">
        <v>67</v>
      </c>
      <c r="G768" t="s">
        <v>28</v>
      </c>
      <c r="H768">
        <v>84000</v>
      </c>
      <c r="I768">
        <v>1</v>
      </c>
      <c r="J768">
        <v>4</v>
      </c>
      <c r="K768">
        <v>1</v>
      </c>
      <c r="L768" t="s">
        <v>21</v>
      </c>
      <c r="M768" t="s">
        <v>21</v>
      </c>
      <c r="N768" t="s">
        <v>34</v>
      </c>
      <c r="O768" t="s">
        <v>70</v>
      </c>
    </row>
    <row r="769" spans="1:15" x14ac:dyDescent="0.3">
      <c r="A769" t="s">
        <v>972</v>
      </c>
      <c r="B769" t="s">
        <v>379</v>
      </c>
      <c r="C769" t="s">
        <v>37</v>
      </c>
      <c r="D769">
        <v>30</v>
      </c>
      <c r="E769" t="s">
        <v>26</v>
      </c>
      <c r="F769" t="s">
        <v>27</v>
      </c>
      <c r="G769" t="s">
        <v>33</v>
      </c>
      <c r="H769">
        <v>96000</v>
      </c>
      <c r="I769">
        <v>1</v>
      </c>
      <c r="J769">
        <v>3</v>
      </c>
      <c r="K769">
        <v>3</v>
      </c>
      <c r="L769" t="s">
        <v>21</v>
      </c>
      <c r="M769" t="s">
        <v>21</v>
      </c>
      <c r="N769" t="s">
        <v>34</v>
      </c>
      <c r="O769" t="s">
        <v>23</v>
      </c>
    </row>
    <row r="770" spans="1:15" x14ac:dyDescent="0.3">
      <c r="A770" t="s">
        <v>973</v>
      </c>
      <c r="B770" t="s">
        <v>88</v>
      </c>
      <c r="C770" t="s">
        <v>17</v>
      </c>
      <c r="D770">
        <v>32</v>
      </c>
      <c r="E770" t="s">
        <v>26</v>
      </c>
      <c r="F770" t="s">
        <v>27</v>
      </c>
      <c r="G770" t="s">
        <v>46</v>
      </c>
      <c r="H770">
        <v>69000</v>
      </c>
      <c r="I770">
        <v>3</v>
      </c>
      <c r="J770">
        <v>2</v>
      </c>
      <c r="K770">
        <v>5</v>
      </c>
      <c r="L770" t="s">
        <v>29</v>
      </c>
      <c r="M770" t="s">
        <v>29</v>
      </c>
      <c r="N770" t="s">
        <v>22</v>
      </c>
      <c r="O770" t="s">
        <v>75</v>
      </c>
    </row>
    <row r="771" spans="1:15" x14ac:dyDescent="0.3">
      <c r="A771" t="s">
        <v>974</v>
      </c>
      <c r="B771" t="s">
        <v>446</v>
      </c>
      <c r="C771" t="s">
        <v>37</v>
      </c>
      <c r="D771">
        <v>41</v>
      </c>
      <c r="E771" t="s">
        <v>18</v>
      </c>
      <c r="F771" t="s">
        <v>19</v>
      </c>
      <c r="G771" t="s">
        <v>46</v>
      </c>
      <c r="H771">
        <v>102000</v>
      </c>
      <c r="I771">
        <v>4</v>
      </c>
      <c r="J771">
        <v>4</v>
      </c>
      <c r="K771">
        <v>2</v>
      </c>
      <c r="L771" t="s">
        <v>21</v>
      </c>
      <c r="M771" t="s">
        <v>21</v>
      </c>
      <c r="N771" t="s">
        <v>34</v>
      </c>
      <c r="O771" t="s">
        <v>54</v>
      </c>
    </row>
    <row r="772" spans="1:15" x14ac:dyDescent="0.3">
      <c r="A772" t="s">
        <v>975</v>
      </c>
      <c r="B772" t="s">
        <v>104</v>
      </c>
      <c r="C772" t="s">
        <v>17</v>
      </c>
      <c r="D772">
        <v>53</v>
      </c>
      <c r="E772" t="s">
        <v>66</v>
      </c>
      <c r="F772" t="s">
        <v>67</v>
      </c>
      <c r="G772" t="s">
        <v>33</v>
      </c>
      <c r="H772">
        <v>32000</v>
      </c>
      <c r="I772">
        <v>8</v>
      </c>
      <c r="J772">
        <v>5</v>
      </c>
      <c r="K772">
        <v>1</v>
      </c>
      <c r="L772" t="s">
        <v>21</v>
      </c>
      <c r="M772" t="s">
        <v>21</v>
      </c>
      <c r="N772" t="s">
        <v>22</v>
      </c>
      <c r="O772" t="s">
        <v>54</v>
      </c>
    </row>
    <row r="773" spans="1:15" x14ac:dyDescent="0.3">
      <c r="A773" t="s">
        <v>976</v>
      </c>
      <c r="B773" t="s">
        <v>40</v>
      </c>
      <c r="C773" t="s">
        <v>17</v>
      </c>
      <c r="D773">
        <v>43</v>
      </c>
      <c r="E773" t="s">
        <v>26</v>
      </c>
      <c r="F773" t="s">
        <v>27</v>
      </c>
      <c r="G773" t="s">
        <v>33</v>
      </c>
      <c r="H773">
        <v>36000</v>
      </c>
      <c r="I773">
        <v>9</v>
      </c>
      <c r="J773">
        <v>3</v>
      </c>
      <c r="K773">
        <v>2</v>
      </c>
      <c r="L773" t="s">
        <v>21</v>
      </c>
      <c r="M773" t="s">
        <v>29</v>
      </c>
      <c r="N773" t="s">
        <v>22</v>
      </c>
      <c r="O773" t="s">
        <v>75</v>
      </c>
    </row>
    <row r="774" spans="1:15" x14ac:dyDescent="0.3">
      <c r="A774" t="s">
        <v>977</v>
      </c>
      <c r="B774" t="s">
        <v>372</v>
      </c>
      <c r="C774" t="s">
        <v>37</v>
      </c>
      <c r="D774">
        <v>32</v>
      </c>
      <c r="E774" t="s">
        <v>66</v>
      </c>
      <c r="F774" t="s">
        <v>82</v>
      </c>
      <c r="G774" t="s">
        <v>46</v>
      </c>
      <c r="H774">
        <v>42000</v>
      </c>
      <c r="I774">
        <v>11</v>
      </c>
      <c r="J774">
        <v>3</v>
      </c>
      <c r="K774">
        <v>3</v>
      </c>
      <c r="L774" t="s">
        <v>29</v>
      </c>
      <c r="M774" t="s">
        <v>29</v>
      </c>
      <c r="N774" t="s">
        <v>22</v>
      </c>
      <c r="O774" t="s">
        <v>75</v>
      </c>
    </row>
    <row r="775" spans="1:15" x14ac:dyDescent="0.3">
      <c r="A775" t="s">
        <v>978</v>
      </c>
      <c r="B775" t="s">
        <v>176</v>
      </c>
      <c r="C775" t="s">
        <v>17</v>
      </c>
      <c r="D775">
        <v>30</v>
      </c>
      <c r="E775" t="s">
        <v>41</v>
      </c>
      <c r="F775" t="s">
        <v>42</v>
      </c>
      <c r="G775" t="s">
        <v>46</v>
      </c>
      <c r="H775">
        <v>32000</v>
      </c>
      <c r="I775">
        <v>9</v>
      </c>
      <c r="J775">
        <v>3</v>
      </c>
      <c r="K775">
        <v>4</v>
      </c>
      <c r="L775" t="s">
        <v>21</v>
      </c>
      <c r="M775" t="s">
        <v>29</v>
      </c>
      <c r="N775" t="s">
        <v>34</v>
      </c>
      <c r="O775" t="s">
        <v>23</v>
      </c>
    </row>
    <row r="776" spans="1:15" x14ac:dyDescent="0.3">
      <c r="A776" t="s">
        <v>979</v>
      </c>
      <c r="B776" t="s">
        <v>61</v>
      </c>
      <c r="C776" t="s">
        <v>17</v>
      </c>
      <c r="D776">
        <v>50</v>
      </c>
      <c r="E776" t="s">
        <v>49</v>
      </c>
      <c r="F776" t="s">
        <v>27</v>
      </c>
      <c r="G776" t="s">
        <v>20</v>
      </c>
      <c r="H776">
        <v>32000</v>
      </c>
      <c r="I776">
        <v>1</v>
      </c>
      <c r="J776">
        <v>5</v>
      </c>
      <c r="K776">
        <v>1</v>
      </c>
      <c r="L776" t="s">
        <v>29</v>
      </c>
      <c r="M776" t="s">
        <v>29</v>
      </c>
      <c r="N776" t="s">
        <v>34</v>
      </c>
      <c r="O776" t="s">
        <v>30</v>
      </c>
    </row>
    <row r="777" spans="1:15" x14ac:dyDescent="0.3">
      <c r="A777" t="s">
        <v>980</v>
      </c>
      <c r="B777" t="s">
        <v>98</v>
      </c>
      <c r="C777" t="s">
        <v>17</v>
      </c>
      <c r="D777">
        <v>52</v>
      </c>
      <c r="E777" t="s">
        <v>26</v>
      </c>
      <c r="F777" t="s">
        <v>50</v>
      </c>
      <c r="G777" t="s">
        <v>28</v>
      </c>
      <c r="H777">
        <v>70000</v>
      </c>
      <c r="I777">
        <v>1</v>
      </c>
      <c r="J777">
        <v>4</v>
      </c>
      <c r="K777">
        <v>4</v>
      </c>
      <c r="L777" t="s">
        <v>21</v>
      </c>
      <c r="M777" t="s">
        <v>29</v>
      </c>
      <c r="N777" t="s">
        <v>34</v>
      </c>
      <c r="O777" t="s">
        <v>43</v>
      </c>
    </row>
    <row r="778" spans="1:15" x14ac:dyDescent="0.3">
      <c r="A778" t="s">
        <v>981</v>
      </c>
      <c r="B778" t="s">
        <v>86</v>
      </c>
      <c r="C778" t="s">
        <v>37</v>
      </c>
      <c r="D778">
        <v>38</v>
      </c>
      <c r="E778" t="s">
        <v>49</v>
      </c>
      <c r="F778" t="s">
        <v>50</v>
      </c>
      <c r="G778" t="s">
        <v>20</v>
      </c>
      <c r="H778">
        <v>100000</v>
      </c>
      <c r="I778">
        <v>16</v>
      </c>
      <c r="J778">
        <v>2</v>
      </c>
      <c r="K778">
        <v>2</v>
      </c>
      <c r="L778" t="s">
        <v>21</v>
      </c>
      <c r="M778" t="s">
        <v>29</v>
      </c>
      <c r="N778" t="s">
        <v>22</v>
      </c>
      <c r="O778" t="s">
        <v>43</v>
      </c>
    </row>
    <row r="779" spans="1:15" x14ac:dyDescent="0.3">
      <c r="A779" t="s">
        <v>982</v>
      </c>
      <c r="B779" t="s">
        <v>63</v>
      </c>
      <c r="C779" t="s">
        <v>17</v>
      </c>
      <c r="D779">
        <v>52</v>
      </c>
      <c r="E779" t="s">
        <v>26</v>
      </c>
      <c r="F779" t="s">
        <v>50</v>
      </c>
      <c r="G779" t="s">
        <v>33</v>
      </c>
      <c r="H779">
        <v>63000</v>
      </c>
      <c r="I779">
        <v>7</v>
      </c>
      <c r="J779">
        <v>5</v>
      </c>
      <c r="K779">
        <v>4</v>
      </c>
      <c r="L779" t="s">
        <v>21</v>
      </c>
      <c r="M779" t="s">
        <v>29</v>
      </c>
      <c r="N779" t="s">
        <v>22</v>
      </c>
      <c r="O779" t="s">
        <v>23</v>
      </c>
    </row>
    <row r="780" spans="1:15" x14ac:dyDescent="0.3">
      <c r="A780" t="s">
        <v>983</v>
      </c>
      <c r="B780" t="s">
        <v>414</v>
      </c>
      <c r="C780" t="s">
        <v>17</v>
      </c>
      <c r="D780">
        <v>52</v>
      </c>
      <c r="E780" t="s">
        <v>41</v>
      </c>
      <c r="F780" t="s">
        <v>42</v>
      </c>
      <c r="G780" t="s">
        <v>28</v>
      </c>
      <c r="H780">
        <v>28000</v>
      </c>
      <c r="I780">
        <v>3</v>
      </c>
      <c r="J780">
        <v>5</v>
      </c>
      <c r="K780">
        <v>3</v>
      </c>
      <c r="L780" t="s">
        <v>21</v>
      </c>
      <c r="M780" t="s">
        <v>29</v>
      </c>
      <c r="N780" t="s">
        <v>22</v>
      </c>
      <c r="O780" t="s">
        <v>38</v>
      </c>
    </row>
    <row r="781" spans="1:15" x14ac:dyDescent="0.3">
      <c r="A781" t="s">
        <v>984</v>
      </c>
      <c r="B781" t="s">
        <v>328</v>
      </c>
      <c r="C781" t="s">
        <v>17</v>
      </c>
      <c r="D781">
        <v>36</v>
      </c>
      <c r="E781" t="s">
        <v>57</v>
      </c>
      <c r="F781" t="s">
        <v>27</v>
      </c>
      <c r="G781" t="s">
        <v>28</v>
      </c>
      <c r="H781">
        <v>40000</v>
      </c>
      <c r="I781">
        <v>11</v>
      </c>
      <c r="J781">
        <v>5</v>
      </c>
      <c r="K781">
        <v>2</v>
      </c>
      <c r="L781" t="s">
        <v>21</v>
      </c>
      <c r="M781" t="s">
        <v>21</v>
      </c>
      <c r="N781" t="s">
        <v>34</v>
      </c>
      <c r="O781" t="s">
        <v>75</v>
      </c>
    </row>
    <row r="782" spans="1:15" x14ac:dyDescent="0.3">
      <c r="A782" t="s">
        <v>985</v>
      </c>
      <c r="B782" t="s">
        <v>625</v>
      </c>
      <c r="C782" t="s">
        <v>17</v>
      </c>
      <c r="D782">
        <v>35</v>
      </c>
      <c r="E782" t="s">
        <v>57</v>
      </c>
      <c r="F782" t="s">
        <v>50</v>
      </c>
      <c r="G782" t="s">
        <v>33</v>
      </c>
      <c r="H782">
        <v>50000</v>
      </c>
      <c r="I782">
        <v>14</v>
      </c>
      <c r="J782">
        <v>3</v>
      </c>
      <c r="K782">
        <v>3</v>
      </c>
      <c r="L782" t="s">
        <v>29</v>
      </c>
      <c r="M782" t="s">
        <v>29</v>
      </c>
      <c r="N782" t="s">
        <v>34</v>
      </c>
      <c r="O782" t="s">
        <v>30</v>
      </c>
    </row>
    <row r="783" spans="1:15" x14ac:dyDescent="0.3">
      <c r="A783" t="s">
        <v>986</v>
      </c>
      <c r="B783" t="s">
        <v>92</v>
      </c>
      <c r="C783" t="s">
        <v>37</v>
      </c>
      <c r="D783">
        <v>49</v>
      </c>
      <c r="E783" t="s">
        <v>49</v>
      </c>
      <c r="F783" t="s">
        <v>27</v>
      </c>
      <c r="G783" t="s">
        <v>28</v>
      </c>
      <c r="H783">
        <v>115000</v>
      </c>
      <c r="I783">
        <v>2</v>
      </c>
      <c r="J783">
        <v>3</v>
      </c>
      <c r="K783">
        <v>4</v>
      </c>
      <c r="L783" t="s">
        <v>21</v>
      </c>
      <c r="M783" t="s">
        <v>29</v>
      </c>
      <c r="N783" t="s">
        <v>34</v>
      </c>
      <c r="O783" t="s">
        <v>51</v>
      </c>
    </row>
    <row r="784" spans="1:15" x14ac:dyDescent="0.3">
      <c r="A784" t="s">
        <v>987</v>
      </c>
      <c r="B784" t="s">
        <v>92</v>
      </c>
      <c r="C784" t="s">
        <v>17</v>
      </c>
      <c r="D784">
        <v>33</v>
      </c>
      <c r="E784" t="s">
        <v>66</v>
      </c>
      <c r="F784" t="s">
        <v>82</v>
      </c>
      <c r="G784" t="s">
        <v>33</v>
      </c>
      <c r="H784">
        <v>39000</v>
      </c>
      <c r="I784">
        <v>4</v>
      </c>
      <c r="J784">
        <v>4</v>
      </c>
      <c r="K784">
        <v>2</v>
      </c>
      <c r="L784" t="s">
        <v>29</v>
      </c>
      <c r="M784" t="s">
        <v>29</v>
      </c>
      <c r="N784" t="s">
        <v>34</v>
      </c>
      <c r="O784" t="s">
        <v>70</v>
      </c>
    </row>
    <row r="785" spans="1:15" x14ac:dyDescent="0.3">
      <c r="A785" t="s">
        <v>988</v>
      </c>
      <c r="B785" t="s">
        <v>132</v>
      </c>
      <c r="C785" t="s">
        <v>17</v>
      </c>
      <c r="D785">
        <v>44</v>
      </c>
      <c r="E785" t="s">
        <v>41</v>
      </c>
      <c r="F785" t="s">
        <v>42</v>
      </c>
      <c r="G785" t="s">
        <v>20</v>
      </c>
      <c r="H785">
        <v>74000</v>
      </c>
      <c r="I785">
        <v>7</v>
      </c>
      <c r="J785">
        <v>2</v>
      </c>
      <c r="K785">
        <v>5</v>
      </c>
      <c r="L785" t="s">
        <v>29</v>
      </c>
      <c r="M785" t="s">
        <v>29</v>
      </c>
      <c r="N785" t="s">
        <v>34</v>
      </c>
      <c r="O785" t="s">
        <v>23</v>
      </c>
    </row>
    <row r="786" spans="1:15" x14ac:dyDescent="0.3">
      <c r="A786" t="s">
        <v>989</v>
      </c>
      <c r="B786" t="s">
        <v>221</v>
      </c>
      <c r="C786" t="s">
        <v>37</v>
      </c>
      <c r="D786">
        <v>22</v>
      </c>
      <c r="E786" t="s">
        <v>57</v>
      </c>
      <c r="F786" t="s">
        <v>27</v>
      </c>
      <c r="G786" t="s">
        <v>46</v>
      </c>
      <c r="H786">
        <v>27000</v>
      </c>
      <c r="I786">
        <v>1</v>
      </c>
      <c r="J786">
        <v>3</v>
      </c>
      <c r="K786">
        <v>4</v>
      </c>
      <c r="L786" t="s">
        <v>29</v>
      </c>
      <c r="M786" t="s">
        <v>29</v>
      </c>
      <c r="N786" t="s">
        <v>34</v>
      </c>
      <c r="O786" t="s">
        <v>51</v>
      </c>
    </row>
    <row r="787" spans="1:15" x14ac:dyDescent="0.3">
      <c r="A787" t="s">
        <v>990</v>
      </c>
      <c r="B787" t="s">
        <v>328</v>
      </c>
      <c r="C787" t="s">
        <v>37</v>
      </c>
      <c r="D787">
        <v>54</v>
      </c>
      <c r="E787" t="s">
        <v>18</v>
      </c>
      <c r="F787" t="s">
        <v>126</v>
      </c>
      <c r="G787" t="s">
        <v>20</v>
      </c>
      <c r="H787">
        <v>94000</v>
      </c>
      <c r="I787">
        <v>14</v>
      </c>
      <c r="J787">
        <v>2</v>
      </c>
      <c r="K787">
        <v>2</v>
      </c>
      <c r="L787" t="s">
        <v>29</v>
      </c>
      <c r="M787" t="s">
        <v>29</v>
      </c>
      <c r="N787" t="s">
        <v>22</v>
      </c>
      <c r="O787" t="s">
        <v>30</v>
      </c>
    </row>
    <row r="788" spans="1:15" x14ac:dyDescent="0.3">
      <c r="A788" t="s">
        <v>991</v>
      </c>
      <c r="B788" t="s">
        <v>118</v>
      </c>
      <c r="C788" t="s">
        <v>17</v>
      </c>
      <c r="D788">
        <v>46</v>
      </c>
      <c r="E788" t="s">
        <v>57</v>
      </c>
      <c r="F788" t="s">
        <v>50</v>
      </c>
      <c r="G788" t="s">
        <v>33</v>
      </c>
      <c r="H788">
        <v>83000</v>
      </c>
      <c r="I788">
        <v>18</v>
      </c>
      <c r="J788">
        <v>4</v>
      </c>
      <c r="K788">
        <v>5</v>
      </c>
      <c r="L788" t="s">
        <v>21</v>
      </c>
      <c r="M788" t="s">
        <v>29</v>
      </c>
      <c r="N788" t="s">
        <v>22</v>
      </c>
      <c r="O788" t="s">
        <v>30</v>
      </c>
    </row>
    <row r="789" spans="1:15" x14ac:dyDescent="0.3">
      <c r="A789" t="s">
        <v>992</v>
      </c>
      <c r="B789" t="s">
        <v>149</v>
      </c>
      <c r="C789" t="s">
        <v>37</v>
      </c>
      <c r="D789">
        <v>33</v>
      </c>
      <c r="E789" t="s">
        <v>18</v>
      </c>
      <c r="F789" t="s">
        <v>126</v>
      </c>
      <c r="G789" t="s">
        <v>46</v>
      </c>
      <c r="H789">
        <v>62000</v>
      </c>
      <c r="I789">
        <v>8</v>
      </c>
      <c r="J789">
        <v>5</v>
      </c>
      <c r="K789">
        <v>5</v>
      </c>
      <c r="L789" t="s">
        <v>29</v>
      </c>
      <c r="M789" t="s">
        <v>29</v>
      </c>
      <c r="N789" t="s">
        <v>34</v>
      </c>
      <c r="O789" t="s">
        <v>43</v>
      </c>
    </row>
    <row r="790" spans="1:15" x14ac:dyDescent="0.3">
      <c r="A790" t="s">
        <v>993</v>
      </c>
      <c r="B790" t="s">
        <v>625</v>
      </c>
      <c r="C790" t="s">
        <v>17</v>
      </c>
      <c r="D790">
        <v>36</v>
      </c>
      <c r="E790" t="s">
        <v>18</v>
      </c>
      <c r="F790" t="s">
        <v>126</v>
      </c>
      <c r="G790" t="s">
        <v>20</v>
      </c>
      <c r="H790">
        <v>120000</v>
      </c>
      <c r="I790">
        <v>0</v>
      </c>
      <c r="J790">
        <v>2</v>
      </c>
      <c r="K790">
        <v>5</v>
      </c>
      <c r="L790" t="s">
        <v>21</v>
      </c>
      <c r="M790" t="s">
        <v>29</v>
      </c>
      <c r="N790" t="s">
        <v>22</v>
      </c>
      <c r="O790" t="s">
        <v>70</v>
      </c>
    </row>
    <row r="791" spans="1:15" x14ac:dyDescent="0.3">
      <c r="A791" t="s">
        <v>994</v>
      </c>
      <c r="B791" t="s">
        <v>56</v>
      </c>
      <c r="C791" t="s">
        <v>37</v>
      </c>
      <c r="D791">
        <v>35</v>
      </c>
      <c r="E791" t="s">
        <v>26</v>
      </c>
      <c r="F791" t="s">
        <v>27</v>
      </c>
      <c r="G791" t="s">
        <v>28</v>
      </c>
      <c r="H791">
        <v>93000</v>
      </c>
      <c r="I791">
        <v>10</v>
      </c>
      <c r="J791">
        <v>4</v>
      </c>
      <c r="K791">
        <v>3</v>
      </c>
      <c r="L791" t="s">
        <v>29</v>
      </c>
      <c r="M791" t="s">
        <v>29</v>
      </c>
      <c r="N791" t="s">
        <v>34</v>
      </c>
      <c r="O791" t="s">
        <v>51</v>
      </c>
    </row>
    <row r="792" spans="1:15" x14ac:dyDescent="0.3">
      <c r="A792" t="s">
        <v>995</v>
      </c>
      <c r="B792" t="s">
        <v>98</v>
      </c>
      <c r="C792" t="s">
        <v>17</v>
      </c>
      <c r="D792">
        <v>24</v>
      </c>
      <c r="E792" t="s">
        <v>41</v>
      </c>
      <c r="F792" t="s">
        <v>42</v>
      </c>
      <c r="G792" t="s">
        <v>33</v>
      </c>
      <c r="H792">
        <v>120000</v>
      </c>
      <c r="I792">
        <v>3</v>
      </c>
      <c r="J792">
        <v>4</v>
      </c>
      <c r="K792">
        <v>3</v>
      </c>
      <c r="L792" t="s">
        <v>29</v>
      </c>
      <c r="M792" t="s">
        <v>21</v>
      </c>
      <c r="N792" t="s">
        <v>22</v>
      </c>
      <c r="O792" t="s">
        <v>75</v>
      </c>
    </row>
    <row r="793" spans="1:15" x14ac:dyDescent="0.3">
      <c r="A793" t="s">
        <v>996</v>
      </c>
      <c r="B793" t="s">
        <v>314</v>
      </c>
      <c r="C793" t="s">
        <v>17</v>
      </c>
      <c r="D793">
        <v>33</v>
      </c>
      <c r="E793" t="s">
        <v>49</v>
      </c>
      <c r="F793" t="s">
        <v>27</v>
      </c>
      <c r="G793" t="s">
        <v>33</v>
      </c>
      <c r="H793">
        <v>32000</v>
      </c>
      <c r="I793">
        <v>12</v>
      </c>
      <c r="J793">
        <v>3</v>
      </c>
      <c r="K793">
        <v>4</v>
      </c>
      <c r="L793" t="s">
        <v>29</v>
      </c>
      <c r="M793" t="s">
        <v>29</v>
      </c>
      <c r="N793" t="s">
        <v>22</v>
      </c>
      <c r="O793" t="s">
        <v>43</v>
      </c>
    </row>
    <row r="794" spans="1:15" x14ac:dyDescent="0.3">
      <c r="A794" t="s">
        <v>997</v>
      </c>
      <c r="B794" t="s">
        <v>116</v>
      </c>
      <c r="C794" t="s">
        <v>37</v>
      </c>
      <c r="D794">
        <v>55</v>
      </c>
      <c r="E794" t="s">
        <v>66</v>
      </c>
      <c r="F794" t="s">
        <v>82</v>
      </c>
      <c r="G794" t="s">
        <v>20</v>
      </c>
      <c r="H794">
        <v>50000</v>
      </c>
      <c r="I794">
        <v>8</v>
      </c>
      <c r="J794">
        <v>5</v>
      </c>
      <c r="K794">
        <v>1</v>
      </c>
      <c r="L794" t="s">
        <v>29</v>
      </c>
      <c r="M794" t="s">
        <v>29</v>
      </c>
      <c r="N794" t="s">
        <v>22</v>
      </c>
      <c r="O794" t="s">
        <v>75</v>
      </c>
    </row>
    <row r="795" spans="1:15" x14ac:dyDescent="0.3">
      <c r="A795" t="s">
        <v>998</v>
      </c>
      <c r="B795" t="s">
        <v>302</v>
      </c>
      <c r="C795" t="s">
        <v>37</v>
      </c>
      <c r="D795">
        <v>28</v>
      </c>
      <c r="E795" t="s">
        <v>18</v>
      </c>
      <c r="F795" t="s">
        <v>19</v>
      </c>
      <c r="G795" t="s">
        <v>46</v>
      </c>
      <c r="H795">
        <v>45000</v>
      </c>
      <c r="I795">
        <v>0</v>
      </c>
      <c r="J795">
        <v>2</v>
      </c>
      <c r="K795">
        <v>4</v>
      </c>
      <c r="L795" t="s">
        <v>29</v>
      </c>
      <c r="M795" t="s">
        <v>29</v>
      </c>
      <c r="N795" t="s">
        <v>22</v>
      </c>
      <c r="O795" t="s">
        <v>23</v>
      </c>
    </row>
    <row r="796" spans="1:15" x14ac:dyDescent="0.3">
      <c r="A796" t="s">
        <v>999</v>
      </c>
      <c r="B796" t="s">
        <v>179</v>
      </c>
      <c r="C796" t="s">
        <v>17</v>
      </c>
      <c r="D796">
        <v>39</v>
      </c>
      <c r="E796" t="s">
        <v>49</v>
      </c>
      <c r="F796" t="s">
        <v>50</v>
      </c>
      <c r="G796" t="s">
        <v>20</v>
      </c>
      <c r="H796">
        <v>34000</v>
      </c>
      <c r="I796">
        <v>9</v>
      </c>
      <c r="J796">
        <v>2</v>
      </c>
      <c r="K796">
        <v>1</v>
      </c>
      <c r="L796" t="s">
        <v>29</v>
      </c>
      <c r="M796" t="s">
        <v>29</v>
      </c>
      <c r="N796" t="s">
        <v>34</v>
      </c>
      <c r="O796" t="s">
        <v>54</v>
      </c>
    </row>
    <row r="797" spans="1:15" x14ac:dyDescent="0.3">
      <c r="A797" t="s">
        <v>1000</v>
      </c>
      <c r="B797" t="s">
        <v>394</v>
      </c>
      <c r="C797" t="s">
        <v>17</v>
      </c>
      <c r="D797">
        <v>34</v>
      </c>
      <c r="E797" t="s">
        <v>18</v>
      </c>
      <c r="F797" t="s">
        <v>19</v>
      </c>
      <c r="G797" t="s">
        <v>46</v>
      </c>
      <c r="H797">
        <v>50000</v>
      </c>
      <c r="I797">
        <v>1</v>
      </c>
      <c r="J797">
        <v>3</v>
      </c>
      <c r="K797">
        <v>5</v>
      </c>
      <c r="L797" t="s">
        <v>29</v>
      </c>
      <c r="M797" t="s">
        <v>29</v>
      </c>
      <c r="N797" t="s">
        <v>22</v>
      </c>
      <c r="O797" t="s">
        <v>30</v>
      </c>
    </row>
    <row r="798" spans="1:15" x14ac:dyDescent="0.3">
      <c r="A798" t="s">
        <v>1001</v>
      </c>
      <c r="B798" t="s">
        <v>543</v>
      </c>
      <c r="C798" t="s">
        <v>37</v>
      </c>
      <c r="D798">
        <v>45</v>
      </c>
      <c r="E798" t="s">
        <v>18</v>
      </c>
      <c r="F798" t="s">
        <v>126</v>
      </c>
      <c r="G798" t="s">
        <v>28</v>
      </c>
      <c r="H798">
        <v>65000</v>
      </c>
      <c r="I798">
        <v>11</v>
      </c>
      <c r="J798">
        <v>5</v>
      </c>
      <c r="K798">
        <v>5</v>
      </c>
      <c r="L798" t="s">
        <v>29</v>
      </c>
      <c r="M798" t="s">
        <v>29</v>
      </c>
      <c r="N798" t="s">
        <v>22</v>
      </c>
      <c r="O798" t="s">
        <v>43</v>
      </c>
    </row>
    <row r="799" spans="1:15" x14ac:dyDescent="0.3">
      <c r="A799" t="s">
        <v>1002</v>
      </c>
      <c r="B799" t="s">
        <v>203</v>
      </c>
      <c r="C799" t="s">
        <v>17</v>
      </c>
      <c r="D799">
        <v>31</v>
      </c>
      <c r="E799" t="s">
        <v>18</v>
      </c>
      <c r="F799" t="s">
        <v>126</v>
      </c>
      <c r="G799" t="s">
        <v>28</v>
      </c>
      <c r="H799">
        <v>93000</v>
      </c>
      <c r="I799">
        <v>10</v>
      </c>
      <c r="J799">
        <v>5</v>
      </c>
      <c r="K799">
        <v>5</v>
      </c>
      <c r="L799" t="s">
        <v>29</v>
      </c>
      <c r="M799" t="s">
        <v>29</v>
      </c>
      <c r="N799" t="s">
        <v>34</v>
      </c>
      <c r="O799" t="s">
        <v>23</v>
      </c>
    </row>
    <row r="800" spans="1:15" x14ac:dyDescent="0.3">
      <c r="A800" t="s">
        <v>1003</v>
      </c>
      <c r="B800" t="s">
        <v>160</v>
      </c>
      <c r="C800" t="s">
        <v>37</v>
      </c>
      <c r="D800">
        <v>22</v>
      </c>
      <c r="E800" t="s">
        <v>26</v>
      </c>
      <c r="F800" t="s">
        <v>50</v>
      </c>
      <c r="G800" t="s">
        <v>33</v>
      </c>
      <c r="H800">
        <v>96000</v>
      </c>
      <c r="I800">
        <v>1</v>
      </c>
      <c r="J800">
        <v>4</v>
      </c>
      <c r="K800">
        <v>4</v>
      </c>
      <c r="L800" t="s">
        <v>21</v>
      </c>
      <c r="M800" t="s">
        <v>29</v>
      </c>
      <c r="N800" t="s">
        <v>34</v>
      </c>
      <c r="O800" t="s">
        <v>51</v>
      </c>
    </row>
    <row r="801" spans="1:15" x14ac:dyDescent="0.3">
      <c r="A801" t="s">
        <v>1004</v>
      </c>
      <c r="B801" t="s">
        <v>109</v>
      </c>
      <c r="C801" t="s">
        <v>37</v>
      </c>
      <c r="D801">
        <v>25</v>
      </c>
      <c r="E801" t="s">
        <v>18</v>
      </c>
      <c r="F801" t="s">
        <v>19</v>
      </c>
      <c r="G801" t="s">
        <v>46</v>
      </c>
      <c r="H801">
        <v>44000</v>
      </c>
      <c r="I801">
        <v>4</v>
      </c>
      <c r="J801">
        <v>4</v>
      </c>
      <c r="K801">
        <v>2</v>
      </c>
      <c r="L801" t="s">
        <v>21</v>
      </c>
      <c r="M801" t="s">
        <v>21</v>
      </c>
      <c r="N801" t="s">
        <v>34</v>
      </c>
      <c r="O801" t="s">
        <v>75</v>
      </c>
    </row>
    <row r="802" spans="1:15" x14ac:dyDescent="0.3">
      <c r="A802" t="s">
        <v>1005</v>
      </c>
      <c r="B802" t="s">
        <v>63</v>
      </c>
      <c r="C802" t="s">
        <v>37</v>
      </c>
      <c r="D802">
        <v>51</v>
      </c>
      <c r="E802" t="s">
        <v>26</v>
      </c>
      <c r="F802" t="s">
        <v>50</v>
      </c>
      <c r="G802" t="s">
        <v>20</v>
      </c>
      <c r="H802">
        <v>75000</v>
      </c>
      <c r="I802">
        <v>2</v>
      </c>
      <c r="J802">
        <v>5</v>
      </c>
      <c r="K802">
        <v>5</v>
      </c>
      <c r="L802" t="s">
        <v>29</v>
      </c>
      <c r="M802" t="s">
        <v>29</v>
      </c>
      <c r="N802" t="s">
        <v>34</v>
      </c>
      <c r="O802" t="s">
        <v>70</v>
      </c>
    </row>
    <row r="803" spans="1:15" x14ac:dyDescent="0.3">
      <c r="A803" t="s">
        <v>1006</v>
      </c>
      <c r="B803" t="s">
        <v>207</v>
      </c>
      <c r="C803" t="s">
        <v>37</v>
      </c>
      <c r="D803">
        <v>23</v>
      </c>
      <c r="E803" t="s">
        <v>66</v>
      </c>
      <c r="F803" t="s">
        <v>67</v>
      </c>
      <c r="G803" t="s">
        <v>33</v>
      </c>
      <c r="H803">
        <v>91000</v>
      </c>
      <c r="I803">
        <v>2</v>
      </c>
      <c r="J803">
        <v>4</v>
      </c>
      <c r="K803">
        <v>5</v>
      </c>
      <c r="L803" t="s">
        <v>21</v>
      </c>
      <c r="M803" t="s">
        <v>29</v>
      </c>
      <c r="N803" t="s">
        <v>34</v>
      </c>
      <c r="O803" t="s">
        <v>23</v>
      </c>
    </row>
    <row r="804" spans="1:15" x14ac:dyDescent="0.3">
      <c r="A804" t="s">
        <v>1007</v>
      </c>
      <c r="B804" t="s">
        <v>128</v>
      </c>
      <c r="C804" t="s">
        <v>37</v>
      </c>
      <c r="D804">
        <v>40</v>
      </c>
      <c r="E804" t="s">
        <v>57</v>
      </c>
      <c r="F804" t="s">
        <v>50</v>
      </c>
      <c r="G804" t="s">
        <v>46</v>
      </c>
      <c r="H804">
        <v>112000</v>
      </c>
      <c r="I804">
        <v>13</v>
      </c>
      <c r="J804">
        <v>3</v>
      </c>
      <c r="K804">
        <v>5</v>
      </c>
      <c r="L804" t="s">
        <v>29</v>
      </c>
      <c r="M804" t="s">
        <v>29</v>
      </c>
      <c r="N804" t="s">
        <v>22</v>
      </c>
      <c r="O804" t="s">
        <v>54</v>
      </c>
    </row>
    <row r="805" spans="1:15" x14ac:dyDescent="0.3">
      <c r="A805" t="s">
        <v>1008</v>
      </c>
      <c r="B805" t="s">
        <v>132</v>
      </c>
      <c r="C805" t="s">
        <v>37</v>
      </c>
      <c r="D805">
        <v>45</v>
      </c>
      <c r="E805" t="s">
        <v>18</v>
      </c>
      <c r="F805" t="s">
        <v>19</v>
      </c>
      <c r="G805" t="s">
        <v>46</v>
      </c>
      <c r="H805">
        <v>35000</v>
      </c>
      <c r="I805">
        <v>7</v>
      </c>
      <c r="J805">
        <v>2</v>
      </c>
      <c r="K805">
        <v>1</v>
      </c>
      <c r="L805" t="s">
        <v>21</v>
      </c>
      <c r="M805" t="s">
        <v>21</v>
      </c>
      <c r="N805" t="s">
        <v>34</v>
      </c>
      <c r="O805" t="s">
        <v>70</v>
      </c>
    </row>
    <row r="806" spans="1:15" x14ac:dyDescent="0.3">
      <c r="A806" t="s">
        <v>1009</v>
      </c>
      <c r="B806" t="s">
        <v>53</v>
      </c>
      <c r="C806" t="s">
        <v>37</v>
      </c>
      <c r="D806">
        <v>50</v>
      </c>
      <c r="E806" t="s">
        <v>66</v>
      </c>
      <c r="F806" t="s">
        <v>82</v>
      </c>
      <c r="G806" t="s">
        <v>46</v>
      </c>
      <c r="H806">
        <v>88000</v>
      </c>
      <c r="I806">
        <v>5</v>
      </c>
      <c r="J806">
        <v>4</v>
      </c>
      <c r="K806">
        <v>1</v>
      </c>
      <c r="L806" t="s">
        <v>29</v>
      </c>
      <c r="M806" t="s">
        <v>29</v>
      </c>
      <c r="N806" t="s">
        <v>34</v>
      </c>
      <c r="O806" t="s">
        <v>75</v>
      </c>
    </row>
    <row r="807" spans="1:15" x14ac:dyDescent="0.3">
      <c r="A807" t="s">
        <v>1010</v>
      </c>
      <c r="B807" t="s">
        <v>372</v>
      </c>
      <c r="C807" t="s">
        <v>17</v>
      </c>
      <c r="D807">
        <v>34</v>
      </c>
      <c r="E807" t="s">
        <v>57</v>
      </c>
      <c r="F807" t="s">
        <v>50</v>
      </c>
      <c r="G807" t="s">
        <v>20</v>
      </c>
      <c r="H807">
        <v>52000</v>
      </c>
      <c r="I807">
        <v>5</v>
      </c>
      <c r="J807">
        <v>2</v>
      </c>
      <c r="K807">
        <v>2</v>
      </c>
      <c r="L807" t="s">
        <v>21</v>
      </c>
      <c r="M807" t="s">
        <v>29</v>
      </c>
      <c r="N807" t="s">
        <v>34</v>
      </c>
      <c r="O807" t="s">
        <v>51</v>
      </c>
    </row>
    <row r="808" spans="1:15" x14ac:dyDescent="0.3">
      <c r="A808" t="s">
        <v>1011</v>
      </c>
      <c r="B808" t="s">
        <v>454</v>
      </c>
      <c r="C808" t="s">
        <v>37</v>
      </c>
      <c r="D808">
        <v>49</v>
      </c>
      <c r="E808" t="s">
        <v>49</v>
      </c>
      <c r="F808" t="s">
        <v>27</v>
      </c>
      <c r="G808" t="s">
        <v>28</v>
      </c>
      <c r="H808">
        <v>98000</v>
      </c>
      <c r="I808">
        <v>20</v>
      </c>
      <c r="J808">
        <v>4</v>
      </c>
      <c r="K808">
        <v>4</v>
      </c>
      <c r="L808" t="s">
        <v>21</v>
      </c>
      <c r="M808" t="s">
        <v>29</v>
      </c>
      <c r="N808" t="s">
        <v>22</v>
      </c>
      <c r="O808" t="s">
        <v>23</v>
      </c>
    </row>
    <row r="809" spans="1:15" x14ac:dyDescent="0.3">
      <c r="A809" t="s">
        <v>1012</v>
      </c>
      <c r="B809" t="s">
        <v>497</v>
      </c>
      <c r="C809" t="s">
        <v>37</v>
      </c>
      <c r="D809">
        <v>27</v>
      </c>
      <c r="E809" t="s">
        <v>41</v>
      </c>
      <c r="F809" t="s">
        <v>42</v>
      </c>
      <c r="G809" t="s">
        <v>46</v>
      </c>
      <c r="H809">
        <v>47000</v>
      </c>
      <c r="I809">
        <v>6</v>
      </c>
      <c r="J809">
        <v>4</v>
      </c>
      <c r="K809">
        <v>5</v>
      </c>
      <c r="L809" t="s">
        <v>29</v>
      </c>
      <c r="M809" t="s">
        <v>29</v>
      </c>
      <c r="N809" t="s">
        <v>22</v>
      </c>
      <c r="O809" t="s">
        <v>43</v>
      </c>
    </row>
    <row r="810" spans="1:15" x14ac:dyDescent="0.3">
      <c r="A810" t="s">
        <v>1013</v>
      </c>
      <c r="B810" t="s">
        <v>238</v>
      </c>
      <c r="C810" t="s">
        <v>17</v>
      </c>
      <c r="D810">
        <v>54</v>
      </c>
      <c r="E810" t="s">
        <v>41</v>
      </c>
      <c r="F810" t="s">
        <v>42</v>
      </c>
      <c r="G810" t="s">
        <v>20</v>
      </c>
      <c r="H810">
        <v>28000</v>
      </c>
      <c r="I810">
        <v>5</v>
      </c>
      <c r="J810">
        <v>5</v>
      </c>
      <c r="K810">
        <v>5</v>
      </c>
      <c r="L810" t="s">
        <v>29</v>
      </c>
      <c r="M810" t="s">
        <v>29</v>
      </c>
      <c r="N810" t="s">
        <v>22</v>
      </c>
      <c r="O810" t="s">
        <v>51</v>
      </c>
    </row>
    <row r="811" spans="1:15" x14ac:dyDescent="0.3">
      <c r="A811" t="s">
        <v>1014</v>
      </c>
      <c r="B811" t="s">
        <v>259</v>
      </c>
      <c r="C811" t="s">
        <v>17</v>
      </c>
      <c r="D811">
        <v>49</v>
      </c>
      <c r="E811" t="s">
        <v>18</v>
      </c>
      <c r="F811" t="s">
        <v>19</v>
      </c>
      <c r="G811" t="s">
        <v>28</v>
      </c>
      <c r="H811">
        <v>88000</v>
      </c>
      <c r="I811">
        <v>15</v>
      </c>
      <c r="J811">
        <v>3</v>
      </c>
      <c r="K811">
        <v>4</v>
      </c>
      <c r="L811" t="s">
        <v>29</v>
      </c>
      <c r="M811" t="s">
        <v>29</v>
      </c>
      <c r="N811" t="s">
        <v>34</v>
      </c>
      <c r="O811" t="s">
        <v>54</v>
      </c>
    </row>
    <row r="812" spans="1:15" x14ac:dyDescent="0.3">
      <c r="A812" t="s">
        <v>1015</v>
      </c>
      <c r="B812" t="s">
        <v>476</v>
      </c>
      <c r="C812" t="s">
        <v>17</v>
      </c>
      <c r="D812">
        <v>50</v>
      </c>
      <c r="E812" t="s">
        <v>57</v>
      </c>
      <c r="F812" t="s">
        <v>27</v>
      </c>
      <c r="G812" t="s">
        <v>33</v>
      </c>
      <c r="H812">
        <v>46000</v>
      </c>
      <c r="I812">
        <v>4</v>
      </c>
      <c r="J812">
        <v>4</v>
      </c>
      <c r="K812">
        <v>4</v>
      </c>
      <c r="L812" t="s">
        <v>21</v>
      </c>
      <c r="M812" t="s">
        <v>29</v>
      </c>
      <c r="N812" t="s">
        <v>22</v>
      </c>
      <c r="O812" t="s">
        <v>70</v>
      </c>
    </row>
    <row r="813" spans="1:15" x14ac:dyDescent="0.3">
      <c r="A813" t="s">
        <v>1016</v>
      </c>
      <c r="B813" t="s">
        <v>116</v>
      </c>
      <c r="C813" t="s">
        <v>37</v>
      </c>
      <c r="D813">
        <v>55</v>
      </c>
      <c r="E813" t="s">
        <v>26</v>
      </c>
      <c r="F813" t="s">
        <v>27</v>
      </c>
      <c r="G813" t="s">
        <v>33</v>
      </c>
      <c r="H813">
        <v>57000</v>
      </c>
      <c r="I813">
        <v>9</v>
      </c>
      <c r="J813">
        <v>2</v>
      </c>
      <c r="K813">
        <v>3</v>
      </c>
      <c r="L813" t="s">
        <v>29</v>
      </c>
      <c r="M813" t="s">
        <v>29</v>
      </c>
      <c r="N813" t="s">
        <v>22</v>
      </c>
      <c r="O813" t="s">
        <v>70</v>
      </c>
    </row>
    <row r="814" spans="1:15" x14ac:dyDescent="0.3">
      <c r="A814" t="s">
        <v>1017</v>
      </c>
      <c r="B814" t="s">
        <v>96</v>
      </c>
      <c r="C814" t="s">
        <v>37</v>
      </c>
      <c r="D814">
        <v>53</v>
      </c>
      <c r="E814" t="s">
        <v>26</v>
      </c>
      <c r="F814" t="s">
        <v>27</v>
      </c>
      <c r="G814" t="s">
        <v>33</v>
      </c>
      <c r="H814">
        <v>27000</v>
      </c>
      <c r="I814">
        <v>5</v>
      </c>
      <c r="J814">
        <v>5</v>
      </c>
      <c r="K814">
        <v>3</v>
      </c>
      <c r="L814" t="s">
        <v>29</v>
      </c>
      <c r="M814" t="s">
        <v>29</v>
      </c>
      <c r="N814" t="s">
        <v>34</v>
      </c>
      <c r="O814" t="s">
        <v>70</v>
      </c>
    </row>
    <row r="815" spans="1:15" x14ac:dyDescent="0.3">
      <c r="A815" t="s">
        <v>1018</v>
      </c>
      <c r="B815" t="s">
        <v>328</v>
      </c>
      <c r="C815" t="s">
        <v>37</v>
      </c>
      <c r="D815">
        <v>22</v>
      </c>
      <c r="E815" t="s">
        <v>26</v>
      </c>
      <c r="F815" t="s">
        <v>50</v>
      </c>
      <c r="G815" t="s">
        <v>20</v>
      </c>
      <c r="H815">
        <v>52000</v>
      </c>
      <c r="I815">
        <v>1</v>
      </c>
      <c r="J815">
        <v>3</v>
      </c>
      <c r="K815">
        <v>2</v>
      </c>
      <c r="L815" t="s">
        <v>29</v>
      </c>
      <c r="M815" t="s">
        <v>29</v>
      </c>
      <c r="N815" t="s">
        <v>22</v>
      </c>
      <c r="O815" t="s">
        <v>75</v>
      </c>
    </row>
    <row r="816" spans="1:15" x14ac:dyDescent="0.3">
      <c r="A816" t="s">
        <v>1019</v>
      </c>
      <c r="B816" t="s">
        <v>229</v>
      </c>
      <c r="C816" t="s">
        <v>37</v>
      </c>
      <c r="D816">
        <v>39</v>
      </c>
      <c r="E816" t="s">
        <v>41</v>
      </c>
      <c r="F816" t="s">
        <v>73</v>
      </c>
      <c r="G816" t="s">
        <v>33</v>
      </c>
      <c r="H816">
        <v>98000</v>
      </c>
      <c r="I816">
        <v>18</v>
      </c>
      <c r="J816">
        <v>3</v>
      </c>
      <c r="K816">
        <v>1</v>
      </c>
      <c r="L816" t="s">
        <v>29</v>
      </c>
      <c r="M816" t="s">
        <v>29</v>
      </c>
      <c r="N816" t="s">
        <v>22</v>
      </c>
      <c r="O816" t="s">
        <v>23</v>
      </c>
    </row>
    <row r="817" spans="1:15" x14ac:dyDescent="0.3">
      <c r="A817" t="s">
        <v>1020</v>
      </c>
      <c r="B817" t="s">
        <v>225</v>
      </c>
      <c r="C817" t="s">
        <v>37</v>
      </c>
      <c r="D817">
        <v>47</v>
      </c>
      <c r="E817" t="s">
        <v>26</v>
      </c>
      <c r="F817" t="s">
        <v>50</v>
      </c>
      <c r="G817" t="s">
        <v>20</v>
      </c>
      <c r="H817">
        <v>118000</v>
      </c>
      <c r="I817">
        <v>9</v>
      </c>
      <c r="J817">
        <v>2</v>
      </c>
      <c r="K817">
        <v>4</v>
      </c>
      <c r="L817" t="s">
        <v>29</v>
      </c>
      <c r="M817" t="s">
        <v>29</v>
      </c>
      <c r="N817" t="s">
        <v>22</v>
      </c>
      <c r="O817" t="s">
        <v>38</v>
      </c>
    </row>
    <row r="818" spans="1:15" x14ac:dyDescent="0.3">
      <c r="A818" t="s">
        <v>1021</v>
      </c>
      <c r="B818" t="s">
        <v>267</v>
      </c>
      <c r="C818" t="s">
        <v>17</v>
      </c>
      <c r="D818">
        <v>39</v>
      </c>
      <c r="E818" t="s">
        <v>41</v>
      </c>
      <c r="F818" t="s">
        <v>42</v>
      </c>
      <c r="G818" t="s">
        <v>33</v>
      </c>
      <c r="H818">
        <v>92000</v>
      </c>
      <c r="I818">
        <v>6</v>
      </c>
      <c r="J818">
        <v>3</v>
      </c>
      <c r="K818">
        <v>1</v>
      </c>
      <c r="L818" t="s">
        <v>29</v>
      </c>
      <c r="M818" t="s">
        <v>29</v>
      </c>
      <c r="N818" t="s">
        <v>22</v>
      </c>
      <c r="O818" t="s">
        <v>43</v>
      </c>
    </row>
    <row r="819" spans="1:15" x14ac:dyDescent="0.3">
      <c r="A819" t="s">
        <v>1022</v>
      </c>
      <c r="B819" t="s">
        <v>273</v>
      </c>
      <c r="C819" t="s">
        <v>37</v>
      </c>
      <c r="D819">
        <v>45</v>
      </c>
      <c r="E819" t="s">
        <v>57</v>
      </c>
      <c r="F819" t="s">
        <v>27</v>
      </c>
      <c r="G819" t="s">
        <v>28</v>
      </c>
      <c r="H819">
        <v>111000</v>
      </c>
      <c r="I819">
        <v>17</v>
      </c>
      <c r="J819">
        <v>2</v>
      </c>
      <c r="K819">
        <v>4</v>
      </c>
      <c r="L819" t="s">
        <v>21</v>
      </c>
      <c r="M819" t="s">
        <v>29</v>
      </c>
      <c r="N819" t="s">
        <v>22</v>
      </c>
      <c r="O819" t="s">
        <v>30</v>
      </c>
    </row>
    <row r="820" spans="1:15" x14ac:dyDescent="0.3">
      <c r="A820" t="s">
        <v>1023</v>
      </c>
      <c r="B820" t="s">
        <v>625</v>
      </c>
      <c r="C820" t="s">
        <v>37</v>
      </c>
      <c r="D820">
        <v>45</v>
      </c>
      <c r="E820" t="s">
        <v>26</v>
      </c>
      <c r="F820" t="s">
        <v>27</v>
      </c>
      <c r="G820" t="s">
        <v>46</v>
      </c>
      <c r="H820">
        <v>95000</v>
      </c>
      <c r="I820">
        <v>8</v>
      </c>
      <c r="J820">
        <v>2</v>
      </c>
      <c r="K820">
        <v>5</v>
      </c>
      <c r="L820" t="s">
        <v>21</v>
      </c>
      <c r="M820" t="s">
        <v>29</v>
      </c>
      <c r="N820" t="s">
        <v>22</v>
      </c>
      <c r="O820" t="s">
        <v>51</v>
      </c>
    </row>
    <row r="821" spans="1:15" x14ac:dyDescent="0.3">
      <c r="A821" t="s">
        <v>1024</v>
      </c>
      <c r="B821" t="s">
        <v>199</v>
      </c>
      <c r="C821" t="s">
        <v>37</v>
      </c>
      <c r="D821">
        <v>43</v>
      </c>
      <c r="E821" t="s">
        <v>66</v>
      </c>
      <c r="F821" t="s">
        <v>67</v>
      </c>
      <c r="G821" t="s">
        <v>28</v>
      </c>
      <c r="H821">
        <v>72000</v>
      </c>
      <c r="I821">
        <v>10</v>
      </c>
      <c r="J821">
        <v>2</v>
      </c>
      <c r="K821">
        <v>3</v>
      </c>
      <c r="L821" t="s">
        <v>29</v>
      </c>
      <c r="M821" t="s">
        <v>29</v>
      </c>
      <c r="N821" t="s">
        <v>22</v>
      </c>
      <c r="O821" t="s">
        <v>75</v>
      </c>
    </row>
    <row r="822" spans="1:15" x14ac:dyDescent="0.3">
      <c r="A822" t="s">
        <v>1025</v>
      </c>
      <c r="B822" t="s">
        <v>114</v>
      </c>
      <c r="C822" t="s">
        <v>17</v>
      </c>
      <c r="D822">
        <v>35</v>
      </c>
      <c r="E822" t="s">
        <v>18</v>
      </c>
      <c r="F822" t="s">
        <v>126</v>
      </c>
      <c r="G822" t="s">
        <v>33</v>
      </c>
      <c r="H822">
        <v>28000</v>
      </c>
      <c r="I822">
        <v>13</v>
      </c>
      <c r="J822">
        <v>4</v>
      </c>
      <c r="K822">
        <v>3</v>
      </c>
      <c r="L822" t="s">
        <v>21</v>
      </c>
      <c r="M822" t="s">
        <v>29</v>
      </c>
      <c r="N822" t="s">
        <v>34</v>
      </c>
      <c r="O822" t="s">
        <v>43</v>
      </c>
    </row>
    <row r="823" spans="1:15" x14ac:dyDescent="0.3">
      <c r="A823" t="s">
        <v>1026</v>
      </c>
      <c r="B823" t="s">
        <v>259</v>
      </c>
      <c r="C823" t="s">
        <v>17</v>
      </c>
      <c r="D823">
        <v>52</v>
      </c>
      <c r="E823" t="s">
        <v>49</v>
      </c>
      <c r="F823" t="s">
        <v>50</v>
      </c>
      <c r="G823" t="s">
        <v>20</v>
      </c>
      <c r="H823">
        <v>76000</v>
      </c>
      <c r="I823">
        <v>7</v>
      </c>
      <c r="J823">
        <v>4</v>
      </c>
      <c r="K823">
        <v>1</v>
      </c>
      <c r="L823" t="s">
        <v>21</v>
      </c>
      <c r="M823" t="s">
        <v>21</v>
      </c>
      <c r="N823" t="s">
        <v>34</v>
      </c>
      <c r="O823" t="s">
        <v>75</v>
      </c>
    </row>
    <row r="824" spans="1:15" x14ac:dyDescent="0.3">
      <c r="A824" t="s">
        <v>1027</v>
      </c>
      <c r="B824" t="s">
        <v>125</v>
      </c>
      <c r="C824" t="s">
        <v>17</v>
      </c>
      <c r="D824">
        <v>30</v>
      </c>
      <c r="E824" t="s">
        <v>66</v>
      </c>
      <c r="F824" t="s">
        <v>82</v>
      </c>
      <c r="G824" t="s">
        <v>20</v>
      </c>
      <c r="H824">
        <v>108000</v>
      </c>
      <c r="I824">
        <v>5</v>
      </c>
      <c r="J824">
        <v>3</v>
      </c>
      <c r="K824">
        <v>2</v>
      </c>
      <c r="L824" t="s">
        <v>21</v>
      </c>
      <c r="M824" t="s">
        <v>21</v>
      </c>
      <c r="N824" t="s">
        <v>34</v>
      </c>
      <c r="O824" t="s">
        <v>54</v>
      </c>
    </row>
    <row r="825" spans="1:15" x14ac:dyDescent="0.3">
      <c r="A825" t="s">
        <v>1028</v>
      </c>
      <c r="B825" t="s">
        <v>151</v>
      </c>
      <c r="C825" t="s">
        <v>37</v>
      </c>
      <c r="D825">
        <v>22</v>
      </c>
      <c r="E825" t="s">
        <v>49</v>
      </c>
      <c r="F825" t="s">
        <v>50</v>
      </c>
      <c r="G825" t="s">
        <v>20</v>
      </c>
      <c r="H825">
        <v>32000</v>
      </c>
      <c r="I825">
        <v>1</v>
      </c>
      <c r="J825">
        <v>5</v>
      </c>
      <c r="K825">
        <v>1</v>
      </c>
      <c r="L825" t="s">
        <v>29</v>
      </c>
      <c r="M825" t="s">
        <v>29</v>
      </c>
      <c r="N825" t="s">
        <v>34</v>
      </c>
      <c r="O825" t="s">
        <v>43</v>
      </c>
    </row>
    <row r="826" spans="1:15" x14ac:dyDescent="0.3">
      <c r="A826" t="s">
        <v>1029</v>
      </c>
      <c r="B826" t="s">
        <v>486</v>
      </c>
      <c r="C826" t="s">
        <v>37</v>
      </c>
      <c r="D826">
        <v>30</v>
      </c>
      <c r="E826" t="s">
        <v>26</v>
      </c>
      <c r="F826" t="s">
        <v>50</v>
      </c>
      <c r="G826" t="s">
        <v>28</v>
      </c>
      <c r="H826">
        <v>59000</v>
      </c>
      <c r="I826">
        <v>9</v>
      </c>
      <c r="J826">
        <v>2</v>
      </c>
      <c r="K826">
        <v>3</v>
      </c>
      <c r="L826" t="s">
        <v>21</v>
      </c>
      <c r="M826" t="s">
        <v>29</v>
      </c>
      <c r="N826" t="s">
        <v>34</v>
      </c>
      <c r="O826" t="s">
        <v>54</v>
      </c>
    </row>
    <row r="827" spans="1:15" x14ac:dyDescent="0.3">
      <c r="A827" t="s">
        <v>1030</v>
      </c>
      <c r="B827" t="s">
        <v>149</v>
      </c>
      <c r="C827" t="s">
        <v>37</v>
      </c>
      <c r="D827">
        <v>46</v>
      </c>
      <c r="E827" t="s">
        <v>18</v>
      </c>
      <c r="F827" t="s">
        <v>126</v>
      </c>
      <c r="G827" t="s">
        <v>33</v>
      </c>
      <c r="H827">
        <v>77000</v>
      </c>
      <c r="I827">
        <v>17</v>
      </c>
      <c r="J827">
        <v>4</v>
      </c>
      <c r="K827">
        <v>3</v>
      </c>
      <c r="L827" t="s">
        <v>21</v>
      </c>
      <c r="M827" t="s">
        <v>29</v>
      </c>
      <c r="N827" t="s">
        <v>34</v>
      </c>
      <c r="O827" t="s">
        <v>54</v>
      </c>
    </row>
    <row r="828" spans="1:15" x14ac:dyDescent="0.3">
      <c r="A828" t="s">
        <v>1031</v>
      </c>
      <c r="B828" t="s">
        <v>125</v>
      </c>
      <c r="C828" t="s">
        <v>17</v>
      </c>
      <c r="D828">
        <v>33</v>
      </c>
      <c r="E828" t="s">
        <v>18</v>
      </c>
      <c r="F828" t="s">
        <v>126</v>
      </c>
      <c r="G828" t="s">
        <v>28</v>
      </c>
      <c r="H828">
        <v>67000</v>
      </c>
      <c r="I828">
        <v>12</v>
      </c>
      <c r="J828">
        <v>3</v>
      </c>
      <c r="K828">
        <v>5</v>
      </c>
      <c r="L828" t="s">
        <v>21</v>
      </c>
      <c r="M828" t="s">
        <v>29</v>
      </c>
      <c r="N828" t="s">
        <v>22</v>
      </c>
      <c r="O828" t="s">
        <v>75</v>
      </c>
    </row>
    <row r="829" spans="1:15" x14ac:dyDescent="0.3">
      <c r="A829" t="s">
        <v>1032</v>
      </c>
      <c r="B829" t="s">
        <v>118</v>
      </c>
      <c r="C829" t="s">
        <v>17</v>
      </c>
      <c r="D829">
        <v>34</v>
      </c>
      <c r="E829" t="s">
        <v>26</v>
      </c>
      <c r="F829" t="s">
        <v>27</v>
      </c>
      <c r="G829" t="s">
        <v>33</v>
      </c>
      <c r="H829">
        <v>69000</v>
      </c>
      <c r="I829">
        <v>13</v>
      </c>
      <c r="J829">
        <v>3</v>
      </c>
      <c r="K829">
        <v>2</v>
      </c>
      <c r="L829" t="s">
        <v>21</v>
      </c>
      <c r="M829" t="s">
        <v>21</v>
      </c>
      <c r="N829" t="s">
        <v>34</v>
      </c>
      <c r="O829" t="s">
        <v>23</v>
      </c>
    </row>
    <row r="830" spans="1:15" x14ac:dyDescent="0.3">
      <c r="A830" t="s">
        <v>1033</v>
      </c>
      <c r="B830" t="s">
        <v>164</v>
      </c>
      <c r="C830" t="s">
        <v>17</v>
      </c>
      <c r="D830">
        <v>50</v>
      </c>
      <c r="E830" t="s">
        <v>49</v>
      </c>
      <c r="F830" t="s">
        <v>27</v>
      </c>
      <c r="G830" t="s">
        <v>46</v>
      </c>
      <c r="H830">
        <v>80000</v>
      </c>
      <c r="I830">
        <v>19</v>
      </c>
      <c r="J830">
        <v>3</v>
      </c>
      <c r="K830">
        <v>3</v>
      </c>
      <c r="L830" t="s">
        <v>29</v>
      </c>
      <c r="M830" t="s">
        <v>29</v>
      </c>
      <c r="N830" t="s">
        <v>22</v>
      </c>
      <c r="O830" t="s">
        <v>75</v>
      </c>
    </row>
    <row r="831" spans="1:15" x14ac:dyDescent="0.3">
      <c r="A831" t="s">
        <v>1034</v>
      </c>
      <c r="B831" t="s">
        <v>84</v>
      </c>
      <c r="C831" t="s">
        <v>17</v>
      </c>
      <c r="D831">
        <v>54</v>
      </c>
      <c r="E831" t="s">
        <v>18</v>
      </c>
      <c r="F831" t="s">
        <v>126</v>
      </c>
      <c r="G831" t="s">
        <v>20</v>
      </c>
      <c r="H831">
        <v>50000</v>
      </c>
      <c r="I831">
        <v>8</v>
      </c>
      <c r="J831">
        <v>5</v>
      </c>
      <c r="K831">
        <v>2</v>
      </c>
      <c r="L831" t="s">
        <v>21</v>
      </c>
      <c r="M831" t="s">
        <v>21</v>
      </c>
      <c r="N831" t="s">
        <v>22</v>
      </c>
      <c r="O831" t="s">
        <v>51</v>
      </c>
    </row>
    <row r="832" spans="1:15" x14ac:dyDescent="0.3">
      <c r="A832" t="s">
        <v>1035</v>
      </c>
      <c r="B832" t="s">
        <v>259</v>
      </c>
      <c r="C832" t="s">
        <v>37</v>
      </c>
      <c r="D832">
        <v>23</v>
      </c>
      <c r="E832" t="s">
        <v>41</v>
      </c>
      <c r="F832" t="s">
        <v>73</v>
      </c>
      <c r="G832" t="s">
        <v>33</v>
      </c>
      <c r="H832">
        <v>48000</v>
      </c>
      <c r="I832">
        <v>2</v>
      </c>
      <c r="J832">
        <v>3</v>
      </c>
      <c r="K832">
        <v>2</v>
      </c>
      <c r="L832" t="s">
        <v>21</v>
      </c>
      <c r="M832" t="s">
        <v>21</v>
      </c>
      <c r="N832" t="s">
        <v>34</v>
      </c>
      <c r="O832" t="s">
        <v>43</v>
      </c>
    </row>
    <row r="833" spans="1:15" x14ac:dyDescent="0.3">
      <c r="A833" t="s">
        <v>1036</v>
      </c>
      <c r="B833" t="s">
        <v>302</v>
      </c>
      <c r="C833" t="s">
        <v>17</v>
      </c>
      <c r="D833">
        <v>53</v>
      </c>
      <c r="E833" t="s">
        <v>26</v>
      </c>
      <c r="F833" t="s">
        <v>27</v>
      </c>
      <c r="G833" t="s">
        <v>28</v>
      </c>
      <c r="H833">
        <v>116000</v>
      </c>
      <c r="I833">
        <v>12</v>
      </c>
      <c r="J833">
        <v>4</v>
      </c>
      <c r="K833">
        <v>3</v>
      </c>
      <c r="L833" t="s">
        <v>29</v>
      </c>
      <c r="M833" t="s">
        <v>29</v>
      </c>
      <c r="N833" t="s">
        <v>34</v>
      </c>
      <c r="O833" t="s">
        <v>51</v>
      </c>
    </row>
    <row r="834" spans="1:15" x14ac:dyDescent="0.3">
      <c r="A834" t="s">
        <v>1037</v>
      </c>
      <c r="B834" t="s">
        <v>273</v>
      </c>
      <c r="C834" t="s">
        <v>37</v>
      </c>
      <c r="D834">
        <v>28</v>
      </c>
      <c r="E834" t="s">
        <v>66</v>
      </c>
      <c r="F834" t="s">
        <v>82</v>
      </c>
      <c r="G834" t="s">
        <v>33</v>
      </c>
      <c r="H834">
        <v>79000</v>
      </c>
      <c r="I834">
        <v>7</v>
      </c>
      <c r="J834">
        <v>2</v>
      </c>
      <c r="K834">
        <v>3</v>
      </c>
      <c r="L834" t="s">
        <v>21</v>
      </c>
      <c r="M834" t="s">
        <v>29</v>
      </c>
      <c r="N834" t="s">
        <v>22</v>
      </c>
      <c r="O834" t="s">
        <v>51</v>
      </c>
    </row>
    <row r="835" spans="1:15" x14ac:dyDescent="0.3">
      <c r="A835" t="s">
        <v>1038</v>
      </c>
      <c r="B835" t="s">
        <v>249</v>
      </c>
      <c r="C835" t="s">
        <v>37</v>
      </c>
      <c r="D835">
        <v>27</v>
      </c>
      <c r="E835" t="s">
        <v>26</v>
      </c>
      <c r="F835" t="s">
        <v>27</v>
      </c>
      <c r="G835" t="s">
        <v>20</v>
      </c>
      <c r="H835">
        <v>66000</v>
      </c>
      <c r="I835">
        <v>6</v>
      </c>
      <c r="J835">
        <v>3</v>
      </c>
      <c r="K835">
        <v>4</v>
      </c>
      <c r="L835" t="s">
        <v>29</v>
      </c>
      <c r="M835" t="s">
        <v>29</v>
      </c>
      <c r="N835" t="s">
        <v>22</v>
      </c>
      <c r="O835" t="s">
        <v>30</v>
      </c>
    </row>
    <row r="836" spans="1:15" x14ac:dyDescent="0.3">
      <c r="A836" t="s">
        <v>1039</v>
      </c>
      <c r="B836" t="s">
        <v>535</v>
      </c>
      <c r="C836" t="s">
        <v>17</v>
      </c>
      <c r="D836">
        <v>28</v>
      </c>
      <c r="E836" t="s">
        <v>18</v>
      </c>
      <c r="F836" t="s">
        <v>19</v>
      </c>
      <c r="G836" t="s">
        <v>33</v>
      </c>
      <c r="H836">
        <v>39000</v>
      </c>
      <c r="I836">
        <v>7</v>
      </c>
      <c r="J836">
        <v>2</v>
      </c>
      <c r="K836">
        <v>3</v>
      </c>
      <c r="L836" t="s">
        <v>21</v>
      </c>
      <c r="M836" t="s">
        <v>29</v>
      </c>
      <c r="N836" t="s">
        <v>22</v>
      </c>
      <c r="O836" t="s">
        <v>30</v>
      </c>
    </row>
    <row r="837" spans="1:15" x14ac:dyDescent="0.3">
      <c r="A837" t="s">
        <v>1040</v>
      </c>
      <c r="B837" t="s">
        <v>246</v>
      </c>
      <c r="C837" t="s">
        <v>17</v>
      </c>
      <c r="D837">
        <v>32</v>
      </c>
      <c r="E837" t="s">
        <v>49</v>
      </c>
      <c r="F837" t="s">
        <v>27</v>
      </c>
      <c r="G837" t="s">
        <v>46</v>
      </c>
      <c r="H837">
        <v>117000</v>
      </c>
      <c r="I837">
        <v>10</v>
      </c>
      <c r="J837">
        <v>5</v>
      </c>
      <c r="K837">
        <v>5</v>
      </c>
      <c r="L837" t="s">
        <v>21</v>
      </c>
      <c r="M837" t="s">
        <v>29</v>
      </c>
      <c r="N837" t="s">
        <v>22</v>
      </c>
      <c r="O837" t="s">
        <v>23</v>
      </c>
    </row>
    <row r="838" spans="1:15" x14ac:dyDescent="0.3">
      <c r="A838" t="s">
        <v>1041</v>
      </c>
      <c r="B838" t="s">
        <v>308</v>
      </c>
      <c r="C838" t="s">
        <v>17</v>
      </c>
      <c r="D838">
        <v>27</v>
      </c>
      <c r="E838" t="s">
        <v>41</v>
      </c>
      <c r="F838" t="s">
        <v>73</v>
      </c>
      <c r="G838" t="s">
        <v>20</v>
      </c>
      <c r="H838">
        <v>31000</v>
      </c>
      <c r="I838">
        <v>6</v>
      </c>
      <c r="J838">
        <v>5</v>
      </c>
      <c r="K838">
        <v>5</v>
      </c>
      <c r="L838" t="s">
        <v>21</v>
      </c>
      <c r="M838" t="s">
        <v>29</v>
      </c>
      <c r="N838" t="s">
        <v>34</v>
      </c>
      <c r="O838" t="s">
        <v>70</v>
      </c>
    </row>
    <row r="839" spans="1:15" x14ac:dyDescent="0.3">
      <c r="A839" t="s">
        <v>1042</v>
      </c>
      <c r="B839" t="s">
        <v>265</v>
      </c>
      <c r="C839" t="s">
        <v>37</v>
      </c>
      <c r="D839">
        <v>22</v>
      </c>
      <c r="E839" t="s">
        <v>57</v>
      </c>
      <c r="F839" t="s">
        <v>50</v>
      </c>
      <c r="G839" t="s">
        <v>46</v>
      </c>
      <c r="H839">
        <v>36000</v>
      </c>
      <c r="I839">
        <v>1</v>
      </c>
      <c r="J839">
        <v>4</v>
      </c>
      <c r="K839">
        <v>3</v>
      </c>
      <c r="L839" t="s">
        <v>21</v>
      </c>
      <c r="M839" t="s">
        <v>29</v>
      </c>
      <c r="N839" t="s">
        <v>34</v>
      </c>
      <c r="O839" t="s">
        <v>43</v>
      </c>
    </row>
    <row r="840" spans="1:15" x14ac:dyDescent="0.3">
      <c r="A840" t="s">
        <v>1043</v>
      </c>
      <c r="B840" t="s">
        <v>486</v>
      </c>
      <c r="C840" t="s">
        <v>17</v>
      </c>
      <c r="D840">
        <v>53</v>
      </c>
      <c r="E840" t="s">
        <v>18</v>
      </c>
      <c r="F840" t="s">
        <v>126</v>
      </c>
      <c r="G840" t="s">
        <v>28</v>
      </c>
      <c r="H840">
        <v>85000</v>
      </c>
      <c r="I840">
        <v>12</v>
      </c>
      <c r="J840">
        <v>3</v>
      </c>
      <c r="K840">
        <v>5</v>
      </c>
      <c r="L840" t="s">
        <v>29</v>
      </c>
      <c r="M840" t="s">
        <v>29</v>
      </c>
      <c r="N840" t="s">
        <v>22</v>
      </c>
      <c r="O840" t="s">
        <v>75</v>
      </c>
    </row>
    <row r="841" spans="1:15" x14ac:dyDescent="0.3">
      <c r="A841" t="s">
        <v>1044</v>
      </c>
      <c r="B841" t="s">
        <v>300</v>
      </c>
      <c r="C841" t="s">
        <v>17</v>
      </c>
      <c r="D841">
        <v>51</v>
      </c>
      <c r="E841" t="s">
        <v>49</v>
      </c>
      <c r="F841" t="s">
        <v>50</v>
      </c>
      <c r="G841" t="s">
        <v>33</v>
      </c>
      <c r="H841">
        <v>110000</v>
      </c>
      <c r="I841">
        <v>8</v>
      </c>
      <c r="J841">
        <v>4</v>
      </c>
      <c r="K841">
        <v>3</v>
      </c>
      <c r="L841" t="s">
        <v>29</v>
      </c>
      <c r="M841" t="s">
        <v>29</v>
      </c>
      <c r="N841" t="s">
        <v>22</v>
      </c>
      <c r="O841" t="s">
        <v>70</v>
      </c>
    </row>
    <row r="842" spans="1:15" x14ac:dyDescent="0.3">
      <c r="A842" t="s">
        <v>1045</v>
      </c>
      <c r="B842" t="s">
        <v>61</v>
      </c>
      <c r="C842" t="s">
        <v>17</v>
      </c>
      <c r="D842">
        <v>28</v>
      </c>
      <c r="E842" t="s">
        <v>18</v>
      </c>
      <c r="F842" t="s">
        <v>19</v>
      </c>
      <c r="G842" t="s">
        <v>46</v>
      </c>
      <c r="H842">
        <v>109000</v>
      </c>
      <c r="I842">
        <v>7</v>
      </c>
      <c r="J842">
        <v>2</v>
      </c>
      <c r="K842">
        <v>3</v>
      </c>
      <c r="L842" t="s">
        <v>29</v>
      </c>
      <c r="M842" t="s">
        <v>29</v>
      </c>
      <c r="N842" t="s">
        <v>34</v>
      </c>
      <c r="O842" t="s">
        <v>54</v>
      </c>
    </row>
    <row r="843" spans="1:15" x14ac:dyDescent="0.3">
      <c r="A843" t="s">
        <v>1046</v>
      </c>
      <c r="B843" t="s">
        <v>314</v>
      </c>
      <c r="C843" t="s">
        <v>17</v>
      </c>
      <c r="D843">
        <v>28</v>
      </c>
      <c r="E843" t="s">
        <v>66</v>
      </c>
      <c r="F843" t="s">
        <v>82</v>
      </c>
      <c r="G843" t="s">
        <v>28</v>
      </c>
      <c r="H843">
        <v>50000</v>
      </c>
      <c r="I843">
        <v>0</v>
      </c>
      <c r="J843">
        <v>3</v>
      </c>
      <c r="K843">
        <v>2</v>
      </c>
      <c r="L843" t="s">
        <v>29</v>
      </c>
      <c r="M843" t="s">
        <v>29</v>
      </c>
      <c r="N843" t="s">
        <v>22</v>
      </c>
      <c r="O843" t="s">
        <v>43</v>
      </c>
    </row>
    <row r="844" spans="1:15" x14ac:dyDescent="0.3">
      <c r="A844" t="s">
        <v>1047</v>
      </c>
      <c r="B844" t="s">
        <v>360</v>
      </c>
      <c r="C844" t="s">
        <v>37</v>
      </c>
      <c r="D844">
        <v>48</v>
      </c>
      <c r="E844" t="s">
        <v>49</v>
      </c>
      <c r="F844" t="s">
        <v>50</v>
      </c>
      <c r="G844" t="s">
        <v>46</v>
      </c>
      <c r="H844">
        <v>110000</v>
      </c>
      <c r="I844">
        <v>18</v>
      </c>
      <c r="J844">
        <v>4</v>
      </c>
      <c r="K844">
        <v>3</v>
      </c>
      <c r="L844" t="s">
        <v>29</v>
      </c>
      <c r="M844" t="s">
        <v>29</v>
      </c>
      <c r="N844" t="s">
        <v>22</v>
      </c>
      <c r="O844" t="s">
        <v>75</v>
      </c>
    </row>
    <row r="845" spans="1:15" x14ac:dyDescent="0.3">
      <c r="A845" t="s">
        <v>1048</v>
      </c>
      <c r="B845" t="s">
        <v>186</v>
      </c>
      <c r="C845" t="s">
        <v>37</v>
      </c>
      <c r="D845">
        <v>24</v>
      </c>
      <c r="E845" t="s">
        <v>41</v>
      </c>
      <c r="F845" t="s">
        <v>73</v>
      </c>
      <c r="G845" t="s">
        <v>46</v>
      </c>
      <c r="H845">
        <v>34000</v>
      </c>
      <c r="I845">
        <v>3</v>
      </c>
      <c r="J845">
        <v>3</v>
      </c>
      <c r="K845">
        <v>1</v>
      </c>
      <c r="L845" t="s">
        <v>21</v>
      </c>
      <c r="M845" t="s">
        <v>29</v>
      </c>
      <c r="N845" t="s">
        <v>22</v>
      </c>
      <c r="O845" t="s">
        <v>70</v>
      </c>
    </row>
    <row r="846" spans="1:15" x14ac:dyDescent="0.3">
      <c r="A846" t="s">
        <v>1049</v>
      </c>
      <c r="B846" t="s">
        <v>84</v>
      </c>
      <c r="C846" t="s">
        <v>17</v>
      </c>
      <c r="D846">
        <v>30</v>
      </c>
      <c r="E846" t="s">
        <v>49</v>
      </c>
      <c r="F846" t="s">
        <v>27</v>
      </c>
      <c r="G846" t="s">
        <v>33</v>
      </c>
      <c r="H846">
        <v>43000</v>
      </c>
      <c r="I846">
        <v>9</v>
      </c>
      <c r="J846">
        <v>3</v>
      </c>
      <c r="K846">
        <v>2</v>
      </c>
      <c r="L846" t="s">
        <v>29</v>
      </c>
      <c r="M846" t="s">
        <v>29</v>
      </c>
      <c r="N846" t="s">
        <v>22</v>
      </c>
      <c r="O846" t="s">
        <v>43</v>
      </c>
    </row>
    <row r="847" spans="1:15" x14ac:dyDescent="0.3">
      <c r="A847" t="s">
        <v>1050</v>
      </c>
      <c r="B847" t="s">
        <v>40</v>
      </c>
      <c r="C847" t="s">
        <v>17</v>
      </c>
      <c r="D847">
        <v>48</v>
      </c>
      <c r="E847" t="s">
        <v>41</v>
      </c>
      <c r="F847" t="s">
        <v>42</v>
      </c>
      <c r="G847" t="s">
        <v>20</v>
      </c>
      <c r="H847">
        <v>87000</v>
      </c>
      <c r="I847">
        <v>5</v>
      </c>
      <c r="J847">
        <v>2</v>
      </c>
      <c r="K847">
        <v>3</v>
      </c>
      <c r="L847" t="s">
        <v>21</v>
      </c>
      <c r="M847" t="s">
        <v>29</v>
      </c>
      <c r="N847" t="s">
        <v>34</v>
      </c>
      <c r="O847" t="s">
        <v>23</v>
      </c>
    </row>
    <row r="848" spans="1:15" x14ac:dyDescent="0.3">
      <c r="A848" t="s">
        <v>1051</v>
      </c>
      <c r="B848" t="s">
        <v>179</v>
      </c>
      <c r="C848" t="s">
        <v>17</v>
      </c>
      <c r="D848">
        <v>38</v>
      </c>
      <c r="E848" t="s">
        <v>49</v>
      </c>
      <c r="F848" t="s">
        <v>27</v>
      </c>
      <c r="G848" t="s">
        <v>28</v>
      </c>
      <c r="H848">
        <v>75000</v>
      </c>
      <c r="I848">
        <v>2</v>
      </c>
      <c r="J848">
        <v>2</v>
      </c>
      <c r="K848">
        <v>5</v>
      </c>
      <c r="L848" t="s">
        <v>29</v>
      </c>
      <c r="M848" t="s">
        <v>29</v>
      </c>
      <c r="N848" t="s">
        <v>34</v>
      </c>
      <c r="O848" t="s">
        <v>70</v>
      </c>
    </row>
    <row r="849" spans="1:15" x14ac:dyDescent="0.3">
      <c r="A849" t="s">
        <v>1052</v>
      </c>
      <c r="B849" t="s">
        <v>111</v>
      </c>
      <c r="C849" t="s">
        <v>37</v>
      </c>
      <c r="D849">
        <v>43</v>
      </c>
      <c r="E849" t="s">
        <v>66</v>
      </c>
      <c r="F849" t="s">
        <v>67</v>
      </c>
      <c r="G849" t="s">
        <v>20</v>
      </c>
      <c r="H849">
        <v>58000</v>
      </c>
      <c r="I849">
        <v>17</v>
      </c>
      <c r="J849">
        <v>2</v>
      </c>
      <c r="K849">
        <v>3</v>
      </c>
      <c r="L849" t="s">
        <v>29</v>
      </c>
      <c r="M849" t="s">
        <v>29</v>
      </c>
      <c r="N849" t="s">
        <v>22</v>
      </c>
      <c r="O849" t="s">
        <v>75</v>
      </c>
    </row>
    <row r="850" spans="1:15" x14ac:dyDescent="0.3">
      <c r="A850" t="s">
        <v>1053</v>
      </c>
      <c r="B850" t="s">
        <v>96</v>
      </c>
      <c r="C850" t="s">
        <v>37</v>
      </c>
      <c r="D850">
        <v>36</v>
      </c>
      <c r="E850" t="s">
        <v>66</v>
      </c>
      <c r="F850" t="s">
        <v>67</v>
      </c>
      <c r="G850" t="s">
        <v>28</v>
      </c>
      <c r="H850">
        <v>102000</v>
      </c>
      <c r="I850">
        <v>10</v>
      </c>
      <c r="J850">
        <v>4</v>
      </c>
      <c r="K850">
        <v>5</v>
      </c>
      <c r="L850" t="s">
        <v>21</v>
      </c>
      <c r="M850" t="s">
        <v>29</v>
      </c>
      <c r="N850" t="s">
        <v>22</v>
      </c>
      <c r="O850" t="s">
        <v>75</v>
      </c>
    </row>
    <row r="851" spans="1:15" x14ac:dyDescent="0.3">
      <c r="A851" t="s">
        <v>1054</v>
      </c>
      <c r="B851" t="s">
        <v>328</v>
      </c>
      <c r="C851" t="s">
        <v>37</v>
      </c>
      <c r="D851">
        <v>52</v>
      </c>
      <c r="E851" t="s">
        <v>57</v>
      </c>
      <c r="F851" t="s">
        <v>50</v>
      </c>
      <c r="G851" t="s">
        <v>46</v>
      </c>
      <c r="H851">
        <v>78000</v>
      </c>
      <c r="I851">
        <v>6</v>
      </c>
      <c r="J851">
        <v>2</v>
      </c>
      <c r="K851">
        <v>4</v>
      </c>
      <c r="L851" t="s">
        <v>29</v>
      </c>
      <c r="M851" t="s">
        <v>29</v>
      </c>
      <c r="N851" t="s">
        <v>22</v>
      </c>
      <c r="O851" t="s">
        <v>38</v>
      </c>
    </row>
    <row r="852" spans="1:15" x14ac:dyDescent="0.3">
      <c r="A852" t="s">
        <v>1055</v>
      </c>
      <c r="B852" t="s">
        <v>172</v>
      </c>
      <c r="C852" t="s">
        <v>17</v>
      </c>
      <c r="D852">
        <v>49</v>
      </c>
      <c r="E852" t="s">
        <v>41</v>
      </c>
      <c r="F852" t="s">
        <v>73</v>
      </c>
      <c r="G852" t="s">
        <v>33</v>
      </c>
      <c r="H852">
        <v>117000</v>
      </c>
      <c r="I852">
        <v>3</v>
      </c>
      <c r="J852">
        <v>2</v>
      </c>
      <c r="K852">
        <v>5</v>
      </c>
      <c r="L852" t="s">
        <v>21</v>
      </c>
      <c r="M852" t="s">
        <v>29</v>
      </c>
      <c r="N852" t="s">
        <v>22</v>
      </c>
      <c r="O852" t="s">
        <v>75</v>
      </c>
    </row>
    <row r="853" spans="1:15" x14ac:dyDescent="0.3">
      <c r="A853" t="s">
        <v>1056</v>
      </c>
      <c r="B853" t="s">
        <v>543</v>
      </c>
      <c r="C853" t="s">
        <v>17</v>
      </c>
      <c r="D853">
        <v>37</v>
      </c>
      <c r="E853" t="s">
        <v>18</v>
      </c>
      <c r="F853" t="s">
        <v>126</v>
      </c>
      <c r="G853" t="s">
        <v>28</v>
      </c>
      <c r="H853">
        <v>47000</v>
      </c>
      <c r="I853">
        <v>16</v>
      </c>
      <c r="J853">
        <v>2</v>
      </c>
      <c r="K853">
        <v>3</v>
      </c>
      <c r="L853" t="s">
        <v>29</v>
      </c>
      <c r="M853" t="s">
        <v>29</v>
      </c>
      <c r="N853" t="s">
        <v>34</v>
      </c>
      <c r="O853" t="s">
        <v>43</v>
      </c>
    </row>
    <row r="854" spans="1:15" x14ac:dyDescent="0.3">
      <c r="A854" t="s">
        <v>1057</v>
      </c>
      <c r="B854" t="s">
        <v>418</v>
      </c>
      <c r="C854" t="s">
        <v>37</v>
      </c>
      <c r="D854">
        <v>26</v>
      </c>
      <c r="E854" t="s">
        <v>66</v>
      </c>
      <c r="F854" t="s">
        <v>82</v>
      </c>
      <c r="G854" t="s">
        <v>46</v>
      </c>
      <c r="H854">
        <v>36000</v>
      </c>
      <c r="I854">
        <v>5</v>
      </c>
      <c r="J854">
        <v>3</v>
      </c>
      <c r="K854">
        <v>5</v>
      </c>
      <c r="L854" t="s">
        <v>29</v>
      </c>
      <c r="M854" t="s">
        <v>29</v>
      </c>
      <c r="N854" t="s">
        <v>34</v>
      </c>
      <c r="O854" t="s">
        <v>30</v>
      </c>
    </row>
    <row r="855" spans="1:15" x14ac:dyDescent="0.3">
      <c r="A855" t="s">
        <v>1058</v>
      </c>
      <c r="B855" t="s">
        <v>90</v>
      </c>
      <c r="C855" t="s">
        <v>17</v>
      </c>
      <c r="D855">
        <v>22</v>
      </c>
      <c r="E855" t="s">
        <v>18</v>
      </c>
      <c r="F855" t="s">
        <v>19</v>
      </c>
      <c r="G855" t="s">
        <v>33</v>
      </c>
      <c r="H855">
        <v>54000</v>
      </c>
      <c r="I855">
        <v>1</v>
      </c>
      <c r="J855">
        <v>2</v>
      </c>
      <c r="K855">
        <v>1</v>
      </c>
      <c r="L855" t="s">
        <v>29</v>
      </c>
      <c r="M855" t="s">
        <v>29</v>
      </c>
      <c r="N855" t="s">
        <v>22</v>
      </c>
      <c r="O855" t="s">
        <v>70</v>
      </c>
    </row>
    <row r="856" spans="1:15" x14ac:dyDescent="0.3">
      <c r="A856" t="s">
        <v>1059</v>
      </c>
      <c r="B856" t="s">
        <v>166</v>
      </c>
      <c r="C856" t="s">
        <v>37</v>
      </c>
      <c r="D856">
        <v>32</v>
      </c>
      <c r="E856" t="s">
        <v>49</v>
      </c>
      <c r="F856" t="s">
        <v>50</v>
      </c>
      <c r="G856" t="s">
        <v>28</v>
      </c>
      <c r="H856">
        <v>56000</v>
      </c>
      <c r="I856">
        <v>3</v>
      </c>
      <c r="J856">
        <v>2</v>
      </c>
      <c r="K856">
        <v>3</v>
      </c>
      <c r="L856" t="s">
        <v>21</v>
      </c>
      <c r="M856" t="s">
        <v>29</v>
      </c>
      <c r="N856" t="s">
        <v>22</v>
      </c>
      <c r="O856" t="s">
        <v>54</v>
      </c>
    </row>
    <row r="857" spans="1:15" x14ac:dyDescent="0.3">
      <c r="A857" t="s">
        <v>1060</v>
      </c>
      <c r="B857" t="s">
        <v>265</v>
      </c>
      <c r="C857" t="s">
        <v>37</v>
      </c>
      <c r="D857">
        <v>29</v>
      </c>
      <c r="E857" t="s">
        <v>26</v>
      </c>
      <c r="F857" t="s">
        <v>27</v>
      </c>
      <c r="G857" t="s">
        <v>28</v>
      </c>
      <c r="H857">
        <v>106000</v>
      </c>
      <c r="I857">
        <v>8</v>
      </c>
      <c r="J857">
        <v>4</v>
      </c>
      <c r="K857">
        <v>2</v>
      </c>
      <c r="L857" t="s">
        <v>29</v>
      </c>
      <c r="M857" t="s">
        <v>29</v>
      </c>
      <c r="N857" t="s">
        <v>22</v>
      </c>
      <c r="O857" t="s">
        <v>75</v>
      </c>
    </row>
    <row r="858" spans="1:15" x14ac:dyDescent="0.3">
      <c r="A858" t="s">
        <v>1061</v>
      </c>
      <c r="B858" t="s">
        <v>295</v>
      </c>
      <c r="C858" t="s">
        <v>37</v>
      </c>
      <c r="D858">
        <v>48</v>
      </c>
      <c r="E858" t="s">
        <v>41</v>
      </c>
      <c r="F858" t="s">
        <v>42</v>
      </c>
      <c r="G858" t="s">
        <v>28</v>
      </c>
      <c r="H858">
        <v>112000</v>
      </c>
      <c r="I858">
        <v>8</v>
      </c>
      <c r="J858">
        <v>4</v>
      </c>
      <c r="K858">
        <v>1</v>
      </c>
      <c r="L858" t="s">
        <v>21</v>
      </c>
      <c r="M858" t="s">
        <v>29</v>
      </c>
      <c r="N858" t="s">
        <v>22</v>
      </c>
      <c r="O858" t="s">
        <v>38</v>
      </c>
    </row>
    <row r="859" spans="1:15" x14ac:dyDescent="0.3">
      <c r="A859" t="s">
        <v>1062</v>
      </c>
      <c r="B859" t="s">
        <v>1063</v>
      </c>
      <c r="C859" t="s">
        <v>17</v>
      </c>
      <c r="D859">
        <v>36</v>
      </c>
      <c r="E859" t="s">
        <v>49</v>
      </c>
      <c r="F859" t="s">
        <v>27</v>
      </c>
      <c r="G859" t="s">
        <v>28</v>
      </c>
      <c r="H859">
        <v>68000</v>
      </c>
      <c r="I859">
        <v>4</v>
      </c>
      <c r="J859">
        <v>5</v>
      </c>
      <c r="K859">
        <v>4</v>
      </c>
      <c r="L859" t="s">
        <v>29</v>
      </c>
      <c r="M859" t="s">
        <v>29</v>
      </c>
      <c r="N859" t="s">
        <v>22</v>
      </c>
      <c r="O859" t="s">
        <v>38</v>
      </c>
    </row>
    <row r="860" spans="1:15" x14ac:dyDescent="0.3">
      <c r="A860" t="s">
        <v>1064</v>
      </c>
      <c r="B860" t="s">
        <v>448</v>
      </c>
      <c r="C860" t="s">
        <v>17</v>
      </c>
      <c r="D860">
        <v>26</v>
      </c>
      <c r="E860" t="s">
        <v>66</v>
      </c>
      <c r="F860" t="s">
        <v>67</v>
      </c>
      <c r="G860" t="s">
        <v>46</v>
      </c>
      <c r="H860">
        <v>66000</v>
      </c>
      <c r="I860">
        <v>5</v>
      </c>
      <c r="J860">
        <v>2</v>
      </c>
      <c r="K860">
        <v>3</v>
      </c>
      <c r="L860" t="s">
        <v>29</v>
      </c>
      <c r="M860" t="s">
        <v>29</v>
      </c>
      <c r="N860" t="s">
        <v>34</v>
      </c>
      <c r="O860" t="s">
        <v>43</v>
      </c>
    </row>
    <row r="861" spans="1:15" x14ac:dyDescent="0.3">
      <c r="A861" t="s">
        <v>1065</v>
      </c>
      <c r="B861" t="s">
        <v>238</v>
      </c>
      <c r="C861" t="s">
        <v>17</v>
      </c>
      <c r="D861">
        <v>38</v>
      </c>
      <c r="E861" t="s">
        <v>18</v>
      </c>
      <c r="F861" t="s">
        <v>19</v>
      </c>
      <c r="G861" t="s">
        <v>28</v>
      </c>
      <c r="H861">
        <v>34000</v>
      </c>
      <c r="I861">
        <v>4</v>
      </c>
      <c r="J861">
        <v>4</v>
      </c>
      <c r="K861">
        <v>5</v>
      </c>
      <c r="L861" t="s">
        <v>21</v>
      </c>
      <c r="M861" t="s">
        <v>29</v>
      </c>
      <c r="N861" t="s">
        <v>22</v>
      </c>
      <c r="O861" t="s">
        <v>70</v>
      </c>
    </row>
    <row r="862" spans="1:15" x14ac:dyDescent="0.3">
      <c r="A862" t="s">
        <v>1066</v>
      </c>
      <c r="B862" t="s">
        <v>273</v>
      </c>
      <c r="C862" t="s">
        <v>37</v>
      </c>
      <c r="D862">
        <v>34</v>
      </c>
      <c r="E862" t="s">
        <v>49</v>
      </c>
      <c r="F862" t="s">
        <v>27</v>
      </c>
      <c r="G862" t="s">
        <v>46</v>
      </c>
      <c r="H862">
        <v>89000</v>
      </c>
      <c r="I862">
        <v>11</v>
      </c>
      <c r="J862">
        <v>5</v>
      </c>
      <c r="K862">
        <v>4</v>
      </c>
      <c r="L862" t="s">
        <v>21</v>
      </c>
      <c r="M862" t="s">
        <v>29</v>
      </c>
      <c r="N862" t="s">
        <v>34</v>
      </c>
      <c r="O862" t="s">
        <v>30</v>
      </c>
    </row>
    <row r="863" spans="1:15" x14ac:dyDescent="0.3">
      <c r="A863" t="s">
        <v>1067</v>
      </c>
      <c r="B863" t="s">
        <v>40</v>
      </c>
      <c r="C863" t="s">
        <v>37</v>
      </c>
      <c r="D863">
        <v>23</v>
      </c>
      <c r="E863" t="s">
        <v>57</v>
      </c>
      <c r="F863" t="s">
        <v>50</v>
      </c>
      <c r="G863" t="s">
        <v>46</v>
      </c>
      <c r="H863">
        <v>26000</v>
      </c>
      <c r="I863">
        <v>2</v>
      </c>
      <c r="J863">
        <v>5</v>
      </c>
      <c r="K863">
        <v>3</v>
      </c>
      <c r="L863" t="s">
        <v>21</v>
      </c>
      <c r="M863" t="s">
        <v>29</v>
      </c>
      <c r="N863" t="s">
        <v>34</v>
      </c>
      <c r="O863" t="s">
        <v>43</v>
      </c>
    </row>
    <row r="864" spans="1:15" x14ac:dyDescent="0.3">
      <c r="A864" t="s">
        <v>1068</v>
      </c>
      <c r="B864" t="s">
        <v>541</v>
      </c>
      <c r="C864" t="s">
        <v>37</v>
      </c>
      <c r="D864">
        <v>31</v>
      </c>
      <c r="E864" t="s">
        <v>41</v>
      </c>
      <c r="F864" t="s">
        <v>42</v>
      </c>
      <c r="G864" t="s">
        <v>28</v>
      </c>
      <c r="H864">
        <v>86000</v>
      </c>
      <c r="I864">
        <v>9</v>
      </c>
      <c r="J864">
        <v>4</v>
      </c>
      <c r="K864">
        <v>2</v>
      </c>
      <c r="L864" t="s">
        <v>29</v>
      </c>
      <c r="M864" t="s">
        <v>29</v>
      </c>
      <c r="N864" t="s">
        <v>22</v>
      </c>
      <c r="O864" t="s">
        <v>43</v>
      </c>
    </row>
    <row r="865" spans="1:15" x14ac:dyDescent="0.3">
      <c r="A865" t="s">
        <v>1069</v>
      </c>
      <c r="B865" t="s">
        <v>586</v>
      </c>
      <c r="C865" t="s">
        <v>17</v>
      </c>
      <c r="D865">
        <v>30</v>
      </c>
      <c r="E865" t="s">
        <v>41</v>
      </c>
      <c r="F865" t="s">
        <v>42</v>
      </c>
      <c r="G865" t="s">
        <v>46</v>
      </c>
      <c r="H865">
        <v>92000</v>
      </c>
      <c r="I865">
        <v>8</v>
      </c>
      <c r="J865">
        <v>5</v>
      </c>
      <c r="K865">
        <v>3</v>
      </c>
      <c r="L865" t="s">
        <v>21</v>
      </c>
      <c r="M865" t="s">
        <v>29</v>
      </c>
      <c r="N865" t="s">
        <v>34</v>
      </c>
      <c r="O865" t="s">
        <v>75</v>
      </c>
    </row>
    <row r="866" spans="1:15" x14ac:dyDescent="0.3">
      <c r="A866" t="s">
        <v>1070</v>
      </c>
      <c r="B866" t="s">
        <v>203</v>
      </c>
      <c r="C866" t="s">
        <v>37</v>
      </c>
      <c r="D866">
        <v>29</v>
      </c>
      <c r="E866" t="s">
        <v>41</v>
      </c>
      <c r="F866" t="s">
        <v>73</v>
      </c>
      <c r="G866" t="s">
        <v>28</v>
      </c>
      <c r="H866">
        <v>26000</v>
      </c>
      <c r="I866">
        <v>8</v>
      </c>
      <c r="J866">
        <v>5</v>
      </c>
      <c r="K866">
        <v>3</v>
      </c>
      <c r="L866" t="s">
        <v>21</v>
      </c>
      <c r="M866" t="s">
        <v>29</v>
      </c>
      <c r="N866" t="s">
        <v>34</v>
      </c>
      <c r="O866" t="s">
        <v>38</v>
      </c>
    </row>
    <row r="867" spans="1:15" x14ac:dyDescent="0.3">
      <c r="A867" t="s">
        <v>1071</v>
      </c>
      <c r="B867" t="s">
        <v>249</v>
      </c>
      <c r="C867" t="s">
        <v>37</v>
      </c>
      <c r="D867">
        <v>48</v>
      </c>
      <c r="E867" t="s">
        <v>57</v>
      </c>
      <c r="F867" t="s">
        <v>27</v>
      </c>
      <c r="G867" t="s">
        <v>28</v>
      </c>
      <c r="H867">
        <v>35000</v>
      </c>
      <c r="I867">
        <v>7</v>
      </c>
      <c r="J867">
        <v>3</v>
      </c>
      <c r="K867">
        <v>5</v>
      </c>
      <c r="L867" t="s">
        <v>29</v>
      </c>
      <c r="M867" t="s">
        <v>29</v>
      </c>
      <c r="N867" t="s">
        <v>22</v>
      </c>
      <c r="O867" t="s">
        <v>30</v>
      </c>
    </row>
    <row r="868" spans="1:15" x14ac:dyDescent="0.3">
      <c r="A868" t="s">
        <v>1072</v>
      </c>
      <c r="B868" t="s">
        <v>510</v>
      </c>
      <c r="C868" t="s">
        <v>37</v>
      </c>
      <c r="D868">
        <v>44</v>
      </c>
      <c r="E868" t="s">
        <v>66</v>
      </c>
      <c r="F868" t="s">
        <v>82</v>
      </c>
      <c r="G868" t="s">
        <v>33</v>
      </c>
      <c r="H868">
        <v>101000</v>
      </c>
      <c r="I868">
        <v>4</v>
      </c>
      <c r="J868">
        <v>5</v>
      </c>
      <c r="K868">
        <v>2</v>
      </c>
      <c r="L868" t="s">
        <v>29</v>
      </c>
      <c r="M868" t="s">
        <v>29</v>
      </c>
      <c r="N868" t="s">
        <v>34</v>
      </c>
      <c r="O868" t="s">
        <v>43</v>
      </c>
    </row>
    <row r="869" spans="1:15" x14ac:dyDescent="0.3">
      <c r="A869" t="s">
        <v>1073</v>
      </c>
      <c r="B869" t="s">
        <v>138</v>
      </c>
      <c r="C869" t="s">
        <v>17</v>
      </c>
      <c r="D869">
        <v>42</v>
      </c>
      <c r="E869" t="s">
        <v>57</v>
      </c>
      <c r="F869" t="s">
        <v>50</v>
      </c>
      <c r="G869" t="s">
        <v>20</v>
      </c>
      <c r="H869">
        <v>54000</v>
      </c>
      <c r="I869">
        <v>11</v>
      </c>
      <c r="J869">
        <v>4</v>
      </c>
      <c r="K869">
        <v>2</v>
      </c>
      <c r="L869" t="s">
        <v>29</v>
      </c>
      <c r="M869" t="s">
        <v>29</v>
      </c>
      <c r="N869" t="s">
        <v>34</v>
      </c>
      <c r="O869" t="s">
        <v>23</v>
      </c>
    </row>
    <row r="870" spans="1:15" x14ac:dyDescent="0.3">
      <c r="A870" t="s">
        <v>1074</v>
      </c>
      <c r="B870" t="s">
        <v>253</v>
      </c>
      <c r="C870" t="s">
        <v>17</v>
      </c>
      <c r="D870">
        <v>23</v>
      </c>
      <c r="E870" t="s">
        <v>49</v>
      </c>
      <c r="F870" t="s">
        <v>50</v>
      </c>
      <c r="G870" t="s">
        <v>20</v>
      </c>
      <c r="H870">
        <v>100000</v>
      </c>
      <c r="I870">
        <v>2</v>
      </c>
      <c r="J870">
        <v>5</v>
      </c>
      <c r="K870">
        <v>1</v>
      </c>
      <c r="L870" t="s">
        <v>21</v>
      </c>
      <c r="M870" t="s">
        <v>21</v>
      </c>
      <c r="N870" t="s">
        <v>34</v>
      </c>
      <c r="O870" t="s">
        <v>38</v>
      </c>
    </row>
    <row r="871" spans="1:15" x14ac:dyDescent="0.3">
      <c r="A871" t="s">
        <v>1075</v>
      </c>
      <c r="B871" t="s">
        <v>36</v>
      </c>
      <c r="C871" t="s">
        <v>37</v>
      </c>
      <c r="D871">
        <v>52</v>
      </c>
      <c r="E871" t="s">
        <v>41</v>
      </c>
      <c r="F871" t="s">
        <v>73</v>
      </c>
      <c r="G871" t="s">
        <v>20</v>
      </c>
      <c r="H871">
        <v>90000</v>
      </c>
      <c r="I871">
        <v>11</v>
      </c>
      <c r="J871">
        <v>4</v>
      </c>
      <c r="K871">
        <v>2</v>
      </c>
      <c r="L871" t="s">
        <v>29</v>
      </c>
      <c r="M871" t="s">
        <v>29</v>
      </c>
      <c r="N871" t="s">
        <v>22</v>
      </c>
      <c r="O871" t="s">
        <v>51</v>
      </c>
    </row>
    <row r="872" spans="1:15" x14ac:dyDescent="0.3">
      <c r="A872" t="s">
        <v>1076</v>
      </c>
      <c r="B872" t="s">
        <v>149</v>
      </c>
      <c r="C872" t="s">
        <v>17</v>
      </c>
      <c r="D872">
        <v>44</v>
      </c>
      <c r="E872" t="s">
        <v>18</v>
      </c>
      <c r="F872" t="s">
        <v>126</v>
      </c>
      <c r="G872" t="s">
        <v>33</v>
      </c>
      <c r="H872">
        <v>79000</v>
      </c>
      <c r="I872">
        <v>4</v>
      </c>
      <c r="J872">
        <v>5</v>
      </c>
      <c r="K872">
        <v>2</v>
      </c>
      <c r="L872" t="s">
        <v>21</v>
      </c>
      <c r="M872" t="s">
        <v>29</v>
      </c>
      <c r="N872" t="s">
        <v>22</v>
      </c>
      <c r="O872" t="s">
        <v>38</v>
      </c>
    </row>
    <row r="873" spans="1:15" x14ac:dyDescent="0.3">
      <c r="A873" t="s">
        <v>1077</v>
      </c>
      <c r="B873" t="s">
        <v>249</v>
      </c>
      <c r="C873" t="s">
        <v>37</v>
      </c>
      <c r="D873">
        <v>37</v>
      </c>
      <c r="E873" t="s">
        <v>18</v>
      </c>
      <c r="F873" t="s">
        <v>19</v>
      </c>
      <c r="G873" t="s">
        <v>20</v>
      </c>
      <c r="H873">
        <v>65000</v>
      </c>
      <c r="I873">
        <v>14</v>
      </c>
      <c r="J873">
        <v>3</v>
      </c>
      <c r="K873">
        <v>2</v>
      </c>
      <c r="L873" t="s">
        <v>29</v>
      </c>
      <c r="M873" t="s">
        <v>29</v>
      </c>
      <c r="N873" t="s">
        <v>22</v>
      </c>
      <c r="O873" t="s">
        <v>51</v>
      </c>
    </row>
    <row r="874" spans="1:15" x14ac:dyDescent="0.3">
      <c r="A874" t="s">
        <v>1078</v>
      </c>
      <c r="B874" t="s">
        <v>229</v>
      </c>
      <c r="C874" t="s">
        <v>37</v>
      </c>
      <c r="D874">
        <v>54</v>
      </c>
      <c r="E874" t="s">
        <v>41</v>
      </c>
      <c r="F874" t="s">
        <v>42</v>
      </c>
      <c r="G874" t="s">
        <v>46</v>
      </c>
      <c r="H874">
        <v>44000</v>
      </c>
      <c r="I874">
        <v>4</v>
      </c>
      <c r="J874">
        <v>2</v>
      </c>
      <c r="K874">
        <v>4</v>
      </c>
      <c r="L874" t="s">
        <v>29</v>
      </c>
      <c r="M874" t="s">
        <v>29</v>
      </c>
      <c r="N874" t="s">
        <v>22</v>
      </c>
      <c r="O874" t="s">
        <v>43</v>
      </c>
    </row>
    <row r="875" spans="1:15" x14ac:dyDescent="0.3">
      <c r="A875" t="s">
        <v>1079</v>
      </c>
      <c r="B875" t="s">
        <v>59</v>
      </c>
      <c r="C875" t="s">
        <v>37</v>
      </c>
      <c r="D875">
        <v>53</v>
      </c>
      <c r="E875" t="s">
        <v>41</v>
      </c>
      <c r="F875" t="s">
        <v>73</v>
      </c>
      <c r="G875" t="s">
        <v>28</v>
      </c>
      <c r="H875">
        <v>100000</v>
      </c>
      <c r="I875">
        <v>6</v>
      </c>
      <c r="J875">
        <v>4</v>
      </c>
      <c r="K875">
        <v>3</v>
      </c>
      <c r="L875" t="s">
        <v>29</v>
      </c>
      <c r="M875" t="s">
        <v>29</v>
      </c>
      <c r="N875" t="s">
        <v>22</v>
      </c>
      <c r="O875" t="s">
        <v>51</v>
      </c>
    </row>
    <row r="876" spans="1:15" x14ac:dyDescent="0.3">
      <c r="A876" t="s">
        <v>1080</v>
      </c>
      <c r="B876" t="s">
        <v>535</v>
      </c>
      <c r="C876" t="s">
        <v>17</v>
      </c>
      <c r="D876">
        <v>28</v>
      </c>
      <c r="E876" t="s">
        <v>41</v>
      </c>
      <c r="F876" t="s">
        <v>73</v>
      </c>
      <c r="G876" t="s">
        <v>33</v>
      </c>
      <c r="H876">
        <v>62000</v>
      </c>
      <c r="I876">
        <v>7</v>
      </c>
      <c r="J876">
        <v>3</v>
      </c>
      <c r="K876">
        <v>1</v>
      </c>
      <c r="L876" t="s">
        <v>29</v>
      </c>
      <c r="M876" t="s">
        <v>29</v>
      </c>
      <c r="N876" t="s">
        <v>22</v>
      </c>
      <c r="O876" t="s">
        <v>38</v>
      </c>
    </row>
    <row r="877" spans="1:15" x14ac:dyDescent="0.3">
      <c r="A877" t="s">
        <v>1081</v>
      </c>
      <c r="B877" t="s">
        <v>302</v>
      </c>
      <c r="C877" t="s">
        <v>17</v>
      </c>
      <c r="D877">
        <v>53</v>
      </c>
      <c r="E877" t="s">
        <v>26</v>
      </c>
      <c r="F877" t="s">
        <v>27</v>
      </c>
      <c r="G877" t="s">
        <v>33</v>
      </c>
      <c r="H877">
        <v>67000</v>
      </c>
      <c r="I877">
        <v>0</v>
      </c>
      <c r="J877">
        <v>5</v>
      </c>
      <c r="K877">
        <v>5</v>
      </c>
      <c r="L877" t="s">
        <v>29</v>
      </c>
      <c r="M877" t="s">
        <v>29</v>
      </c>
      <c r="N877" t="s">
        <v>34</v>
      </c>
      <c r="O877" t="s">
        <v>70</v>
      </c>
    </row>
    <row r="878" spans="1:15" x14ac:dyDescent="0.3">
      <c r="A878" t="s">
        <v>1082</v>
      </c>
      <c r="B878" t="s">
        <v>300</v>
      </c>
      <c r="C878" t="s">
        <v>17</v>
      </c>
      <c r="D878">
        <v>33</v>
      </c>
      <c r="E878" t="s">
        <v>41</v>
      </c>
      <c r="F878" t="s">
        <v>42</v>
      </c>
      <c r="G878" t="s">
        <v>46</v>
      </c>
      <c r="H878">
        <v>51000</v>
      </c>
      <c r="I878">
        <v>12</v>
      </c>
      <c r="J878">
        <v>5</v>
      </c>
      <c r="K878">
        <v>4</v>
      </c>
      <c r="L878" t="s">
        <v>29</v>
      </c>
      <c r="M878" t="s">
        <v>21</v>
      </c>
      <c r="N878" t="s">
        <v>34</v>
      </c>
      <c r="O878" t="s">
        <v>70</v>
      </c>
    </row>
    <row r="879" spans="1:15" x14ac:dyDescent="0.3">
      <c r="A879" t="s">
        <v>1083</v>
      </c>
      <c r="B879" t="s">
        <v>79</v>
      </c>
      <c r="C879" t="s">
        <v>17</v>
      </c>
      <c r="D879">
        <v>41</v>
      </c>
      <c r="E879" t="s">
        <v>41</v>
      </c>
      <c r="F879" t="s">
        <v>73</v>
      </c>
      <c r="G879" t="s">
        <v>33</v>
      </c>
      <c r="H879">
        <v>108000</v>
      </c>
      <c r="I879">
        <v>7</v>
      </c>
      <c r="J879">
        <v>4</v>
      </c>
      <c r="K879">
        <v>5</v>
      </c>
      <c r="L879" t="s">
        <v>21</v>
      </c>
      <c r="M879" t="s">
        <v>29</v>
      </c>
      <c r="N879" t="s">
        <v>22</v>
      </c>
      <c r="O879" t="s">
        <v>23</v>
      </c>
    </row>
    <row r="880" spans="1:15" x14ac:dyDescent="0.3">
      <c r="A880" t="s">
        <v>1084</v>
      </c>
      <c r="B880" t="s">
        <v>63</v>
      </c>
      <c r="C880" t="s">
        <v>17</v>
      </c>
      <c r="D880">
        <v>40</v>
      </c>
      <c r="E880" t="s">
        <v>57</v>
      </c>
      <c r="F880" t="s">
        <v>50</v>
      </c>
      <c r="G880" t="s">
        <v>20</v>
      </c>
      <c r="H880">
        <v>50000</v>
      </c>
      <c r="I880">
        <v>7</v>
      </c>
      <c r="J880">
        <v>5</v>
      </c>
      <c r="K880">
        <v>5</v>
      </c>
      <c r="L880" t="s">
        <v>21</v>
      </c>
      <c r="M880" t="s">
        <v>29</v>
      </c>
      <c r="N880" t="s">
        <v>34</v>
      </c>
      <c r="O880" t="s">
        <v>23</v>
      </c>
    </row>
    <row r="881" spans="1:15" x14ac:dyDescent="0.3">
      <c r="A881" t="s">
        <v>1085</v>
      </c>
      <c r="B881" t="s">
        <v>238</v>
      </c>
      <c r="C881" t="s">
        <v>17</v>
      </c>
      <c r="D881">
        <v>37</v>
      </c>
      <c r="E881" t="s">
        <v>26</v>
      </c>
      <c r="F881" t="s">
        <v>50</v>
      </c>
      <c r="G881" t="s">
        <v>20</v>
      </c>
      <c r="H881">
        <v>84000</v>
      </c>
      <c r="I881">
        <v>7</v>
      </c>
      <c r="J881">
        <v>5</v>
      </c>
      <c r="K881">
        <v>1</v>
      </c>
      <c r="L881" t="s">
        <v>29</v>
      </c>
      <c r="M881" t="s">
        <v>29</v>
      </c>
      <c r="N881" t="s">
        <v>22</v>
      </c>
      <c r="O881" t="s">
        <v>75</v>
      </c>
    </row>
    <row r="882" spans="1:15" x14ac:dyDescent="0.3">
      <c r="A882" t="s">
        <v>1086</v>
      </c>
      <c r="B882" t="s">
        <v>446</v>
      </c>
      <c r="C882" t="s">
        <v>17</v>
      </c>
      <c r="D882">
        <v>55</v>
      </c>
      <c r="E882" t="s">
        <v>41</v>
      </c>
      <c r="F882" t="s">
        <v>73</v>
      </c>
      <c r="G882" t="s">
        <v>46</v>
      </c>
      <c r="H882">
        <v>62000</v>
      </c>
      <c r="I882">
        <v>3</v>
      </c>
      <c r="J882">
        <v>4</v>
      </c>
      <c r="K882">
        <v>4</v>
      </c>
      <c r="L882" t="s">
        <v>29</v>
      </c>
      <c r="M882" t="s">
        <v>29</v>
      </c>
      <c r="N882" t="s">
        <v>34</v>
      </c>
      <c r="O882" t="s">
        <v>75</v>
      </c>
    </row>
    <row r="883" spans="1:15" x14ac:dyDescent="0.3">
      <c r="A883" t="s">
        <v>1087</v>
      </c>
      <c r="B883" t="s">
        <v>111</v>
      </c>
      <c r="C883" t="s">
        <v>17</v>
      </c>
      <c r="D883">
        <v>39</v>
      </c>
      <c r="E883" t="s">
        <v>18</v>
      </c>
      <c r="F883" t="s">
        <v>19</v>
      </c>
      <c r="G883" t="s">
        <v>20</v>
      </c>
      <c r="H883">
        <v>70000</v>
      </c>
      <c r="I883">
        <v>5</v>
      </c>
      <c r="J883">
        <v>2</v>
      </c>
      <c r="K883">
        <v>4</v>
      </c>
      <c r="L883" t="s">
        <v>21</v>
      </c>
      <c r="M883" t="s">
        <v>29</v>
      </c>
      <c r="N883" t="s">
        <v>22</v>
      </c>
      <c r="O883" t="s">
        <v>23</v>
      </c>
    </row>
    <row r="884" spans="1:15" x14ac:dyDescent="0.3">
      <c r="A884" t="s">
        <v>1088</v>
      </c>
      <c r="B884" t="s">
        <v>191</v>
      </c>
      <c r="C884" t="s">
        <v>17</v>
      </c>
      <c r="D884">
        <v>29</v>
      </c>
      <c r="E884" t="s">
        <v>41</v>
      </c>
      <c r="F884" t="s">
        <v>42</v>
      </c>
      <c r="G884" t="s">
        <v>28</v>
      </c>
      <c r="H884">
        <v>118000</v>
      </c>
      <c r="I884">
        <v>3</v>
      </c>
      <c r="J884">
        <v>5</v>
      </c>
      <c r="K884">
        <v>1</v>
      </c>
      <c r="L884" t="s">
        <v>21</v>
      </c>
      <c r="M884" t="s">
        <v>29</v>
      </c>
      <c r="N884" t="s">
        <v>34</v>
      </c>
      <c r="O884" t="s">
        <v>30</v>
      </c>
    </row>
    <row r="885" spans="1:15" x14ac:dyDescent="0.3">
      <c r="A885" t="s">
        <v>1089</v>
      </c>
      <c r="B885" t="s">
        <v>244</v>
      </c>
      <c r="C885" t="s">
        <v>17</v>
      </c>
      <c r="D885">
        <v>55</v>
      </c>
      <c r="E885" t="s">
        <v>41</v>
      </c>
      <c r="F885" t="s">
        <v>42</v>
      </c>
      <c r="G885" t="s">
        <v>28</v>
      </c>
      <c r="H885">
        <v>49000</v>
      </c>
      <c r="I885">
        <v>12</v>
      </c>
      <c r="J885">
        <v>5</v>
      </c>
      <c r="K885">
        <v>1</v>
      </c>
      <c r="L885" t="s">
        <v>21</v>
      </c>
      <c r="M885" t="s">
        <v>21</v>
      </c>
      <c r="N885" t="s">
        <v>34</v>
      </c>
      <c r="O885" t="s">
        <v>51</v>
      </c>
    </row>
    <row r="886" spans="1:15" x14ac:dyDescent="0.3">
      <c r="A886" t="s">
        <v>1090</v>
      </c>
      <c r="B886" t="s">
        <v>48</v>
      </c>
      <c r="C886" t="s">
        <v>17</v>
      </c>
      <c r="D886">
        <v>50</v>
      </c>
      <c r="E886" t="s">
        <v>18</v>
      </c>
      <c r="F886" t="s">
        <v>126</v>
      </c>
      <c r="G886" t="s">
        <v>20</v>
      </c>
      <c r="H886">
        <v>26000</v>
      </c>
      <c r="I886">
        <v>9</v>
      </c>
      <c r="J886">
        <v>3</v>
      </c>
      <c r="K886">
        <v>4</v>
      </c>
      <c r="L886" t="s">
        <v>21</v>
      </c>
      <c r="M886" t="s">
        <v>29</v>
      </c>
      <c r="N886" t="s">
        <v>22</v>
      </c>
      <c r="O886" t="s">
        <v>43</v>
      </c>
    </row>
    <row r="887" spans="1:15" x14ac:dyDescent="0.3">
      <c r="A887" t="s">
        <v>1091</v>
      </c>
      <c r="B887" t="s">
        <v>446</v>
      </c>
      <c r="C887" t="s">
        <v>17</v>
      </c>
      <c r="D887">
        <v>31</v>
      </c>
      <c r="E887" t="s">
        <v>49</v>
      </c>
      <c r="F887" t="s">
        <v>27</v>
      </c>
      <c r="G887" t="s">
        <v>28</v>
      </c>
      <c r="H887">
        <v>78000</v>
      </c>
      <c r="I887">
        <v>10</v>
      </c>
      <c r="J887">
        <v>2</v>
      </c>
      <c r="K887">
        <v>3</v>
      </c>
      <c r="L887" t="s">
        <v>21</v>
      </c>
      <c r="M887" t="s">
        <v>29</v>
      </c>
      <c r="N887" t="s">
        <v>34</v>
      </c>
      <c r="O887" t="s">
        <v>23</v>
      </c>
    </row>
    <row r="888" spans="1:15" x14ac:dyDescent="0.3">
      <c r="A888" t="s">
        <v>1092</v>
      </c>
      <c r="B888" t="s">
        <v>314</v>
      </c>
      <c r="C888" t="s">
        <v>37</v>
      </c>
      <c r="D888">
        <v>51</v>
      </c>
      <c r="E888" t="s">
        <v>26</v>
      </c>
      <c r="F888" t="s">
        <v>27</v>
      </c>
      <c r="G888" t="s">
        <v>33</v>
      </c>
      <c r="H888">
        <v>46000</v>
      </c>
      <c r="I888">
        <v>16</v>
      </c>
      <c r="J888">
        <v>2</v>
      </c>
      <c r="K888">
        <v>4</v>
      </c>
      <c r="L888" t="s">
        <v>29</v>
      </c>
      <c r="M888" t="s">
        <v>29</v>
      </c>
      <c r="N888" t="s">
        <v>34</v>
      </c>
      <c r="O888" t="s">
        <v>51</v>
      </c>
    </row>
    <row r="889" spans="1:15" x14ac:dyDescent="0.3">
      <c r="A889" t="s">
        <v>1093</v>
      </c>
      <c r="B889" t="s">
        <v>140</v>
      </c>
      <c r="C889" t="s">
        <v>37</v>
      </c>
      <c r="D889">
        <v>32</v>
      </c>
      <c r="E889" t="s">
        <v>57</v>
      </c>
      <c r="F889" t="s">
        <v>27</v>
      </c>
      <c r="G889" t="s">
        <v>33</v>
      </c>
      <c r="H889">
        <v>47000</v>
      </c>
      <c r="I889">
        <v>11</v>
      </c>
      <c r="J889">
        <v>5</v>
      </c>
      <c r="K889">
        <v>2</v>
      </c>
      <c r="L889" t="s">
        <v>21</v>
      </c>
      <c r="M889" t="s">
        <v>21</v>
      </c>
      <c r="N889" t="s">
        <v>22</v>
      </c>
      <c r="O889" t="s">
        <v>70</v>
      </c>
    </row>
    <row r="890" spans="1:15" x14ac:dyDescent="0.3">
      <c r="A890" t="s">
        <v>1094</v>
      </c>
      <c r="B890" t="s">
        <v>510</v>
      </c>
      <c r="C890" t="s">
        <v>17</v>
      </c>
      <c r="D890">
        <v>37</v>
      </c>
      <c r="E890" t="s">
        <v>57</v>
      </c>
      <c r="F890" t="s">
        <v>27</v>
      </c>
      <c r="G890" t="s">
        <v>46</v>
      </c>
      <c r="H890">
        <v>56000</v>
      </c>
      <c r="I890">
        <v>14</v>
      </c>
      <c r="J890">
        <v>2</v>
      </c>
      <c r="K890">
        <v>5</v>
      </c>
      <c r="L890" t="s">
        <v>29</v>
      </c>
      <c r="M890" t="s">
        <v>29</v>
      </c>
      <c r="N890" t="s">
        <v>34</v>
      </c>
      <c r="O890" t="s">
        <v>30</v>
      </c>
    </row>
    <row r="891" spans="1:15" x14ac:dyDescent="0.3">
      <c r="A891" t="s">
        <v>1095</v>
      </c>
      <c r="B891" t="s">
        <v>354</v>
      </c>
      <c r="C891" t="s">
        <v>17</v>
      </c>
      <c r="D891">
        <v>28</v>
      </c>
      <c r="E891" t="s">
        <v>57</v>
      </c>
      <c r="F891" t="s">
        <v>50</v>
      </c>
      <c r="G891" t="s">
        <v>28</v>
      </c>
      <c r="H891">
        <v>38000</v>
      </c>
      <c r="I891">
        <v>7</v>
      </c>
      <c r="J891">
        <v>2</v>
      </c>
      <c r="K891">
        <v>5</v>
      </c>
      <c r="L891" t="s">
        <v>29</v>
      </c>
      <c r="M891" t="s">
        <v>29</v>
      </c>
      <c r="N891" t="s">
        <v>34</v>
      </c>
      <c r="O891" t="s">
        <v>70</v>
      </c>
    </row>
    <row r="892" spans="1:15" x14ac:dyDescent="0.3">
      <c r="A892" t="s">
        <v>1096</v>
      </c>
      <c r="B892" t="s">
        <v>350</v>
      </c>
      <c r="C892" t="s">
        <v>37</v>
      </c>
      <c r="D892">
        <v>25</v>
      </c>
      <c r="E892" t="s">
        <v>41</v>
      </c>
      <c r="F892" t="s">
        <v>42</v>
      </c>
      <c r="G892" t="s">
        <v>28</v>
      </c>
      <c r="H892">
        <v>57000</v>
      </c>
      <c r="I892">
        <v>4</v>
      </c>
      <c r="J892">
        <v>3</v>
      </c>
      <c r="K892">
        <v>5</v>
      </c>
      <c r="L892" t="s">
        <v>29</v>
      </c>
      <c r="M892" t="s">
        <v>21</v>
      </c>
      <c r="N892" t="s">
        <v>34</v>
      </c>
      <c r="O892" t="s">
        <v>54</v>
      </c>
    </row>
    <row r="893" spans="1:15" x14ac:dyDescent="0.3">
      <c r="A893" t="s">
        <v>1097</v>
      </c>
      <c r="B893" t="s">
        <v>302</v>
      </c>
      <c r="C893" t="s">
        <v>37</v>
      </c>
      <c r="D893">
        <v>43</v>
      </c>
      <c r="E893" t="s">
        <v>66</v>
      </c>
      <c r="F893" t="s">
        <v>82</v>
      </c>
      <c r="G893" t="s">
        <v>28</v>
      </c>
      <c r="H893">
        <v>85000</v>
      </c>
      <c r="I893">
        <v>17</v>
      </c>
      <c r="J893">
        <v>4</v>
      </c>
      <c r="K893">
        <v>5</v>
      </c>
      <c r="L893" t="s">
        <v>29</v>
      </c>
      <c r="M893" t="s">
        <v>29</v>
      </c>
      <c r="N893" t="s">
        <v>22</v>
      </c>
      <c r="O893" t="s">
        <v>75</v>
      </c>
    </row>
    <row r="894" spans="1:15" x14ac:dyDescent="0.3">
      <c r="A894" t="s">
        <v>1098</v>
      </c>
      <c r="B894" t="s">
        <v>314</v>
      </c>
      <c r="C894" t="s">
        <v>37</v>
      </c>
      <c r="D894">
        <v>34</v>
      </c>
      <c r="E894" t="s">
        <v>66</v>
      </c>
      <c r="F894" t="s">
        <v>67</v>
      </c>
      <c r="G894" t="s">
        <v>20</v>
      </c>
      <c r="H894">
        <v>61000</v>
      </c>
      <c r="I894">
        <v>9</v>
      </c>
      <c r="J894">
        <v>5</v>
      </c>
      <c r="K894">
        <v>2</v>
      </c>
      <c r="L894" t="s">
        <v>29</v>
      </c>
      <c r="M894" t="s">
        <v>29</v>
      </c>
      <c r="N894" t="s">
        <v>22</v>
      </c>
      <c r="O894" t="s">
        <v>70</v>
      </c>
    </row>
    <row r="895" spans="1:15" x14ac:dyDescent="0.3">
      <c r="A895" t="s">
        <v>1099</v>
      </c>
      <c r="B895" t="s">
        <v>158</v>
      </c>
      <c r="C895" t="s">
        <v>17</v>
      </c>
      <c r="D895">
        <v>24</v>
      </c>
      <c r="E895" t="s">
        <v>41</v>
      </c>
      <c r="F895" t="s">
        <v>42</v>
      </c>
      <c r="G895" t="s">
        <v>20</v>
      </c>
      <c r="H895">
        <v>95000</v>
      </c>
      <c r="I895">
        <v>3</v>
      </c>
      <c r="J895">
        <v>5</v>
      </c>
      <c r="K895">
        <v>1</v>
      </c>
      <c r="L895" t="s">
        <v>21</v>
      </c>
      <c r="M895" t="s">
        <v>21</v>
      </c>
      <c r="N895" t="s">
        <v>22</v>
      </c>
      <c r="O895" t="s">
        <v>51</v>
      </c>
    </row>
    <row r="896" spans="1:15" x14ac:dyDescent="0.3">
      <c r="A896" t="s">
        <v>1100</v>
      </c>
      <c r="B896" t="s">
        <v>45</v>
      </c>
      <c r="C896" t="s">
        <v>17</v>
      </c>
      <c r="D896">
        <v>45</v>
      </c>
      <c r="E896" t="s">
        <v>66</v>
      </c>
      <c r="F896" t="s">
        <v>67</v>
      </c>
      <c r="G896" t="s">
        <v>28</v>
      </c>
      <c r="H896">
        <v>70000</v>
      </c>
      <c r="I896">
        <v>2</v>
      </c>
      <c r="J896">
        <v>3</v>
      </c>
      <c r="K896">
        <v>3</v>
      </c>
      <c r="L896" t="s">
        <v>21</v>
      </c>
      <c r="M896" t="s">
        <v>29</v>
      </c>
      <c r="N896" t="s">
        <v>34</v>
      </c>
      <c r="O896" t="s">
        <v>38</v>
      </c>
    </row>
    <row r="897" spans="1:15" x14ac:dyDescent="0.3">
      <c r="A897" t="s">
        <v>1101</v>
      </c>
      <c r="B897" t="s">
        <v>164</v>
      </c>
      <c r="C897" t="s">
        <v>17</v>
      </c>
      <c r="D897">
        <v>50</v>
      </c>
      <c r="E897" t="s">
        <v>57</v>
      </c>
      <c r="F897" t="s">
        <v>27</v>
      </c>
      <c r="G897" t="s">
        <v>33</v>
      </c>
      <c r="H897">
        <v>33000</v>
      </c>
      <c r="I897">
        <v>12</v>
      </c>
      <c r="J897">
        <v>3</v>
      </c>
      <c r="K897">
        <v>5</v>
      </c>
      <c r="L897" t="s">
        <v>21</v>
      </c>
      <c r="M897" t="s">
        <v>29</v>
      </c>
      <c r="N897" t="s">
        <v>34</v>
      </c>
      <c r="O897" t="s">
        <v>43</v>
      </c>
    </row>
    <row r="898" spans="1:15" x14ac:dyDescent="0.3">
      <c r="A898" t="s">
        <v>1102</v>
      </c>
      <c r="B898" t="s">
        <v>92</v>
      </c>
      <c r="C898" t="s">
        <v>17</v>
      </c>
      <c r="D898">
        <v>41</v>
      </c>
      <c r="E898" t="s">
        <v>26</v>
      </c>
      <c r="F898" t="s">
        <v>50</v>
      </c>
      <c r="G898" t="s">
        <v>33</v>
      </c>
      <c r="H898">
        <v>31000</v>
      </c>
      <c r="I898">
        <v>3</v>
      </c>
      <c r="J898">
        <v>4</v>
      </c>
      <c r="K898">
        <v>3</v>
      </c>
      <c r="L898" t="s">
        <v>29</v>
      </c>
      <c r="M898" t="s">
        <v>29</v>
      </c>
      <c r="N898" t="s">
        <v>22</v>
      </c>
      <c r="O898" t="s">
        <v>43</v>
      </c>
    </row>
    <row r="899" spans="1:15" x14ac:dyDescent="0.3">
      <c r="A899" t="s">
        <v>1103</v>
      </c>
      <c r="B899" t="s">
        <v>138</v>
      </c>
      <c r="C899" t="s">
        <v>17</v>
      </c>
      <c r="D899">
        <v>36</v>
      </c>
      <c r="E899" t="s">
        <v>41</v>
      </c>
      <c r="F899" t="s">
        <v>42</v>
      </c>
      <c r="G899" t="s">
        <v>28</v>
      </c>
      <c r="H899">
        <v>112000</v>
      </c>
      <c r="I899">
        <v>15</v>
      </c>
      <c r="J899">
        <v>3</v>
      </c>
      <c r="K899">
        <v>4</v>
      </c>
      <c r="L899" t="s">
        <v>21</v>
      </c>
      <c r="M899" t="s">
        <v>29</v>
      </c>
      <c r="N899" t="s">
        <v>34</v>
      </c>
      <c r="O899" t="s">
        <v>43</v>
      </c>
    </row>
    <row r="900" spans="1:15" x14ac:dyDescent="0.3">
      <c r="A900" t="s">
        <v>1104</v>
      </c>
      <c r="B900" t="s">
        <v>308</v>
      </c>
      <c r="C900" t="s">
        <v>37</v>
      </c>
      <c r="D900">
        <v>30</v>
      </c>
      <c r="E900" t="s">
        <v>57</v>
      </c>
      <c r="F900" t="s">
        <v>50</v>
      </c>
      <c r="G900" t="s">
        <v>33</v>
      </c>
      <c r="H900">
        <v>91000</v>
      </c>
      <c r="I900">
        <v>7</v>
      </c>
      <c r="J900">
        <v>4</v>
      </c>
      <c r="K900">
        <v>3</v>
      </c>
      <c r="L900" t="s">
        <v>29</v>
      </c>
      <c r="M900" t="s">
        <v>29</v>
      </c>
      <c r="N900" t="s">
        <v>22</v>
      </c>
      <c r="O900" t="s">
        <v>54</v>
      </c>
    </row>
    <row r="901" spans="1:15" x14ac:dyDescent="0.3">
      <c r="A901" t="s">
        <v>1105</v>
      </c>
      <c r="B901" t="s">
        <v>394</v>
      </c>
      <c r="C901" t="s">
        <v>17</v>
      </c>
      <c r="D901">
        <v>26</v>
      </c>
      <c r="E901" t="s">
        <v>66</v>
      </c>
      <c r="F901" t="s">
        <v>67</v>
      </c>
      <c r="G901" t="s">
        <v>28</v>
      </c>
      <c r="H901">
        <v>36000</v>
      </c>
      <c r="I901">
        <v>5</v>
      </c>
      <c r="J901">
        <v>3</v>
      </c>
      <c r="K901">
        <v>2</v>
      </c>
      <c r="L901" t="s">
        <v>29</v>
      </c>
      <c r="M901" t="s">
        <v>29</v>
      </c>
      <c r="N901" t="s">
        <v>34</v>
      </c>
      <c r="O901" t="s">
        <v>23</v>
      </c>
    </row>
    <row r="902" spans="1:15" x14ac:dyDescent="0.3">
      <c r="A902" t="s">
        <v>1106</v>
      </c>
      <c r="B902" t="s">
        <v>86</v>
      </c>
      <c r="C902" t="s">
        <v>37</v>
      </c>
      <c r="D902">
        <v>27</v>
      </c>
      <c r="E902" t="s">
        <v>49</v>
      </c>
      <c r="F902" t="s">
        <v>50</v>
      </c>
      <c r="G902" t="s">
        <v>20</v>
      </c>
      <c r="H902">
        <v>103000</v>
      </c>
      <c r="I902">
        <v>1</v>
      </c>
      <c r="J902">
        <v>4</v>
      </c>
      <c r="K902">
        <v>1</v>
      </c>
      <c r="L902" t="s">
        <v>21</v>
      </c>
      <c r="M902" t="s">
        <v>29</v>
      </c>
      <c r="N902" t="s">
        <v>22</v>
      </c>
      <c r="O902" t="s">
        <v>30</v>
      </c>
    </row>
    <row r="903" spans="1:15" x14ac:dyDescent="0.3">
      <c r="A903" t="s">
        <v>1107</v>
      </c>
      <c r="B903" t="s">
        <v>370</v>
      </c>
      <c r="C903" t="s">
        <v>37</v>
      </c>
      <c r="D903">
        <v>30</v>
      </c>
      <c r="E903" t="s">
        <v>66</v>
      </c>
      <c r="F903" t="s">
        <v>67</v>
      </c>
      <c r="G903" t="s">
        <v>20</v>
      </c>
      <c r="H903">
        <v>104000</v>
      </c>
      <c r="I903">
        <v>9</v>
      </c>
      <c r="J903">
        <v>2</v>
      </c>
      <c r="K903">
        <v>5</v>
      </c>
      <c r="L903" t="s">
        <v>21</v>
      </c>
      <c r="M903" t="s">
        <v>29</v>
      </c>
      <c r="N903" t="s">
        <v>34</v>
      </c>
      <c r="O903" t="s">
        <v>75</v>
      </c>
    </row>
    <row r="904" spans="1:15" x14ac:dyDescent="0.3">
      <c r="A904" t="s">
        <v>1108</v>
      </c>
      <c r="B904" t="s">
        <v>350</v>
      </c>
      <c r="C904" t="s">
        <v>17</v>
      </c>
      <c r="D904">
        <v>29</v>
      </c>
      <c r="E904" t="s">
        <v>41</v>
      </c>
      <c r="F904" t="s">
        <v>42</v>
      </c>
      <c r="G904" t="s">
        <v>46</v>
      </c>
      <c r="H904">
        <v>111000</v>
      </c>
      <c r="I904">
        <v>8</v>
      </c>
      <c r="J904">
        <v>2</v>
      </c>
      <c r="K904">
        <v>3</v>
      </c>
      <c r="L904" t="s">
        <v>21</v>
      </c>
      <c r="M904" t="s">
        <v>29</v>
      </c>
      <c r="N904" t="s">
        <v>22</v>
      </c>
      <c r="O904" t="s">
        <v>54</v>
      </c>
    </row>
    <row r="905" spans="1:15" x14ac:dyDescent="0.3">
      <c r="A905" t="s">
        <v>1109</v>
      </c>
      <c r="B905" t="s">
        <v>48</v>
      </c>
      <c r="C905" t="s">
        <v>37</v>
      </c>
      <c r="D905">
        <v>37</v>
      </c>
      <c r="E905" t="s">
        <v>66</v>
      </c>
      <c r="F905" t="s">
        <v>67</v>
      </c>
      <c r="G905" t="s">
        <v>20</v>
      </c>
      <c r="H905">
        <v>110000</v>
      </c>
      <c r="I905">
        <v>3</v>
      </c>
      <c r="J905">
        <v>4</v>
      </c>
      <c r="K905">
        <v>3</v>
      </c>
      <c r="L905" t="s">
        <v>21</v>
      </c>
      <c r="M905" t="s">
        <v>29</v>
      </c>
      <c r="N905" t="s">
        <v>34</v>
      </c>
      <c r="O905" t="s">
        <v>70</v>
      </c>
    </row>
    <row r="906" spans="1:15" x14ac:dyDescent="0.3">
      <c r="A906" t="s">
        <v>1110</v>
      </c>
      <c r="B906" t="s">
        <v>16</v>
      </c>
      <c r="C906" t="s">
        <v>37</v>
      </c>
      <c r="D906">
        <v>52</v>
      </c>
      <c r="E906" t="s">
        <v>49</v>
      </c>
      <c r="F906" t="s">
        <v>50</v>
      </c>
      <c r="G906" t="s">
        <v>28</v>
      </c>
      <c r="H906">
        <v>92000</v>
      </c>
      <c r="I906">
        <v>2</v>
      </c>
      <c r="J906">
        <v>3</v>
      </c>
      <c r="K906">
        <v>4</v>
      </c>
      <c r="L906" t="s">
        <v>21</v>
      </c>
      <c r="M906" t="s">
        <v>29</v>
      </c>
      <c r="N906" t="s">
        <v>34</v>
      </c>
      <c r="O906" t="s">
        <v>75</v>
      </c>
    </row>
    <row r="907" spans="1:15" x14ac:dyDescent="0.3">
      <c r="A907" t="s">
        <v>1111</v>
      </c>
      <c r="B907" t="s">
        <v>666</v>
      </c>
      <c r="C907" t="s">
        <v>37</v>
      </c>
      <c r="D907">
        <v>48</v>
      </c>
      <c r="E907" t="s">
        <v>41</v>
      </c>
      <c r="F907" t="s">
        <v>73</v>
      </c>
      <c r="G907" t="s">
        <v>28</v>
      </c>
      <c r="H907">
        <v>96000</v>
      </c>
      <c r="I907">
        <v>9</v>
      </c>
      <c r="J907">
        <v>2</v>
      </c>
      <c r="K907">
        <v>3</v>
      </c>
      <c r="L907" t="s">
        <v>21</v>
      </c>
      <c r="M907" t="s">
        <v>29</v>
      </c>
      <c r="N907" t="s">
        <v>34</v>
      </c>
      <c r="O907" t="s">
        <v>23</v>
      </c>
    </row>
    <row r="908" spans="1:15" x14ac:dyDescent="0.3">
      <c r="A908" t="s">
        <v>1112</v>
      </c>
      <c r="B908" t="s">
        <v>253</v>
      </c>
      <c r="C908" t="s">
        <v>37</v>
      </c>
      <c r="D908">
        <v>28</v>
      </c>
      <c r="E908" t="s">
        <v>41</v>
      </c>
      <c r="F908" t="s">
        <v>73</v>
      </c>
      <c r="G908" t="s">
        <v>46</v>
      </c>
      <c r="H908">
        <v>32000</v>
      </c>
      <c r="I908">
        <v>6</v>
      </c>
      <c r="J908">
        <v>3</v>
      </c>
      <c r="K908">
        <v>2</v>
      </c>
      <c r="L908" t="s">
        <v>21</v>
      </c>
      <c r="M908" t="s">
        <v>21</v>
      </c>
      <c r="N908" t="s">
        <v>34</v>
      </c>
      <c r="O908" t="s">
        <v>70</v>
      </c>
    </row>
    <row r="909" spans="1:15" x14ac:dyDescent="0.3">
      <c r="A909" t="s">
        <v>1113</v>
      </c>
      <c r="B909" t="s">
        <v>320</v>
      </c>
      <c r="C909" t="s">
        <v>17</v>
      </c>
      <c r="D909">
        <v>43</v>
      </c>
      <c r="E909" t="s">
        <v>18</v>
      </c>
      <c r="F909" t="s">
        <v>19</v>
      </c>
      <c r="G909" t="s">
        <v>46</v>
      </c>
      <c r="H909">
        <v>72000</v>
      </c>
      <c r="I909">
        <v>18</v>
      </c>
      <c r="J909">
        <v>2</v>
      </c>
      <c r="K909">
        <v>5</v>
      </c>
      <c r="L909" t="s">
        <v>21</v>
      </c>
      <c r="M909" t="s">
        <v>29</v>
      </c>
      <c r="N909" t="s">
        <v>22</v>
      </c>
      <c r="O909" t="s">
        <v>51</v>
      </c>
    </row>
    <row r="910" spans="1:15" x14ac:dyDescent="0.3">
      <c r="A910" t="s">
        <v>1114</v>
      </c>
      <c r="B910" t="s">
        <v>199</v>
      </c>
      <c r="C910" t="s">
        <v>17</v>
      </c>
      <c r="D910">
        <v>32</v>
      </c>
      <c r="E910" t="s">
        <v>18</v>
      </c>
      <c r="F910" t="s">
        <v>19</v>
      </c>
      <c r="G910" t="s">
        <v>20</v>
      </c>
      <c r="H910">
        <v>27000</v>
      </c>
      <c r="I910">
        <v>9</v>
      </c>
      <c r="J910">
        <v>2</v>
      </c>
      <c r="K910">
        <v>3</v>
      </c>
      <c r="L910" t="s">
        <v>21</v>
      </c>
      <c r="M910" t="s">
        <v>29</v>
      </c>
      <c r="N910" t="s">
        <v>34</v>
      </c>
      <c r="O910" t="s">
        <v>54</v>
      </c>
    </row>
    <row r="911" spans="1:15" x14ac:dyDescent="0.3">
      <c r="A911" t="s">
        <v>1115</v>
      </c>
      <c r="B911" t="s">
        <v>205</v>
      </c>
      <c r="C911" t="s">
        <v>17</v>
      </c>
      <c r="D911">
        <v>30</v>
      </c>
      <c r="E911" t="s">
        <v>18</v>
      </c>
      <c r="F911" t="s">
        <v>126</v>
      </c>
      <c r="G911" t="s">
        <v>33</v>
      </c>
      <c r="H911">
        <v>72000</v>
      </c>
      <c r="I911">
        <v>4</v>
      </c>
      <c r="J911">
        <v>2</v>
      </c>
      <c r="K911">
        <v>1</v>
      </c>
      <c r="L911" t="s">
        <v>21</v>
      </c>
      <c r="M911" t="s">
        <v>21</v>
      </c>
      <c r="N911" t="s">
        <v>22</v>
      </c>
      <c r="O911" t="s">
        <v>38</v>
      </c>
    </row>
    <row r="912" spans="1:15" x14ac:dyDescent="0.3">
      <c r="A912" t="s">
        <v>1116</v>
      </c>
      <c r="B912" t="s">
        <v>502</v>
      </c>
      <c r="C912" t="s">
        <v>17</v>
      </c>
      <c r="D912">
        <v>35</v>
      </c>
      <c r="E912" t="s">
        <v>66</v>
      </c>
      <c r="F912" t="s">
        <v>82</v>
      </c>
      <c r="G912" t="s">
        <v>46</v>
      </c>
      <c r="H912">
        <v>73000</v>
      </c>
      <c r="I912">
        <v>12</v>
      </c>
      <c r="J912">
        <v>5</v>
      </c>
      <c r="K912">
        <v>1</v>
      </c>
      <c r="L912" t="s">
        <v>29</v>
      </c>
      <c r="M912" t="s">
        <v>29</v>
      </c>
      <c r="N912" t="s">
        <v>34</v>
      </c>
      <c r="O912" t="s">
        <v>54</v>
      </c>
    </row>
    <row r="913" spans="1:15" x14ac:dyDescent="0.3">
      <c r="A913" t="s">
        <v>1117</v>
      </c>
      <c r="B913" t="s">
        <v>63</v>
      </c>
      <c r="C913" t="s">
        <v>37</v>
      </c>
      <c r="D913">
        <v>38</v>
      </c>
      <c r="E913" t="s">
        <v>49</v>
      </c>
      <c r="F913" t="s">
        <v>27</v>
      </c>
      <c r="G913" t="s">
        <v>46</v>
      </c>
      <c r="H913">
        <v>44000</v>
      </c>
      <c r="I913">
        <v>6</v>
      </c>
      <c r="J913">
        <v>3</v>
      </c>
      <c r="K913">
        <v>4</v>
      </c>
      <c r="L913" t="s">
        <v>21</v>
      </c>
      <c r="M913" t="s">
        <v>21</v>
      </c>
      <c r="N913" t="s">
        <v>34</v>
      </c>
      <c r="O913" t="s">
        <v>23</v>
      </c>
    </row>
    <row r="914" spans="1:15" x14ac:dyDescent="0.3">
      <c r="A914" t="s">
        <v>1118</v>
      </c>
      <c r="B914" t="s">
        <v>201</v>
      </c>
      <c r="C914" t="s">
        <v>17</v>
      </c>
      <c r="D914">
        <v>34</v>
      </c>
      <c r="E914" t="s">
        <v>57</v>
      </c>
      <c r="F914" t="s">
        <v>50</v>
      </c>
      <c r="G914" t="s">
        <v>28</v>
      </c>
      <c r="H914">
        <v>68000</v>
      </c>
      <c r="I914">
        <v>2</v>
      </c>
      <c r="J914">
        <v>2</v>
      </c>
      <c r="K914">
        <v>5</v>
      </c>
      <c r="L914" t="s">
        <v>29</v>
      </c>
      <c r="M914" t="s">
        <v>29</v>
      </c>
      <c r="N914" t="s">
        <v>34</v>
      </c>
      <c r="O914" t="s">
        <v>70</v>
      </c>
    </row>
    <row r="915" spans="1:15" x14ac:dyDescent="0.3">
      <c r="A915" t="s">
        <v>1119</v>
      </c>
      <c r="B915" t="s">
        <v>205</v>
      </c>
      <c r="C915" t="s">
        <v>37</v>
      </c>
      <c r="D915">
        <v>53</v>
      </c>
      <c r="E915" t="s">
        <v>26</v>
      </c>
      <c r="F915" t="s">
        <v>27</v>
      </c>
      <c r="G915" t="s">
        <v>20</v>
      </c>
      <c r="H915">
        <v>73000</v>
      </c>
      <c r="I915">
        <v>17</v>
      </c>
      <c r="J915">
        <v>5</v>
      </c>
      <c r="K915">
        <v>1</v>
      </c>
      <c r="L915" t="s">
        <v>21</v>
      </c>
      <c r="M915" t="s">
        <v>21</v>
      </c>
      <c r="N915" t="s">
        <v>22</v>
      </c>
      <c r="O915" t="s">
        <v>23</v>
      </c>
    </row>
    <row r="916" spans="1:15" x14ac:dyDescent="0.3">
      <c r="A916" t="s">
        <v>1120</v>
      </c>
      <c r="B916" t="s">
        <v>295</v>
      </c>
      <c r="C916" t="s">
        <v>37</v>
      </c>
      <c r="D916">
        <v>44</v>
      </c>
      <c r="E916" t="s">
        <v>18</v>
      </c>
      <c r="F916" t="s">
        <v>126</v>
      </c>
      <c r="G916" t="s">
        <v>20</v>
      </c>
      <c r="H916">
        <v>78000</v>
      </c>
      <c r="I916">
        <v>5</v>
      </c>
      <c r="J916">
        <v>5</v>
      </c>
      <c r="K916">
        <v>1</v>
      </c>
      <c r="L916" t="s">
        <v>29</v>
      </c>
      <c r="M916" t="s">
        <v>29</v>
      </c>
      <c r="N916" t="s">
        <v>34</v>
      </c>
      <c r="O916" t="s">
        <v>75</v>
      </c>
    </row>
    <row r="917" spans="1:15" x14ac:dyDescent="0.3">
      <c r="A917" t="s">
        <v>1121</v>
      </c>
      <c r="B917" t="s">
        <v>376</v>
      </c>
      <c r="C917" t="s">
        <v>37</v>
      </c>
      <c r="D917">
        <v>41</v>
      </c>
      <c r="E917" t="s">
        <v>66</v>
      </c>
      <c r="F917" t="s">
        <v>82</v>
      </c>
      <c r="G917" t="s">
        <v>33</v>
      </c>
      <c r="H917">
        <v>48000</v>
      </c>
      <c r="I917">
        <v>11</v>
      </c>
      <c r="J917">
        <v>2</v>
      </c>
      <c r="K917">
        <v>4</v>
      </c>
      <c r="L917" t="s">
        <v>21</v>
      </c>
      <c r="M917" t="s">
        <v>29</v>
      </c>
      <c r="N917" t="s">
        <v>34</v>
      </c>
      <c r="O917" t="s">
        <v>51</v>
      </c>
    </row>
    <row r="918" spans="1:15" x14ac:dyDescent="0.3">
      <c r="A918" t="s">
        <v>1122</v>
      </c>
      <c r="B918" t="s">
        <v>227</v>
      </c>
      <c r="C918" t="s">
        <v>37</v>
      </c>
      <c r="D918">
        <v>38</v>
      </c>
      <c r="E918" t="s">
        <v>18</v>
      </c>
      <c r="F918" t="s">
        <v>126</v>
      </c>
      <c r="G918" t="s">
        <v>33</v>
      </c>
      <c r="H918">
        <v>57000</v>
      </c>
      <c r="I918">
        <v>9</v>
      </c>
      <c r="J918">
        <v>2</v>
      </c>
      <c r="K918">
        <v>2</v>
      </c>
      <c r="L918" t="s">
        <v>21</v>
      </c>
      <c r="M918" t="s">
        <v>29</v>
      </c>
      <c r="N918" t="s">
        <v>22</v>
      </c>
      <c r="O918" t="s">
        <v>51</v>
      </c>
    </row>
    <row r="919" spans="1:15" x14ac:dyDescent="0.3">
      <c r="A919" t="s">
        <v>1123</v>
      </c>
      <c r="B919" t="s">
        <v>118</v>
      </c>
      <c r="C919" t="s">
        <v>37</v>
      </c>
      <c r="D919">
        <v>50</v>
      </c>
      <c r="E919" t="s">
        <v>18</v>
      </c>
      <c r="F919" t="s">
        <v>19</v>
      </c>
      <c r="G919" t="s">
        <v>46</v>
      </c>
      <c r="H919">
        <v>86000</v>
      </c>
      <c r="I919">
        <v>5</v>
      </c>
      <c r="J919">
        <v>2</v>
      </c>
      <c r="K919">
        <v>3</v>
      </c>
      <c r="L919" t="s">
        <v>21</v>
      </c>
      <c r="M919" t="s">
        <v>29</v>
      </c>
      <c r="N919" t="s">
        <v>34</v>
      </c>
      <c r="O919" t="s">
        <v>54</v>
      </c>
    </row>
    <row r="920" spans="1:15" x14ac:dyDescent="0.3">
      <c r="A920" t="s">
        <v>1124</v>
      </c>
      <c r="B920" t="s">
        <v>48</v>
      </c>
      <c r="C920" t="s">
        <v>37</v>
      </c>
      <c r="D920">
        <v>38</v>
      </c>
      <c r="E920" t="s">
        <v>57</v>
      </c>
      <c r="F920" t="s">
        <v>50</v>
      </c>
      <c r="G920" t="s">
        <v>20</v>
      </c>
      <c r="H920">
        <v>91000</v>
      </c>
      <c r="I920">
        <v>3</v>
      </c>
      <c r="J920">
        <v>2</v>
      </c>
      <c r="K920">
        <v>1</v>
      </c>
      <c r="L920" t="s">
        <v>21</v>
      </c>
      <c r="M920" t="s">
        <v>29</v>
      </c>
      <c r="N920" t="s">
        <v>22</v>
      </c>
      <c r="O920" t="s">
        <v>38</v>
      </c>
    </row>
    <row r="921" spans="1:15" x14ac:dyDescent="0.3">
      <c r="A921" t="s">
        <v>1125</v>
      </c>
      <c r="B921" t="s">
        <v>418</v>
      </c>
      <c r="C921" t="s">
        <v>17</v>
      </c>
      <c r="D921">
        <v>33</v>
      </c>
      <c r="E921" t="s">
        <v>26</v>
      </c>
      <c r="F921" t="s">
        <v>50</v>
      </c>
      <c r="G921" t="s">
        <v>46</v>
      </c>
      <c r="H921">
        <v>55000</v>
      </c>
      <c r="I921">
        <v>5</v>
      </c>
      <c r="J921">
        <v>3</v>
      </c>
      <c r="K921">
        <v>2</v>
      </c>
      <c r="L921" t="s">
        <v>21</v>
      </c>
      <c r="M921" t="s">
        <v>29</v>
      </c>
      <c r="N921" t="s">
        <v>22</v>
      </c>
      <c r="O921" t="s">
        <v>23</v>
      </c>
    </row>
    <row r="922" spans="1:15" x14ac:dyDescent="0.3">
      <c r="A922" t="s">
        <v>1126</v>
      </c>
      <c r="B922" t="s">
        <v>199</v>
      </c>
      <c r="C922" t="s">
        <v>17</v>
      </c>
      <c r="D922">
        <v>31</v>
      </c>
      <c r="E922" t="s">
        <v>49</v>
      </c>
      <c r="F922" t="s">
        <v>50</v>
      </c>
      <c r="G922" t="s">
        <v>20</v>
      </c>
      <c r="H922">
        <v>42000</v>
      </c>
      <c r="I922">
        <v>10</v>
      </c>
      <c r="J922">
        <v>4</v>
      </c>
      <c r="K922">
        <v>1</v>
      </c>
      <c r="L922" t="s">
        <v>29</v>
      </c>
      <c r="M922" t="s">
        <v>29</v>
      </c>
      <c r="N922" t="s">
        <v>22</v>
      </c>
      <c r="O922" t="s">
        <v>23</v>
      </c>
    </row>
    <row r="923" spans="1:15" x14ac:dyDescent="0.3">
      <c r="A923" t="s">
        <v>1127</v>
      </c>
      <c r="B923" t="s">
        <v>227</v>
      </c>
      <c r="C923" t="s">
        <v>17</v>
      </c>
      <c r="D923">
        <v>27</v>
      </c>
      <c r="E923" t="s">
        <v>57</v>
      </c>
      <c r="F923" t="s">
        <v>27</v>
      </c>
      <c r="G923" t="s">
        <v>46</v>
      </c>
      <c r="H923">
        <v>90000</v>
      </c>
      <c r="I923">
        <v>6</v>
      </c>
      <c r="J923">
        <v>2</v>
      </c>
      <c r="K923">
        <v>1</v>
      </c>
      <c r="L923" t="s">
        <v>21</v>
      </c>
      <c r="M923" t="s">
        <v>21</v>
      </c>
      <c r="N923" t="s">
        <v>34</v>
      </c>
      <c r="O923" t="s">
        <v>30</v>
      </c>
    </row>
    <row r="924" spans="1:15" x14ac:dyDescent="0.3">
      <c r="A924" t="s">
        <v>1128</v>
      </c>
      <c r="B924" t="s">
        <v>223</v>
      </c>
      <c r="C924" t="s">
        <v>37</v>
      </c>
      <c r="D924">
        <v>36</v>
      </c>
      <c r="E924" t="s">
        <v>18</v>
      </c>
      <c r="F924" t="s">
        <v>19</v>
      </c>
      <c r="G924" t="s">
        <v>28</v>
      </c>
      <c r="H924">
        <v>118000</v>
      </c>
      <c r="I924">
        <v>15</v>
      </c>
      <c r="J924">
        <v>3</v>
      </c>
      <c r="K924">
        <v>4</v>
      </c>
      <c r="L924" t="s">
        <v>29</v>
      </c>
      <c r="M924" t="s">
        <v>29</v>
      </c>
      <c r="N924" t="s">
        <v>22</v>
      </c>
      <c r="O924" t="s">
        <v>70</v>
      </c>
    </row>
    <row r="925" spans="1:15" x14ac:dyDescent="0.3">
      <c r="A925" t="s">
        <v>1129</v>
      </c>
      <c r="B925" t="s">
        <v>86</v>
      </c>
      <c r="C925" t="s">
        <v>17</v>
      </c>
      <c r="D925">
        <v>28</v>
      </c>
      <c r="E925" t="s">
        <v>41</v>
      </c>
      <c r="F925" t="s">
        <v>73</v>
      </c>
      <c r="G925" t="s">
        <v>20</v>
      </c>
      <c r="H925">
        <v>87000</v>
      </c>
      <c r="I925">
        <v>7</v>
      </c>
      <c r="J925">
        <v>4</v>
      </c>
      <c r="K925">
        <v>1</v>
      </c>
      <c r="L925" t="s">
        <v>21</v>
      </c>
      <c r="M925" t="s">
        <v>21</v>
      </c>
      <c r="N925" t="s">
        <v>34</v>
      </c>
      <c r="O925" t="s">
        <v>54</v>
      </c>
    </row>
    <row r="926" spans="1:15" x14ac:dyDescent="0.3">
      <c r="A926" t="s">
        <v>1130</v>
      </c>
      <c r="B926" t="s">
        <v>397</v>
      </c>
      <c r="C926" t="s">
        <v>37</v>
      </c>
      <c r="D926">
        <v>40</v>
      </c>
      <c r="E926" t="s">
        <v>41</v>
      </c>
      <c r="F926" t="s">
        <v>42</v>
      </c>
      <c r="G926" t="s">
        <v>46</v>
      </c>
      <c r="H926">
        <v>107000</v>
      </c>
      <c r="I926">
        <v>3</v>
      </c>
      <c r="J926">
        <v>5</v>
      </c>
      <c r="K926">
        <v>3</v>
      </c>
      <c r="L926" t="s">
        <v>29</v>
      </c>
      <c r="M926" t="s">
        <v>21</v>
      </c>
      <c r="N926" t="s">
        <v>22</v>
      </c>
      <c r="O926" t="s">
        <v>43</v>
      </c>
    </row>
    <row r="927" spans="1:15" x14ac:dyDescent="0.3">
      <c r="A927" t="s">
        <v>1131</v>
      </c>
      <c r="B927" t="s">
        <v>335</v>
      </c>
      <c r="C927" t="s">
        <v>37</v>
      </c>
      <c r="D927">
        <v>50</v>
      </c>
      <c r="E927" t="s">
        <v>26</v>
      </c>
      <c r="F927" t="s">
        <v>27</v>
      </c>
      <c r="G927" t="s">
        <v>33</v>
      </c>
      <c r="H927">
        <v>80000</v>
      </c>
      <c r="I927">
        <v>8</v>
      </c>
      <c r="J927">
        <v>4</v>
      </c>
      <c r="K927">
        <v>5</v>
      </c>
      <c r="L927" t="s">
        <v>29</v>
      </c>
      <c r="M927" t="s">
        <v>29</v>
      </c>
      <c r="N927" t="s">
        <v>22</v>
      </c>
      <c r="O927" t="s">
        <v>38</v>
      </c>
    </row>
    <row r="928" spans="1:15" x14ac:dyDescent="0.3">
      <c r="A928" t="s">
        <v>1132</v>
      </c>
      <c r="B928" t="s">
        <v>86</v>
      </c>
      <c r="C928" t="s">
        <v>17</v>
      </c>
      <c r="D928">
        <v>55</v>
      </c>
      <c r="E928" t="s">
        <v>66</v>
      </c>
      <c r="F928" t="s">
        <v>67</v>
      </c>
      <c r="G928" t="s">
        <v>33</v>
      </c>
      <c r="H928">
        <v>79000</v>
      </c>
      <c r="I928">
        <v>5</v>
      </c>
      <c r="J928">
        <v>2</v>
      </c>
      <c r="K928">
        <v>3</v>
      </c>
      <c r="L928" t="s">
        <v>21</v>
      </c>
      <c r="M928" t="s">
        <v>29</v>
      </c>
      <c r="N928" t="s">
        <v>22</v>
      </c>
      <c r="O928" t="s">
        <v>43</v>
      </c>
    </row>
    <row r="929" spans="1:15" x14ac:dyDescent="0.3">
      <c r="A929" t="s">
        <v>1133</v>
      </c>
      <c r="B929" t="s">
        <v>300</v>
      </c>
      <c r="C929" t="s">
        <v>37</v>
      </c>
      <c r="D929">
        <v>30</v>
      </c>
      <c r="E929" t="s">
        <v>66</v>
      </c>
      <c r="F929" t="s">
        <v>82</v>
      </c>
      <c r="G929" t="s">
        <v>28</v>
      </c>
      <c r="H929">
        <v>116000</v>
      </c>
      <c r="I929">
        <v>9</v>
      </c>
      <c r="J929">
        <v>2</v>
      </c>
      <c r="K929">
        <v>3</v>
      </c>
      <c r="L929" t="s">
        <v>21</v>
      </c>
      <c r="M929" t="s">
        <v>29</v>
      </c>
      <c r="N929" t="s">
        <v>22</v>
      </c>
      <c r="O929" t="s">
        <v>54</v>
      </c>
    </row>
    <row r="930" spans="1:15" x14ac:dyDescent="0.3">
      <c r="A930" t="s">
        <v>1134</v>
      </c>
      <c r="B930" t="s">
        <v>138</v>
      </c>
      <c r="C930" t="s">
        <v>17</v>
      </c>
      <c r="D930">
        <v>46</v>
      </c>
      <c r="E930" t="s">
        <v>49</v>
      </c>
      <c r="F930" t="s">
        <v>50</v>
      </c>
      <c r="G930" t="s">
        <v>33</v>
      </c>
      <c r="H930">
        <v>45000</v>
      </c>
      <c r="I930">
        <v>16</v>
      </c>
      <c r="J930">
        <v>3</v>
      </c>
      <c r="K930">
        <v>5</v>
      </c>
      <c r="L930" t="s">
        <v>21</v>
      </c>
      <c r="M930" t="s">
        <v>29</v>
      </c>
      <c r="N930" t="s">
        <v>34</v>
      </c>
      <c r="O930" t="s">
        <v>70</v>
      </c>
    </row>
    <row r="931" spans="1:15" x14ac:dyDescent="0.3">
      <c r="A931" t="s">
        <v>1135</v>
      </c>
      <c r="B931" t="s">
        <v>541</v>
      </c>
      <c r="C931" t="s">
        <v>17</v>
      </c>
      <c r="D931">
        <v>29</v>
      </c>
      <c r="E931" t="s">
        <v>49</v>
      </c>
      <c r="F931" t="s">
        <v>50</v>
      </c>
      <c r="G931" t="s">
        <v>20</v>
      </c>
      <c r="H931">
        <v>111000</v>
      </c>
      <c r="I931">
        <v>8</v>
      </c>
      <c r="J931">
        <v>5</v>
      </c>
      <c r="K931">
        <v>5</v>
      </c>
      <c r="L931" t="s">
        <v>29</v>
      </c>
      <c r="M931" t="s">
        <v>29</v>
      </c>
      <c r="N931" t="s">
        <v>22</v>
      </c>
      <c r="O931" t="s">
        <v>38</v>
      </c>
    </row>
    <row r="932" spans="1:15" x14ac:dyDescent="0.3">
      <c r="A932" t="s">
        <v>1136</v>
      </c>
      <c r="B932" t="s">
        <v>376</v>
      </c>
      <c r="C932" t="s">
        <v>37</v>
      </c>
      <c r="D932">
        <v>39</v>
      </c>
      <c r="E932" t="s">
        <v>18</v>
      </c>
      <c r="F932" t="s">
        <v>19</v>
      </c>
      <c r="G932" t="s">
        <v>28</v>
      </c>
      <c r="H932">
        <v>114000</v>
      </c>
      <c r="I932">
        <v>16</v>
      </c>
      <c r="J932">
        <v>4</v>
      </c>
      <c r="K932">
        <v>5</v>
      </c>
      <c r="L932" t="s">
        <v>29</v>
      </c>
      <c r="M932" t="s">
        <v>29</v>
      </c>
      <c r="N932" t="s">
        <v>22</v>
      </c>
      <c r="O932" t="s">
        <v>38</v>
      </c>
    </row>
    <row r="933" spans="1:15" x14ac:dyDescent="0.3">
      <c r="A933" t="s">
        <v>1137</v>
      </c>
      <c r="B933" t="s">
        <v>45</v>
      </c>
      <c r="C933" t="s">
        <v>37</v>
      </c>
      <c r="D933">
        <v>28</v>
      </c>
      <c r="E933" t="s">
        <v>41</v>
      </c>
      <c r="F933" t="s">
        <v>73</v>
      </c>
      <c r="G933" t="s">
        <v>28</v>
      </c>
      <c r="H933">
        <v>60000</v>
      </c>
      <c r="I933">
        <v>7</v>
      </c>
      <c r="J933">
        <v>4</v>
      </c>
      <c r="K933">
        <v>4</v>
      </c>
      <c r="L933" t="s">
        <v>21</v>
      </c>
      <c r="M933" t="s">
        <v>29</v>
      </c>
      <c r="N933" t="s">
        <v>22</v>
      </c>
      <c r="O933" t="s">
        <v>43</v>
      </c>
    </row>
    <row r="934" spans="1:15" x14ac:dyDescent="0.3">
      <c r="A934" t="s">
        <v>1138</v>
      </c>
      <c r="B934" t="s">
        <v>125</v>
      </c>
      <c r="C934" t="s">
        <v>37</v>
      </c>
      <c r="D934">
        <v>24</v>
      </c>
      <c r="E934" t="s">
        <v>18</v>
      </c>
      <c r="F934" t="s">
        <v>19</v>
      </c>
      <c r="G934" t="s">
        <v>46</v>
      </c>
      <c r="H934">
        <v>80000</v>
      </c>
      <c r="I934">
        <v>3</v>
      </c>
      <c r="J934">
        <v>4</v>
      </c>
      <c r="K934">
        <v>4</v>
      </c>
      <c r="L934" t="s">
        <v>29</v>
      </c>
      <c r="M934" t="s">
        <v>29</v>
      </c>
      <c r="N934" t="s">
        <v>22</v>
      </c>
      <c r="O934" t="s">
        <v>51</v>
      </c>
    </row>
    <row r="935" spans="1:15" x14ac:dyDescent="0.3">
      <c r="A935" t="s">
        <v>1139</v>
      </c>
      <c r="B935" t="s">
        <v>448</v>
      </c>
      <c r="C935" t="s">
        <v>37</v>
      </c>
      <c r="D935">
        <v>35</v>
      </c>
      <c r="E935" t="s">
        <v>57</v>
      </c>
      <c r="F935" t="s">
        <v>50</v>
      </c>
      <c r="G935" t="s">
        <v>20</v>
      </c>
      <c r="H935">
        <v>62000</v>
      </c>
      <c r="I935">
        <v>0</v>
      </c>
      <c r="J935">
        <v>5</v>
      </c>
      <c r="K935">
        <v>2</v>
      </c>
      <c r="L935" t="s">
        <v>29</v>
      </c>
      <c r="M935" t="s">
        <v>29</v>
      </c>
      <c r="N935" t="s">
        <v>34</v>
      </c>
      <c r="O935" t="s">
        <v>54</v>
      </c>
    </row>
    <row r="936" spans="1:15" x14ac:dyDescent="0.3">
      <c r="A936" t="s">
        <v>1140</v>
      </c>
      <c r="B936" t="s">
        <v>709</v>
      </c>
      <c r="C936" t="s">
        <v>37</v>
      </c>
      <c r="D936">
        <v>49</v>
      </c>
      <c r="E936" t="s">
        <v>26</v>
      </c>
      <c r="F936" t="s">
        <v>50</v>
      </c>
      <c r="G936" t="s">
        <v>20</v>
      </c>
      <c r="H936">
        <v>107000</v>
      </c>
      <c r="I936">
        <v>15</v>
      </c>
      <c r="J936">
        <v>2</v>
      </c>
      <c r="K936">
        <v>5</v>
      </c>
      <c r="L936" t="s">
        <v>21</v>
      </c>
      <c r="M936" t="s">
        <v>21</v>
      </c>
      <c r="N936" t="s">
        <v>22</v>
      </c>
      <c r="O936" t="s">
        <v>23</v>
      </c>
    </row>
    <row r="937" spans="1:15" x14ac:dyDescent="0.3">
      <c r="A937" t="s">
        <v>1141</v>
      </c>
      <c r="B937" t="s">
        <v>229</v>
      </c>
      <c r="C937" t="s">
        <v>17</v>
      </c>
      <c r="D937">
        <v>40</v>
      </c>
      <c r="E937" t="s">
        <v>26</v>
      </c>
      <c r="F937" t="s">
        <v>50</v>
      </c>
      <c r="G937" t="s">
        <v>20</v>
      </c>
      <c r="H937">
        <v>43000</v>
      </c>
      <c r="I937">
        <v>16</v>
      </c>
      <c r="J937">
        <v>4</v>
      </c>
      <c r="K937">
        <v>5</v>
      </c>
      <c r="L937" t="s">
        <v>29</v>
      </c>
      <c r="M937" t="s">
        <v>29</v>
      </c>
      <c r="N937" t="s">
        <v>34</v>
      </c>
      <c r="O937" t="s">
        <v>54</v>
      </c>
    </row>
    <row r="938" spans="1:15" x14ac:dyDescent="0.3">
      <c r="A938" t="s">
        <v>1142</v>
      </c>
      <c r="B938" t="s">
        <v>1063</v>
      </c>
      <c r="C938" t="s">
        <v>37</v>
      </c>
      <c r="D938">
        <v>24</v>
      </c>
      <c r="E938" t="s">
        <v>49</v>
      </c>
      <c r="F938" t="s">
        <v>50</v>
      </c>
      <c r="G938" t="s">
        <v>20</v>
      </c>
      <c r="H938">
        <v>105000</v>
      </c>
      <c r="I938">
        <v>3</v>
      </c>
      <c r="J938">
        <v>5</v>
      </c>
      <c r="K938">
        <v>1</v>
      </c>
      <c r="L938" t="s">
        <v>29</v>
      </c>
      <c r="M938" t="s">
        <v>29</v>
      </c>
      <c r="N938" t="s">
        <v>34</v>
      </c>
      <c r="O938" t="s">
        <v>23</v>
      </c>
    </row>
    <row r="939" spans="1:15" x14ac:dyDescent="0.3">
      <c r="A939" t="s">
        <v>1143</v>
      </c>
      <c r="B939" t="s">
        <v>297</v>
      </c>
      <c r="C939" t="s">
        <v>17</v>
      </c>
      <c r="D939">
        <v>42</v>
      </c>
      <c r="E939" t="s">
        <v>49</v>
      </c>
      <c r="F939" t="s">
        <v>27</v>
      </c>
      <c r="G939" t="s">
        <v>28</v>
      </c>
      <c r="H939">
        <v>60000</v>
      </c>
      <c r="I939">
        <v>1</v>
      </c>
      <c r="J939">
        <v>4</v>
      </c>
      <c r="K939">
        <v>2</v>
      </c>
      <c r="L939" t="s">
        <v>29</v>
      </c>
      <c r="M939" t="s">
        <v>29</v>
      </c>
      <c r="N939" t="s">
        <v>34</v>
      </c>
      <c r="O939" t="s">
        <v>30</v>
      </c>
    </row>
    <row r="940" spans="1:15" x14ac:dyDescent="0.3">
      <c r="A940" t="s">
        <v>1144</v>
      </c>
      <c r="B940" t="s">
        <v>168</v>
      </c>
      <c r="C940" t="s">
        <v>37</v>
      </c>
      <c r="D940">
        <v>48</v>
      </c>
      <c r="E940" t="s">
        <v>26</v>
      </c>
      <c r="F940" t="s">
        <v>27</v>
      </c>
      <c r="G940" t="s">
        <v>28</v>
      </c>
      <c r="H940">
        <v>61000</v>
      </c>
      <c r="I940">
        <v>11</v>
      </c>
      <c r="J940">
        <v>2</v>
      </c>
      <c r="K940">
        <v>2</v>
      </c>
      <c r="L940" t="s">
        <v>29</v>
      </c>
      <c r="M940" t="s">
        <v>29</v>
      </c>
      <c r="N940" t="s">
        <v>34</v>
      </c>
      <c r="O940" t="s">
        <v>51</v>
      </c>
    </row>
    <row r="941" spans="1:15" x14ac:dyDescent="0.3">
      <c r="A941" t="s">
        <v>1145</v>
      </c>
      <c r="B941" t="s">
        <v>302</v>
      </c>
      <c r="C941" t="s">
        <v>37</v>
      </c>
      <c r="D941">
        <v>31</v>
      </c>
      <c r="E941" t="s">
        <v>49</v>
      </c>
      <c r="F941" t="s">
        <v>27</v>
      </c>
      <c r="G941" t="s">
        <v>33</v>
      </c>
      <c r="H941">
        <v>103000</v>
      </c>
      <c r="I941">
        <v>6</v>
      </c>
      <c r="J941">
        <v>3</v>
      </c>
      <c r="K941">
        <v>3</v>
      </c>
      <c r="L941" t="s">
        <v>21</v>
      </c>
      <c r="M941" t="s">
        <v>21</v>
      </c>
      <c r="N941" t="s">
        <v>34</v>
      </c>
      <c r="O941" t="s">
        <v>70</v>
      </c>
    </row>
    <row r="942" spans="1:15" x14ac:dyDescent="0.3">
      <c r="A942" t="s">
        <v>1146</v>
      </c>
      <c r="B942" t="s">
        <v>379</v>
      </c>
      <c r="C942" t="s">
        <v>17</v>
      </c>
      <c r="D942">
        <v>29</v>
      </c>
      <c r="E942" t="s">
        <v>66</v>
      </c>
      <c r="F942" t="s">
        <v>67</v>
      </c>
      <c r="G942" t="s">
        <v>46</v>
      </c>
      <c r="H942">
        <v>79000</v>
      </c>
      <c r="I942">
        <v>8</v>
      </c>
      <c r="J942">
        <v>2</v>
      </c>
      <c r="K942">
        <v>5</v>
      </c>
      <c r="L942" t="s">
        <v>21</v>
      </c>
      <c r="M942" t="s">
        <v>21</v>
      </c>
      <c r="N942" t="s">
        <v>34</v>
      </c>
      <c r="O942" t="s">
        <v>54</v>
      </c>
    </row>
    <row r="943" spans="1:15" x14ac:dyDescent="0.3">
      <c r="A943" t="s">
        <v>1147</v>
      </c>
      <c r="B943" t="s">
        <v>102</v>
      </c>
      <c r="C943" t="s">
        <v>37</v>
      </c>
      <c r="D943">
        <v>25</v>
      </c>
      <c r="E943" t="s">
        <v>57</v>
      </c>
      <c r="F943" t="s">
        <v>27</v>
      </c>
      <c r="G943" t="s">
        <v>33</v>
      </c>
      <c r="H943">
        <v>104000</v>
      </c>
      <c r="I943">
        <v>4</v>
      </c>
      <c r="J943">
        <v>3</v>
      </c>
      <c r="K943">
        <v>1</v>
      </c>
      <c r="L943" t="s">
        <v>21</v>
      </c>
      <c r="M943" t="s">
        <v>21</v>
      </c>
      <c r="N943" t="s">
        <v>22</v>
      </c>
      <c r="O943" t="s">
        <v>30</v>
      </c>
    </row>
    <row r="944" spans="1:15" x14ac:dyDescent="0.3">
      <c r="A944" t="s">
        <v>1148</v>
      </c>
      <c r="B944" t="s">
        <v>1063</v>
      </c>
      <c r="C944" t="s">
        <v>37</v>
      </c>
      <c r="D944">
        <v>23</v>
      </c>
      <c r="E944" t="s">
        <v>49</v>
      </c>
      <c r="F944" t="s">
        <v>27</v>
      </c>
      <c r="G944" t="s">
        <v>20</v>
      </c>
      <c r="H944">
        <v>38000</v>
      </c>
      <c r="I944">
        <v>2</v>
      </c>
      <c r="J944">
        <v>2</v>
      </c>
      <c r="K944">
        <v>3</v>
      </c>
      <c r="L944" t="s">
        <v>21</v>
      </c>
      <c r="M944" t="s">
        <v>29</v>
      </c>
      <c r="N944" t="s">
        <v>22</v>
      </c>
      <c r="O944" t="s">
        <v>75</v>
      </c>
    </row>
    <row r="945" spans="1:15" x14ac:dyDescent="0.3">
      <c r="A945" t="s">
        <v>1149</v>
      </c>
      <c r="B945" t="s">
        <v>418</v>
      </c>
      <c r="C945" t="s">
        <v>17</v>
      </c>
      <c r="D945">
        <v>38</v>
      </c>
      <c r="E945" t="s">
        <v>66</v>
      </c>
      <c r="F945" t="s">
        <v>82</v>
      </c>
      <c r="G945" t="s">
        <v>33</v>
      </c>
      <c r="H945">
        <v>86000</v>
      </c>
      <c r="I945">
        <v>11</v>
      </c>
      <c r="J945">
        <v>3</v>
      </c>
      <c r="K945">
        <v>3</v>
      </c>
      <c r="L945" t="s">
        <v>29</v>
      </c>
      <c r="M945" t="s">
        <v>29</v>
      </c>
      <c r="N945" t="s">
        <v>22</v>
      </c>
      <c r="O945" t="s">
        <v>70</v>
      </c>
    </row>
    <row r="946" spans="1:15" x14ac:dyDescent="0.3">
      <c r="A946" t="s">
        <v>1150</v>
      </c>
      <c r="B946" t="s">
        <v>134</v>
      </c>
      <c r="C946" t="s">
        <v>37</v>
      </c>
      <c r="D946">
        <v>31</v>
      </c>
      <c r="E946" t="s">
        <v>57</v>
      </c>
      <c r="F946" t="s">
        <v>27</v>
      </c>
      <c r="G946" t="s">
        <v>28</v>
      </c>
      <c r="H946">
        <v>115000</v>
      </c>
      <c r="I946">
        <v>2</v>
      </c>
      <c r="J946">
        <v>3</v>
      </c>
      <c r="K946">
        <v>4</v>
      </c>
      <c r="L946" t="s">
        <v>21</v>
      </c>
      <c r="M946" t="s">
        <v>21</v>
      </c>
      <c r="N946" t="s">
        <v>22</v>
      </c>
      <c r="O946" t="s">
        <v>51</v>
      </c>
    </row>
    <row r="947" spans="1:15" x14ac:dyDescent="0.3">
      <c r="A947" t="s">
        <v>1151</v>
      </c>
      <c r="B947" t="s">
        <v>379</v>
      </c>
      <c r="C947" t="s">
        <v>17</v>
      </c>
      <c r="D947">
        <v>35</v>
      </c>
      <c r="E947" t="s">
        <v>57</v>
      </c>
      <c r="F947" t="s">
        <v>27</v>
      </c>
      <c r="G947" t="s">
        <v>33</v>
      </c>
      <c r="H947">
        <v>44000</v>
      </c>
      <c r="I947">
        <v>14</v>
      </c>
      <c r="J947">
        <v>3</v>
      </c>
      <c r="K947">
        <v>5</v>
      </c>
      <c r="L947" t="s">
        <v>21</v>
      </c>
      <c r="M947" t="s">
        <v>29</v>
      </c>
      <c r="N947" t="s">
        <v>22</v>
      </c>
      <c r="O947" t="s">
        <v>70</v>
      </c>
    </row>
    <row r="948" spans="1:15" x14ac:dyDescent="0.3">
      <c r="A948" t="s">
        <v>1152</v>
      </c>
      <c r="B948" t="s">
        <v>40</v>
      </c>
      <c r="C948" t="s">
        <v>37</v>
      </c>
      <c r="D948">
        <v>22</v>
      </c>
      <c r="E948" t="s">
        <v>41</v>
      </c>
      <c r="F948" t="s">
        <v>42</v>
      </c>
      <c r="G948" t="s">
        <v>20</v>
      </c>
      <c r="H948">
        <v>38000</v>
      </c>
      <c r="I948">
        <v>1</v>
      </c>
      <c r="J948">
        <v>5</v>
      </c>
      <c r="K948">
        <v>4</v>
      </c>
      <c r="L948" t="s">
        <v>21</v>
      </c>
      <c r="M948" t="s">
        <v>29</v>
      </c>
      <c r="N948" t="s">
        <v>34</v>
      </c>
      <c r="O948" t="s">
        <v>43</v>
      </c>
    </row>
    <row r="949" spans="1:15" x14ac:dyDescent="0.3">
      <c r="A949" t="s">
        <v>1153</v>
      </c>
      <c r="B949" t="s">
        <v>476</v>
      </c>
      <c r="C949" t="s">
        <v>37</v>
      </c>
      <c r="D949">
        <v>26</v>
      </c>
      <c r="E949" t="s">
        <v>18</v>
      </c>
      <c r="F949" t="s">
        <v>126</v>
      </c>
      <c r="G949" t="s">
        <v>20</v>
      </c>
      <c r="H949">
        <v>107000</v>
      </c>
      <c r="I949">
        <v>5</v>
      </c>
      <c r="J949">
        <v>2</v>
      </c>
      <c r="K949">
        <v>3</v>
      </c>
      <c r="L949" t="s">
        <v>29</v>
      </c>
      <c r="M949" t="s">
        <v>29</v>
      </c>
      <c r="N949" t="s">
        <v>34</v>
      </c>
      <c r="O949" t="s">
        <v>23</v>
      </c>
    </row>
    <row r="950" spans="1:15" x14ac:dyDescent="0.3">
      <c r="A950" t="s">
        <v>1154</v>
      </c>
      <c r="B950" t="s">
        <v>233</v>
      </c>
      <c r="C950" t="s">
        <v>37</v>
      </c>
      <c r="D950">
        <v>27</v>
      </c>
      <c r="E950" t="s">
        <v>57</v>
      </c>
      <c r="F950" t="s">
        <v>27</v>
      </c>
      <c r="G950" t="s">
        <v>33</v>
      </c>
      <c r="H950">
        <v>75000</v>
      </c>
      <c r="I950">
        <v>6</v>
      </c>
      <c r="J950">
        <v>3</v>
      </c>
      <c r="K950">
        <v>1</v>
      </c>
      <c r="L950" t="s">
        <v>29</v>
      </c>
      <c r="M950" t="s">
        <v>29</v>
      </c>
      <c r="N950" t="s">
        <v>22</v>
      </c>
      <c r="O950" t="s">
        <v>38</v>
      </c>
    </row>
    <row r="951" spans="1:15" x14ac:dyDescent="0.3">
      <c r="A951" t="s">
        <v>1155</v>
      </c>
      <c r="B951" t="s">
        <v>390</v>
      </c>
      <c r="C951" t="s">
        <v>17</v>
      </c>
      <c r="D951">
        <v>27</v>
      </c>
      <c r="E951" t="s">
        <v>57</v>
      </c>
      <c r="F951" t="s">
        <v>27</v>
      </c>
      <c r="G951" t="s">
        <v>33</v>
      </c>
      <c r="H951">
        <v>31000</v>
      </c>
      <c r="I951">
        <v>6</v>
      </c>
      <c r="J951">
        <v>2</v>
      </c>
      <c r="K951">
        <v>4</v>
      </c>
      <c r="L951" t="s">
        <v>29</v>
      </c>
      <c r="M951" t="s">
        <v>29</v>
      </c>
      <c r="N951" t="s">
        <v>34</v>
      </c>
      <c r="O951" t="s">
        <v>30</v>
      </c>
    </row>
    <row r="952" spans="1:15" x14ac:dyDescent="0.3">
      <c r="A952" t="s">
        <v>1156</v>
      </c>
      <c r="B952" t="s">
        <v>448</v>
      </c>
      <c r="C952" t="s">
        <v>37</v>
      </c>
      <c r="D952">
        <v>43</v>
      </c>
      <c r="E952" t="s">
        <v>49</v>
      </c>
      <c r="F952" t="s">
        <v>50</v>
      </c>
      <c r="G952" t="s">
        <v>46</v>
      </c>
      <c r="H952">
        <v>39000</v>
      </c>
      <c r="I952">
        <v>17</v>
      </c>
      <c r="J952">
        <v>4</v>
      </c>
      <c r="K952">
        <v>3</v>
      </c>
      <c r="L952" t="s">
        <v>21</v>
      </c>
      <c r="M952" t="s">
        <v>29</v>
      </c>
      <c r="N952" t="s">
        <v>34</v>
      </c>
      <c r="O952" t="s">
        <v>30</v>
      </c>
    </row>
    <row r="953" spans="1:15" x14ac:dyDescent="0.3">
      <c r="A953" t="s">
        <v>1157</v>
      </c>
      <c r="B953" t="s">
        <v>292</v>
      </c>
      <c r="C953" t="s">
        <v>37</v>
      </c>
      <c r="D953">
        <v>43</v>
      </c>
      <c r="E953" t="s">
        <v>49</v>
      </c>
      <c r="F953" t="s">
        <v>27</v>
      </c>
      <c r="G953" t="s">
        <v>20</v>
      </c>
      <c r="H953">
        <v>34000</v>
      </c>
      <c r="I953">
        <v>13</v>
      </c>
      <c r="J953">
        <v>5</v>
      </c>
      <c r="K953">
        <v>4</v>
      </c>
      <c r="L953" t="s">
        <v>29</v>
      </c>
      <c r="M953" t="s">
        <v>29</v>
      </c>
      <c r="N953" t="s">
        <v>22</v>
      </c>
      <c r="O953" t="s">
        <v>30</v>
      </c>
    </row>
    <row r="954" spans="1:15" x14ac:dyDescent="0.3">
      <c r="A954" t="s">
        <v>1158</v>
      </c>
      <c r="B954" t="s">
        <v>132</v>
      </c>
      <c r="C954" t="s">
        <v>37</v>
      </c>
      <c r="D954">
        <v>40</v>
      </c>
      <c r="E954" t="s">
        <v>26</v>
      </c>
      <c r="F954" t="s">
        <v>27</v>
      </c>
      <c r="G954" t="s">
        <v>20</v>
      </c>
      <c r="H954">
        <v>28000</v>
      </c>
      <c r="I954">
        <v>19</v>
      </c>
      <c r="J954">
        <v>4</v>
      </c>
      <c r="K954">
        <v>3</v>
      </c>
      <c r="L954" t="s">
        <v>29</v>
      </c>
      <c r="M954" t="s">
        <v>29</v>
      </c>
      <c r="N954" t="s">
        <v>22</v>
      </c>
      <c r="O954" t="s">
        <v>30</v>
      </c>
    </row>
    <row r="955" spans="1:15" x14ac:dyDescent="0.3">
      <c r="A955" t="s">
        <v>1159</v>
      </c>
      <c r="B955" t="s">
        <v>446</v>
      </c>
      <c r="C955" t="s">
        <v>37</v>
      </c>
      <c r="D955">
        <v>41</v>
      </c>
      <c r="E955" t="s">
        <v>18</v>
      </c>
      <c r="F955" t="s">
        <v>19</v>
      </c>
      <c r="G955" t="s">
        <v>20</v>
      </c>
      <c r="H955">
        <v>51000</v>
      </c>
      <c r="I955">
        <v>1</v>
      </c>
      <c r="J955">
        <v>5</v>
      </c>
      <c r="K955">
        <v>1</v>
      </c>
      <c r="L955" t="s">
        <v>29</v>
      </c>
      <c r="M955" t="s">
        <v>29</v>
      </c>
      <c r="N955" t="s">
        <v>22</v>
      </c>
      <c r="O955" t="s">
        <v>51</v>
      </c>
    </row>
    <row r="956" spans="1:15" x14ac:dyDescent="0.3">
      <c r="A956" t="s">
        <v>1160</v>
      </c>
      <c r="B956" t="s">
        <v>381</v>
      </c>
      <c r="C956" t="s">
        <v>17</v>
      </c>
      <c r="D956">
        <v>31</v>
      </c>
      <c r="E956" t="s">
        <v>49</v>
      </c>
      <c r="F956" t="s">
        <v>50</v>
      </c>
      <c r="G956" t="s">
        <v>28</v>
      </c>
      <c r="H956">
        <v>117000</v>
      </c>
      <c r="I956">
        <v>7</v>
      </c>
      <c r="J956">
        <v>4</v>
      </c>
      <c r="K956">
        <v>3</v>
      </c>
      <c r="L956" t="s">
        <v>21</v>
      </c>
      <c r="M956" t="s">
        <v>29</v>
      </c>
      <c r="N956" t="s">
        <v>22</v>
      </c>
      <c r="O956" t="s">
        <v>54</v>
      </c>
    </row>
    <row r="957" spans="1:15" x14ac:dyDescent="0.3">
      <c r="A957" t="s">
        <v>1161</v>
      </c>
      <c r="B957" t="s">
        <v>265</v>
      </c>
      <c r="C957" t="s">
        <v>17</v>
      </c>
      <c r="D957">
        <v>35</v>
      </c>
      <c r="E957" t="s">
        <v>66</v>
      </c>
      <c r="F957" t="s">
        <v>82</v>
      </c>
      <c r="G957" t="s">
        <v>20</v>
      </c>
      <c r="H957">
        <v>96000</v>
      </c>
      <c r="I957">
        <v>14</v>
      </c>
      <c r="J957">
        <v>3</v>
      </c>
      <c r="K957">
        <v>2</v>
      </c>
      <c r="L957" t="s">
        <v>21</v>
      </c>
      <c r="M957" t="s">
        <v>29</v>
      </c>
      <c r="N957" t="s">
        <v>34</v>
      </c>
      <c r="O957" t="s">
        <v>30</v>
      </c>
    </row>
    <row r="958" spans="1:15" x14ac:dyDescent="0.3">
      <c r="A958" t="s">
        <v>1162</v>
      </c>
      <c r="B958" t="s">
        <v>53</v>
      </c>
      <c r="C958" t="s">
        <v>37</v>
      </c>
      <c r="D958">
        <v>27</v>
      </c>
      <c r="E958" t="s">
        <v>18</v>
      </c>
      <c r="F958" t="s">
        <v>126</v>
      </c>
      <c r="G958" t="s">
        <v>20</v>
      </c>
      <c r="H958">
        <v>66000</v>
      </c>
      <c r="I958">
        <v>6</v>
      </c>
      <c r="J958">
        <v>5</v>
      </c>
      <c r="K958">
        <v>5</v>
      </c>
      <c r="L958" t="s">
        <v>21</v>
      </c>
      <c r="M958" t="s">
        <v>21</v>
      </c>
      <c r="N958" t="s">
        <v>22</v>
      </c>
      <c r="O958" t="s">
        <v>30</v>
      </c>
    </row>
    <row r="959" spans="1:15" x14ac:dyDescent="0.3">
      <c r="A959" t="s">
        <v>1163</v>
      </c>
      <c r="B959" t="s">
        <v>633</v>
      </c>
      <c r="C959" t="s">
        <v>17</v>
      </c>
      <c r="D959">
        <v>22</v>
      </c>
      <c r="E959" t="s">
        <v>41</v>
      </c>
      <c r="F959" t="s">
        <v>42</v>
      </c>
      <c r="G959" t="s">
        <v>28</v>
      </c>
      <c r="H959">
        <v>94000</v>
      </c>
      <c r="I959">
        <v>1</v>
      </c>
      <c r="J959">
        <v>3</v>
      </c>
      <c r="K959">
        <v>4</v>
      </c>
      <c r="L959" t="s">
        <v>29</v>
      </c>
      <c r="M959" t="s">
        <v>29</v>
      </c>
      <c r="N959" t="s">
        <v>22</v>
      </c>
      <c r="O959" t="s">
        <v>54</v>
      </c>
    </row>
    <row r="960" spans="1:15" x14ac:dyDescent="0.3">
      <c r="A960" t="s">
        <v>1164</v>
      </c>
      <c r="B960" t="s">
        <v>295</v>
      </c>
      <c r="C960" t="s">
        <v>37</v>
      </c>
      <c r="D960">
        <v>24</v>
      </c>
      <c r="E960" t="s">
        <v>26</v>
      </c>
      <c r="F960" t="s">
        <v>50</v>
      </c>
      <c r="G960" t="s">
        <v>33</v>
      </c>
      <c r="H960">
        <v>109000</v>
      </c>
      <c r="I960">
        <v>3</v>
      </c>
      <c r="J960">
        <v>2</v>
      </c>
      <c r="K960">
        <v>1</v>
      </c>
      <c r="L960" t="s">
        <v>21</v>
      </c>
      <c r="M960" t="s">
        <v>29</v>
      </c>
      <c r="N960" t="s">
        <v>34</v>
      </c>
      <c r="O960" t="s">
        <v>54</v>
      </c>
    </row>
    <row r="961" spans="1:15" x14ac:dyDescent="0.3">
      <c r="A961" t="s">
        <v>1165</v>
      </c>
      <c r="B961" t="s">
        <v>261</v>
      </c>
      <c r="C961" t="s">
        <v>17</v>
      </c>
      <c r="D961">
        <v>34</v>
      </c>
      <c r="E961" t="s">
        <v>26</v>
      </c>
      <c r="F961" t="s">
        <v>50</v>
      </c>
      <c r="G961" t="s">
        <v>20</v>
      </c>
      <c r="H961">
        <v>109000</v>
      </c>
      <c r="I961">
        <v>13</v>
      </c>
      <c r="J961">
        <v>3</v>
      </c>
      <c r="K961">
        <v>1</v>
      </c>
      <c r="L961" t="s">
        <v>21</v>
      </c>
      <c r="M961" t="s">
        <v>21</v>
      </c>
      <c r="N961" t="s">
        <v>34</v>
      </c>
      <c r="O961" t="s">
        <v>43</v>
      </c>
    </row>
    <row r="962" spans="1:15" x14ac:dyDescent="0.3">
      <c r="A962" t="s">
        <v>1166</v>
      </c>
      <c r="B962" t="s">
        <v>470</v>
      </c>
      <c r="C962" t="s">
        <v>37</v>
      </c>
      <c r="D962">
        <v>28</v>
      </c>
      <c r="E962" t="s">
        <v>57</v>
      </c>
      <c r="F962" t="s">
        <v>27</v>
      </c>
      <c r="G962" t="s">
        <v>46</v>
      </c>
      <c r="H962">
        <v>93000</v>
      </c>
      <c r="I962">
        <v>7</v>
      </c>
      <c r="J962">
        <v>5</v>
      </c>
      <c r="K962">
        <v>1</v>
      </c>
      <c r="L962" t="s">
        <v>21</v>
      </c>
      <c r="M962" t="s">
        <v>29</v>
      </c>
      <c r="N962" t="s">
        <v>34</v>
      </c>
      <c r="O962" t="s">
        <v>30</v>
      </c>
    </row>
    <row r="963" spans="1:15" x14ac:dyDescent="0.3">
      <c r="A963" t="s">
        <v>1167</v>
      </c>
      <c r="B963" t="s">
        <v>372</v>
      </c>
      <c r="C963" t="s">
        <v>17</v>
      </c>
      <c r="D963">
        <v>33</v>
      </c>
      <c r="E963" t="s">
        <v>18</v>
      </c>
      <c r="F963" t="s">
        <v>19</v>
      </c>
      <c r="G963" t="s">
        <v>46</v>
      </c>
      <c r="H963">
        <v>72000</v>
      </c>
      <c r="I963">
        <v>2</v>
      </c>
      <c r="J963">
        <v>5</v>
      </c>
      <c r="K963">
        <v>4</v>
      </c>
      <c r="L963" t="s">
        <v>29</v>
      </c>
      <c r="M963" t="s">
        <v>29</v>
      </c>
      <c r="N963" t="s">
        <v>34</v>
      </c>
      <c r="O963" t="s">
        <v>43</v>
      </c>
    </row>
    <row r="964" spans="1:15" x14ac:dyDescent="0.3">
      <c r="A964" t="s">
        <v>1168</v>
      </c>
      <c r="B964" t="s">
        <v>199</v>
      </c>
      <c r="C964" t="s">
        <v>17</v>
      </c>
      <c r="D964">
        <v>32</v>
      </c>
      <c r="E964" t="s">
        <v>57</v>
      </c>
      <c r="F964" t="s">
        <v>27</v>
      </c>
      <c r="G964" t="s">
        <v>20</v>
      </c>
      <c r="H964">
        <v>41000</v>
      </c>
      <c r="I964">
        <v>11</v>
      </c>
      <c r="J964">
        <v>4</v>
      </c>
      <c r="K964">
        <v>1</v>
      </c>
      <c r="L964" t="s">
        <v>21</v>
      </c>
      <c r="M964" t="s">
        <v>21</v>
      </c>
      <c r="N964" t="s">
        <v>22</v>
      </c>
      <c r="O964" t="s">
        <v>38</v>
      </c>
    </row>
    <row r="965" spans="1:15" x14ac:dyDescent="0.3">
      <c r="A965" t="s">
        <v>1169</v>
      </c>
      <c r="B965" t="s">
        <v>140</v>
      </c>
      <c r="C965" t="s">
        <v>37</v>
      </c>
      <c r="D965">
        <v>28</v>
      </c>
      <c r="E965" t="s">
        <v>26</v>
      </c>
      <c r="F965" t="s">
        <v>27</v>
      </c>
      <c r="G965" t="s">
        <v>28</v>
      </c>
      <c r="H965">
        <v>35000</v>
      </c>
      <c r="I965">
        <v>7</v>
      </c>
      <c r="J965">
        <v>4</v>
      </c>
      <c r="K965">
        <v>2</v>
      </c>
      <c r="L965" t="s">
        <v>29</v>
      </c>
      <c r="M965" t="s">
        <v>29</v>
      </c>
      <c r="N965" t="s">
        <v>22</v>
      </c>
      <c r="O965" t="s">
        <v>54</v>
      </c>
    </row>
    <row r="966" spans="1:15" x14ac:dyDescent="0.3">
      <c r="A966" t="s">
        <v>1170</v>
      </c>
      <c r="B966" t="s">
        <v>263</v>
      </c>
      <c r="C966" t="s">
        <v>37</v>
      </c>
      <c r="D966">
        <v>51</v>
      </c>
      <c r="E966" t="s">
        <v>49</v>
      </c>
      <c r="F966" t="s">
        <v>27</v>
      </c>
      <c r="G966" t="s">
        <v>20</v>
      </c>
      <c r="H966">
        <v>113000</v>
      </c>
      <c r="I966">
        <v>12</v>
      </c>
      <c r="J966">
        <v>3</v>
      </c>
      <c r="K966">
        <v>5</v>
      </c>
      <c r="L966" t="s">
        <v>21</v>
      </c>
      <c r="M966" t="s">
        <v>29</v>
      </c>
      <c r="N966" t="s">
        <v>34</v>
      </c>
      <c r="O966" t="s">
        <v>75</v>
      </c>
    </row>
    <row r="967" spans="1:15" x14ac:dyDescent="0.3">
      <c r="A967" t="s">
        <v>1171</v>
      </c>
      <c r="B967" t="s">
        <v>379</v>
      </c>
      <c r="C967" t="s">
        <v>17</v>
      </c>
      <c r="D967">
        <v>52</v>
      </c>
      <c r="E967" t="s">
        <v>26</v>
      </c>
      <c r="F967" t="s">
        <v>27</v>
      </c>
      <c r="G967" t="s">
        <v>33</v>
      </c>
      <c r="H967">
        <v>97000</v>
      </c>
      <c r="I967">
        <v>12</v>
      </c>
      <c r="J967">
        <v>2</v>
      </c>
      <c r="K967">
        <v>5</v>
      </c>
      <c r="L967" t="s">
        <v>21</v>
      </c>
      <c r="M967" t="s">
        <v>29</v>
      </c>
      <c r="N967" t="s">
        <v>22</v>
      </c>
      <c r="O967" t="s">
        <v>30</v>
      </c>
    </row>
    <row r="968" spans="1:15" x14ac:dyDescent="0.3">
      <c r="A968" t="s">
        <v>1172</v>
      </c>
      <c r="B968" t="s">
        <v>221</v>
      </c>
      <c r="C968" t="s">
        <v>37</v>
      </c>
      <c r="D968">
        <v>41</v>
      </c>
      <c r="E968" t="s">
        <v>26</v>
      </c>
      <c r="F968" t="s">
        <v>50</v>
      </c>
      <c r="G968" t="s">
        <v>46</v>
      </c>
      <c r="H968">
        <v>96000</v>
      </c>
      <c r="I968">
        <v>3</v>
      </c>
      <c r="J968">
        <v>4</v>
      </c>
      <c r="K968">
        <v>1</v>
      </c>
      <c r="L968" t="s">
        <v>29</v>
      </c>
      <c r="M968" t="s">
        <v>29</v>
      </c>
      <c r="N968" t="s">
        <v>22</v>
      </c>
      <c r="O968" t="s">
        <v>54</v>
      </c>
    </row>
    <row r="969" spans="1:15" x14ac:dyDescent="0.3">
      <c r="A969" t="s">
        <v>1173</v>
      </c>
      <c r="B969" t="s">
        <v>221</v>
      </c>
      <c r="C969" t="s">
        <v>37</v>
      </c>
      <c r="D969">
        <v>41</v>
      </c>
      <c r="E969" t="s">
        <v>57</v>
      </c>
      <c r="F969" t="s">
        <v>27</v>
      </c>
      <c r="G969" t="s">
        <v>33</v>
      </c>
      <c r="H969">
        <v>69000</v>
      </c>
      <c r="I969">
        <v>3</v>
      </c>
      <c r="J969">
        <v>2</v>
      </c>
      <c r="K969">
        <v>3</v>
      </c>
      <c r="L969" t="s">
        <v>21</v>
      </c>
      <c r="M969" t="s">
        <v>29</v>
      </c>
      <c r="N969" t="s">
        <v>34</v>
      </c>
      <c r="O969" t="s">
        <v>38</v>
      </c>
    </row>
    <row r="970" spans="1:15" x14ac:dyDescent="0.3">
      <c r="A970" t="s">
        <v>1174</v>
      </c>
      <c r="B970" t="s">
        <v>666</v>
      </c>
      <c r="C970" t="s">
        <v>37</v>
      </c>
      <c r="D970">
        <v>34</v>
      </c>
      <c r="E970" t="s">
        <v>41</v>
      </c>
      <c r="F970" t="s">
        <v>73</v>
      </c>
      <c r="G970" t="s">
        <v>28</v>
      </c>
      <c r="H970">
        <v>79000</v>
      </c>
      <c r="I970">
        <v>13</v>
      </c>
      <c r="J970">
        <v>3</v>
      </c>
      <c r="K970">
        <v>1</v>
      </c>
      <c r="L970" t="s">
        <v>21</v>
      </c>
      <c r="M970" t="s">
        <v>21</v>
      </c>
      <c r="N970" t="s">
        <v>22</v>
      </c>
      <c r="O970" t="s">
        <v>30</v>
      </c>
    </row>
    <row r="971" spans="1:15" x14ac:dyDescent="0.3">
      <c r="A971" t="s">
        <v>1175</v>
      </c>
      <c r="B971" t="s">
        <v>223</v>
      </c>
      <c r="C971" t="s">
        <v>37</v>
      </c>
      <c r="D971">
        <v>40</v>
      </c>
      <c r="E971" t="s">
        <v>41</v>
      </c>
      <c r="F971" t="s">
        <v>73</v>
      </c>
      <c r="G971" t="s">
        <v>33</v>
      </c>
      <c r="H971">
        <v>89000</v>
      </c>
      <c r="I971">
        <v>5</v>
      </c>
      <c r="J971">
        <v>3</v>
      </c>
      <c r="K971">
        <v>4</v>
      </c>
      <c r="L971" t="s">
        <v>21</v>
      </c>
      <c r="M971" t="s">
        <v>29</v>
      </c>
      <c r="N971" t="s">
        <v>34</v>
      </c>
      <c r="O971" t="s">
        <v>30</v>
      </c>
    </row>
    <row r="972" spans="1:15" x14ac:dyDescent="0.3">
      <c r="A972" t="s">
        <v>1176</v>
      </c>
      <c r="B972" t="s">
        <v>535</v>
      </c>
      <c r="C972" t="s">
        <v>37</v>
      </c>
      <c r="D972">
        <v>34</v>
      </c>
      <c r="E972" t="s">
        <v>57</v>
      </c>
      <c r="F972" t="s">
        <v>50</v>
      </c>
      <c r="G972" t="s">
        <v>20</v>
      </c>
      <c r="H972">
        <v>74000</v>
      </c>
      <c r="I972">
        <v>13</v>
      </c>
      <c r="J972">
        <v>4</v>
      </c>
      <c r="K972">
        <v>1</v>
      </c>
      <c r="L972" t="s">
        <v>21</v>
      </c>
      <c r="M972" t="s">
        <v>21</v>
      </c>
      <c r="N972" t="s">
        <v>22</v>
      </c>
      <c r="O972" t="s">
        <v>38</v>
      </c>
    </row>
    <row r="973" spans="1:15" x14ac:dyDescent="0.3">
      <c r="A973" t="s">
        <v>1177</v>
      </c>
      <c r="B973" t="s">
        <v>328</v>
      </c>
      <c r="C973" t="s">
        <v>37</v>
      </c>
      <c r="D973">
        <v>28</v>
      </c>
      <c r="E973" t="s">
        <v>41</v>
      </c>
      <c r="F973" t="s">
        <v>42</v>
      </c>
      <c r="G973" t="s">
        <v>46</v>
      </c>
      <c r="H973">
        <v>62000</v>
      </c>
      <c r="I973">
        <v>7</v>
      </c>
      <c r="J973">
        <v>3</v>
      </c>
      <c r="K973">
        <v>5</v>
      </c>
      <c r="L973" t="s">
        <v>21</v>
      </c>
      <c r="M973" t="s">
        <v>21</v>
      </c>
      <c r="N973" t="s">
        <v>34</v>
      </c>
      <c r="O973" t="s">
        <v>75</v>
      </c>
    </row>
    <row r="974" spans="1:15" x14ac:dyDescent="0.3">
      <c r="A974" t="s">
        <v>1178</v>
      </c>
      <c r="B974" t="s">
        <v>273</v>
      </c>
      <c r="C974" t="s">
        <v>17</v>
      </c>
      <c r="D974">
        <v>47</v>
      </c>
      <c r="E974" t="s">
        <v>49</v>
      </c>
      <c r="F974" t="s">
        <v>27</v>
      </c>
      <c r="G974" t="s">
        <v>33</v>
      </c>
      <c r="H974">
        <v>85000</v>
      </c>
      <c r="I974">
        <v>3</v>
      </c>
      <c r="J974">
        <v>5</v>
      </c>
      <c r="K974">
        <v>2</v>
      </c>
      <c r="L974" t="s">
        <v>29</v>
      </c>
      <c r="M974" t="s">
        <v>29</v>
      </c>
      <c r="N974" t="s">
        <v>22</v>
      </c>
      <c r="O974" t="s">
        <v>38</v>
      </c>
    </row>
    <row r="975" spans="1:15" x14ac:dyDescent="0.3">
      <c r="A975" t="s">
        <v>1179</v>
      </c>
      <c r="B975" t="s">
        <v>160</v>
      </c>
      <c r="C975" t="s">
        <v>37</v>
      </c>
      <c r="D975">
        <v>50</v>
      </c>
      <c r="E975" t="s">
        <v>66</v>
      </c>
      <c r="F975" t="s">
        <v>82</v>
      </c>
      <c r="G975" t="s">
        <v>20</v>
      </c>
      <c r="H975">
        <v>48000</v>
      </c>
      <c r="I975">
        <v>5</v>
      </c>
      <c r="J975">
        <v>5</v>
      </c>
      <c r="K975">
        <v>3</v>
      </c>
      <c r="L975" t="s">
        <v>21</v>
      </c>
      <c r="M975" t="s">
        <v>29</v>
      </c>
      <c r="N975" t="s">
        <v>22</v>
      </c>
      <c r="O975" t="s">
        <v>75</v>
      </c>
    </row>
    <row r="976" spans="1:15" x14ac:dyDescent="0.3">
      <c r="A976" t="s">
        <v>1180</v>
      </c>
      <c r="B976" t="s">
        <v>186</v>
      </c>
      <c r="C976" t="s">
        <v>37</v>
      </c>
      <c r="D976">
        <v>27</v>
      </c>
      <c r="E976" t="s">
        <v>57</v>
      </c>
      <c r="F976" t="s">
        <v>27</v>
      </c>
      <c r="G976" t="s">
        <v>46</v>
      </c>
      <c r="H976">
        <v>63000</v>
      </c>
      <c r="I976">
        <v>6</v>
      </c>
      <c r="J976">
        <v>3</v>
      </c>
      <c r="K976">
        <v>3</v>
      </c>
      <c r="L976" t="s">
        <v>21</v>
      </c>
      <c r="M976" t="s">
        <v>29</v>
      </c>
      <c r="N976" t="s">
        <v>22</v>
      </c>
      <c r="O976" t="s">
        <v>43</v>
      </c>
    </row>
    <row r="977" spans="1:15" x14ac:dyDescent="0.3">
      <c r="A977" t="s">
        <v>1181</v>
      </c>
      <c r="B977" t="s">
        <v>81</v>
      </c>
      <c r="C977" t="s">
        <v>17</v>
      </c>
      <c r="D977">
        <v>37</v>
      </c>
      <c r="E977" t="s">
        <v>26</v>
      </c>
      <c r="F977" t="s">
        <v>50</v>
      </c>
      <c r="G977" t="s">
        <v>28</v>
      </c>
      <c r="H977">
        <v>114000</v>
      </c>
      <c r="I977">
        <v>1</v>
      </c>
      <c r="J977">
        <v>3</v>
      </c>
      <c r="K977">
        <v>2</v>
      </c>
      <c r="L977" t="s">
        <v>29</v>
      </c>
      <c r="M977" t="s">
        <v>29</v>
      </c>
      <c r="N977" t="s">
        <v>34</v>
      </c>
      <c r="O977" t="s">
        <v>23</v>
      </c>
    </row>
    <row r="978" spans="1:15" x14ac:dyDescent="0.3">
      <c r="A978" t="s">
        <v>1182</v>
      </c>
      <c r="B978" t="s">
        <v>207</v>
      </c>
      <c r="C978" t="s">
        <v>17</v>
      </c>
      <c r="D978">
        <v>43</v>
      </c>
      <c r="E978" t="s">
        <v>26</v>
      </c>
      <c r="F978" t="s">
        <v>50</v>
      </c>
      <c r="G978" t="s">
        <v>20</v>
      </c>
      <c r="H978">
        <v>71000</v>
      </c>
      <c r="I978">
        <v>17</v>
      </c>
      <c r="J978">
        <v>5</v>
      </c>
      <c r="K978">
        <v>2</v>
      </c>
      <c r="L978" t="s">
        <v>29</v>
      </c>
      <c r="M978" t="s">
        <v>29</v>
      </c>
      <c r="N978" t="s">
        <v>22</v>
      </c>
      <c r="O978" t="s">
        <v>75</v>
      </c>
    </row>
    <row r="979" spans="1:15" x14ac:dyDescent="0.3">
      <c r="A979" t="s">
        <v>1183</v>
      </c>
      <c r="B979" t="s">
        <v>40</v>
      </c>
      <c r="C979" t="s">
        <v>37</v>
      </c>
      <c r="D979">
        <v>32</v>
      </c>
      <c r="E979" t="s">
        <v>49</v>
      </c>
      <c r="F979" t="s">
        <v>50</v>
      </c>
      <c r="G979" t="s">
        <v>20</v>
      </c>
      <c r="H979">
        <v>106000</v>
      </c>
      <c r="I979">
        <v>2</v>
      </c>
      <c r="J979">
        <v>4</v>
      </c>
      <c r="K979">
        <v>3</v>
      </c>
      <c r="L979" t="s">
        <v>29</v>
      </c>
      <c r="M979" t="s">
        <v>29</v>
      </c>
      <c r="N979" t="s">
        <v>22</v>
      </c>
      <c r="O979" t="s">
        <v>30</v>
      </c>
    </row>
    <row r="980" spans="1:15" x14ac:dyDescent="0.3">
      <c r="A980" t="s">
        <v>1184</v>
      </c>
      <c r="B980" t="s">
        <v>502</v>
      </c>
      <c r="C980" t="s">
        <v>17</v>
      </c>
      <c r="D980">
        <v>31</v>
      </c>
      <c r="E980" t="s">
        <v>49</v>
      </c>
      <c r="F980" t="s">
        <v>27</v>
      </c>
      <c r="G980" t="s">
        <v>33</v>
      </c>
      <c r="H980">
        <v>43000</v>
      </c>
      <c r="I980">
        <v>2</v>
      </c>
      <c r="J980">
        <v>2</v>
      </c>
      <c r="K980">
        <v>3</v>
      </c>
      <c r="L980" t="s">
        <v>29</v>
      </c>
      <c r="M980" t="s">
        <v>29</v>
      </c>
      <c r="N980" t="s">
        <v>22</v>
      </c>
      <c r="O980" t="s">
        <v>75</v>
      </c>
    </row>
    <row r="981" spans="1:15" x14ac:dyDescent="0.3">
      <c r="A981" t="s">
        <v>1185</v>
      </c>
      <c r="B981" t="s">
        <v>16</v>
      </c>
      <c r="C981" t="s">
        <v>37</v>
      </c>
      <c r="D981">
        <v>46</v>
      </c>
      <c r="E981" t="s">
        <v>57</v>
      </c>
      <c r="F981" t="s">
        <v>27</v>
      </c>
      <c r="G981" t="s">
        <v>20</v>
      </c>
      <c r="H981">
        <v>61000</v>
      </c>
      <c r="I981">
        <v>5</v>
      </c>
      <c r="J981">
        <v>4</v>
      </c>
      <c r="K981">
        <v>5</v>
      </c>
      <c r="L981" t="s">
        <v>29</v>
      </c>
      <c r="M981" t="s">
        <v>29</v>
      </c>
      <c r="N981" t="s">
        <v>22</v>
      </c>
      <c r="O981" t="s">
        <v>23</v>
      </c>
    </row>
    <row r="982" spans="1:15" x14ac:dyDescent="0.3">
      <c r="A982" t="s">
        <v>1186</v>
      </c>
      <c r="B982" t="s">
        <v>502</v>
      </c>
      <c r="C982" t="s">
        <v>17</v>
      </c>
      <c r="D982">
        <v>24</v>
      </c>
      <c r="E982" t="s">
        <v>18</v>
      </c>
      <c r="F982" t="s">
        <v>19</v>
      </c>
      <c r="G982" t="s">
        <v>46</v>
      </c>
      <c r="H982">
        <v>67000</v>
      </c>
      <c r="I982">
        <v>3</v>
      </c>
      <c r="J982">
        <v>2</v>
      </c>
      <c r="K982">
        <v>4</v>
      </c>
      <c r="L982" t="s">
        <v>21</v>
      </c>
      <c r="M982" t="s">
        <v>29</v>
      </c>
      <c r="N982" t="s">
        <v>22</v>
      </c>
      <c r="O982" t="s">
        <v>23</v>
      </c>
    </row>
    <row r="983" spans="1:15" x14ac:dyDescent="0.3">
      <c r="A983" t="s">
        <v>1187</v>
      </c>
      <c r="B983" t="s">
        <v>253</v>
      </c>
      <c r="C983" t="s">
        <v>17</v>
      </c>
      <c r="D983">
        <v>47</v>
      </c>
      <c r="E983" t="s">
        <v>57</v>
      </c>
      <c r="F983" t="s">
        <v>27</v>
      </c>
      <c r="G983" t="s">
        <v>33</v>
      </c>
      <c r="H983">
        <v>110000</v>
      </c>
      <c r="I983">
        <v>20</v>
      </c>
      <c r="J983">
        <v>2</v>
      </c>
      <c r="K983">
        <v>1</v>
      </c>
      <c r="L983" t="s">
        <v>29</v>
      </c>
      <c r="M983" t="s">
        <v>21</v>
      </c>
      <c r="N983" t="s">
        <v>34</v>
      </c>
      <c r="O983" t="s">
        <v>38</v>
      </c>
    </row>
    <row r="984" spans="1:15" x14ac:dyDescent="0.3">
      <c r="A984" t="s">
        <v>1188</v>
      </c>
      <c r="B984" t="s">
        <v>156</v>
      </c>
      <c r="C984" t="s">
        <v>17</v>
      </c>
      <c r="D984">
        <v>40</v>
      </c>
      <c r="E984" t="s">
        <v>41</v>
      </c>
      <c r="F984" t="s">
        <v>42</v>
      </c>
      <c r="G984" t="s">
        <v>28</v>
      </c>
      <c r="H984">
        <v>30000</v>
      </c>
      <c r="I984">
        <v>19</v>
      </c>
      <c r="J984">
        <v>4</v>
      </c>
      <c r="K984">
        <v>3</v>
      </c>
      <c r="L984" t="s">
        <v>29</v>
      </c>
      <c r="M984" t="s">
        <v>29</v>
      </c>
      <c r="N984" t="s">
        <v>34</v>
      </c>
      <c r="O984" t="s">
        <v>30</v>
      </c>
    </row>
    <row r="985" spans="1:15" x14ac:dyDescent="0.3">
      <c r="A985" t="s">
        <v>1189</v>
      </c>
      <c r="B985" t="s">
        <v>586</v>
      </c>
      <c r="C985" t="s">
        <v>17</v>
      </c>
      <c r="D985">
        <v>38</v>
      </c>
      <c r="E985" t="s">
        <v>66</v>
      </c>
      <c r="F985" t="s">
        <v>67</v>
      </c>
      <c r="G985" t="s">
        <v>46</v>
      </c>
      <c r="H985">
        <v>29000</v>
      </c>
      <c r="I985">
        <v>9</v>
      </c>
      <c r="J985">
        <v>4</v>
      </c>
      <c r="K985">
        <v>3</v>
      </c>
      <c r="L985" t="s">
        <v>29</v>
      </c>
      <c r="M985" t="s">
        <v>29</v>
      </c>
      <c r="N985" t="s">
        <v>22</v>
      </c>
      <c r="O985" t="s">
        <v>75</v>
      </c>
    </row>
    <row r="986" spans="1:15" x14ac:dyDescent="0.3">
      <c r="A986" t="s">
        <v>1190</v>
      </c>
      <c r="B986" t="s">
        <v>535</v>
      </c>
      <c r="C986" t="s">
        <v>37</v>
      </c>
      <c r="D986">
        <v>43</v>
      </c>
      <c r="E986" t="s">
        <v>41</v>
      </c>
      <c r="F986" t="s">
        <v>73</v>
      </c>
      <c r="G986" t="s">
        <v>46</v>
      </c>
      <c r="H986">
        <v>88000</v>
      </c>
      <c r="I986">
        <v>15</v>
      </c>
      <c r="J986">
        <v>5</v>
      </c>
      <c r="K986">
        <v>5</v>
      </c>
      <c r="L986" t="s">
        <v>21</v>
      </c>
      <c r="M986" t="s">
        <v>29</v>
      </c>
      <c r="N986" t="s">
        <v>22</v>
      </c>
      <c r="O986" t="s">
        <v>30</v>
      </c>
    </row>
    <row r="987" spans="1:15" x14ac:dyDescent="0.3">
      <c r="A987" t="s">
        <v>1191</v>
      </c>
      <c r="B987" t="s">
        <v>111</v>
      </c>
      <c r="C987" t="s">
        <v>17</v>
      </c>
      <c r="D987">
        <v>31</v>
      </c>
      <c r="E987" t="s">
        <v>57</v>
      </c>
      <c r="F987" t="s">
        <v>50</v>
      </c>
      <c r="G987" t="s">
        <v>46</v>
      </c>
      <c r="H987">
        <v>106000</v>
      </c>
      <c r="I987">
        <v>10</v>
      </c>
      <c r="J987">
        <v>2</v>
      </c>
      <c r="K987">
        <v>5</v>
      </c>
      <c r="L987" t="s">
        <v>29</v>
      </c>
      <c r="M987" t="s">
        <v>29</v>
      </c>
      <c r="N987" t="s">
        <v>22</v>
      </c>
      <c r="O987" t="s">
        <v>30</v>
      </c>
    </row>
    <row r="988" spans="1:15" x14ac:dyDescent="0.3">
      <c r="A988" t="s">
        <v>1192</v>
      </c>
      <c r="B988" t="s">
        <v>292</v>
      </c>
      <c r="C988" t="s">
        <v>37</v>
      </c>
      <c r="D988">
        <v>24</v>
      </c>
      <c r="E988" t="s">
        <v>26</v>
      </c>
      <c r="F988" t="s">
        <v>50</v>
      </c>
      <c r="G988" t="s">
        <v>46</v>
      </c>
      <c r="H988">
        <v>53000</v>
      </c>
      <c r="I988">
        <v>3</v>
      </c>
      <c r="J988">
        <v>3</v>
      </c>
      <c r="K988">
        <v>5</v>
      </c>
      <c r="L988" t="s">
        <v>21</v>
      </c>
      <c r="M988" t="s">
        <v>29</v>
      </c>
      <c r="N988" t="s">
        <v>22</v>
      </c>
      <c r="O988" t="s">
        <v>38</v>
      </c>
    </row>
    <row r="989" spans="1:15" x14ac:dyDescent="0.3">
      <c r="A989" t="s">
        <v>1193</v>
      </c>
      <c r="B989" t="s">
        <v>16</v>
      </c>
      <c r="C989" t="s">
        <v>37</v>
      </c>
      <c r="D989">
        <v>28</v>
      </c>
      <c r="E989" t="s">
        <v>18</v>
      </c>
      <c r="F989" t="s">
        <v>126</v>
      </c>
      <c r="G989" t="s">
        <v>46</v>
      </c>
      <c r="H989">
        <v>108000</v>
      </c>
      <c r="I989">
        <v>7</v>
      </c>
      <c r="J989">
        <v>5</v>
      </c>
      <c r="K989">
        <v>2</v>
      </c>
      <c r="L989" t="s">
        <v>29</v>
      </c>
      <c r="M989" t="s">
        <v>29</v>
      </c>
      <c r="N989" t="s">
        <v>34</v>
      </c>
      <c r="O989" t="s">
        <v>75</v>
      </c>
    </row>
    <row r="990" spans="1:15" x14ac:dyDescent="0.3">
      <c r="A990" t="s">
        <v>1194</v>
      </c>
      <c r="B990" t="s">
        <v>360</v>
      </c>
      <c r="C990" t="s">
        <v>37</v>
      </c>
      <c r="D990">
        <v>27</v>
      </c>
      <c r="E990" t="s">
        <v>57</v>
      </c>
      <c r="F990" t="s">
        <v>27</v>
      </c>
      <c r="G990" t="s">
        <v>33</v>
      </c>
      <c r="H990">
        <v>100000</v>
      </c>
      <c r="I990">
        <v>6</v>
      </c>
      <c r="J990">
        <v>4</v>
      </c>
      <c r="K990">
        <v>1</v>
      </c>
      <c r="L990" t="s">
        <v>21</v>
      </c>
      <c r="M990" t="s">
        <v>21</v>
      </c>
      <c r="N990" t="s">
        <v>34</v>
      </c>
      <c r="O990" t="s">
        <v>51</v>
      </c>
    </row>
    <row r="991" spans="1:15" x14ac:dyDescent="0.3">
      <c r="A991" t="s">
        <v>1195</v>
      </c>
      <c r="B991" t="s">
        <v>608</v>
      </c>
      <c r="C991" t="s">
        <v>37</v>
      </c>
      <c r="D991">
        <v>41</v>
      </c>
      <c r="E991" t="s">
        <v>49</v>
      </c>
      <c r="F991" t="s">
        <v>50</v>
      </c>
      <c r="G991" t="s">
        <v>20</v>
      </c>
      <c r="H991">
        <v>37000</v>
      </c>
      <c r="I991">
        <v>2</v>
      </c>
      <c r="J991">
        <v>5</v>
      </c>
      <c r="K991">
        <v>1</v>
      </c>
      <c r="L991" t="s">
        <v>29</v>
      </c>
      <c r="M991" t="s">
        <v>29</v>
      </c>
      <c r="N991" t="s">
        <v>22</v>
      </c>
      <c r="O991" t="s">
        <v>70</v>
      </c>
    </row>
    <row r="992" spans="1:15" x14ac:dyDescent="0.3">
      <c r="A992" t="s">
        <v>1196</v>
      </c>
      <c r="B992" t="s">
        <v>94</v>
      </c>
      <c r="C992" t="s">
        <v>17</v>
      </c>
      <c r="D992">
        <v>35</v>
      </c>
      <c r="E992" t="s">
        <v>26</v>
      </c>
      <c r="F992" t="s">
        <v>27</v>
      </c>
      <c r="G992" t="s">
        <v>28</v>
      </c>
      <c r="H992">
        <v>113000</v>
      </c>
      <c r="I992">
        <v>2</v>
      </c>
      <c r="J992">
        <v>2</v>
      </c>
      <c r="K992">
        <v>3</v>
      </c>
      <c r="L992" t="s">
        <v>29</v>
      </c>
      <c r="M992" t="s">
        <v>29</v>
      </c>
      <c r="N992" t="s">
        <v>34</v>
      </c>
      <c r="O992" t="s">
        <v>23</v>
      </c>
    </row>
    <row r="993" spans="1:15" x14ac:dyDescent="0.3">
      <c r="A993" t="s">
        <v>1197</v>
      </c>
      <c r="B993" t="s">
        <v>552</v>
      </c>
      <c r="C993" t="s">
        <v>37</v>
      </c>
      <c r="D993">
        <v>32</v>
      </c>
      <c r="E993" t="s">
        <v>57</v>
      </c>
      <c r="F993" t="s">
        <v>50</v>
      </c>
      <c r="G993" t="s">
        <v>20</v>
      </c>
      <c r="H993">
        <v>39000</v>
      </c>
      <c r="I993">
        <v>11</v>
      </c>
      <c r="J993">
        <v>5</v>
      </c>
      <c r="K993">
        <v>4</v>
      </c>
      <c r="L993" t="s">
        <v>21</v>
      </c>
      <c r="M993" t="s">
        <v>29</v>
      </c>
      <c r="N993" t="s">
        <v>34</v>
      </c>
      <c r="O993" t="s">
        <v>51</v>
      </c>
    </row>
    <row r="994" spans="1:15" x14ac:dyDescent="0.3">
      <c r="A994" t="s">
        <v>1198</v>
      </c>
      <c r="B994" t="s">
        <v>379</v>
      </c>
      <c r="C994" t="s">
        <v>37</v>
      </c>
      <c r="D994">
        <v>46</v>
      </c>
      <c r="E994" t="s">
        <v>49</v>
      </c>
      <c r="F994" t="s">
        <v>50</v>
      </c>
      <c r="G994" t="s">
        <v>20</v>
      </c>
      <c r="H994">
        <v>45000</v>
      </c>
      <c r="I994">
        <v>13</v>
      </c>
      <c r="J994">
        <v>5</v>
      </c>
      <c r="K994">
        <v>2</v>
      </c>
      <c r="L994" t="s">
        <v>29</v>
      </c>
      <c r="M994" t="s">
        <v>29</v>
      </c>
      <c r="N994" t="s">
        <v>22</v>
      </c>
      <c r="O994" t="s">
        <v>43</v>
      </c>
    </row>
    <row r="995" spans="1:15" x14ac:dyDescent="0.3">
      <c r="A995" t="s">
        <v>1199</v>
      </c>
      <c r="B995" t="s">
        <v>114</v>
      </c>
      <c r="C995" t="s">
        <v>37</v>
      </c>
      <c r="D995">
        <v>47</v>
      </c>
      <c r="E995" t="s">
        <v>41</v>
      </c>
      <c r="F995" t="s">
        <v>73</v>
      </c>
      <c r="G995" t="s">
        <v>20</v>
      </c>
      <c r="H995">
        <v>55000</v>
      </c>
      <c r="I995">
        <v>9</v>
      </c>
      <c r="J995">
        <v>4</v>
      </c>
      <c r="K995">
        <v>3</v>
      </c>
      <c r="L995" t="s">
        <v>29</v>
      </c>
      <c r="M995" t="s">
        <v>29</v>
      </c>
      <c r="N995" t="s">
        <v>22</v>
      </c>
      <c r="O995" t="s">
        <v>43</v>
      </c>
    </row>
    <row r="996" spans="1:15" x14ac:dyDescent="0.3">
      <c r="A996" t="s">
        <v>1200</v>
      </c>
      <c r="B996" t="s">
        <v>217</v>
      </c>
      <c r="C996" t="s">
        <v>17</v>
      </c>
      <c r="D996">
        <v>48</v>
      </c>
      <c r="E996" t="s">
        <v>57</v>
      </c>
      <c r="F996" t="s">
        <v>50</v>
      </c>
      <c r="G996" t="s">
        <v>28</v>
      </c>
      <c r="H996">
        <v>75000</v>
      </c>
      <c r="I996">
        <v>6</v>
      </c>
      <c r="J996">
        <v>3</v>
      </c>
      <c r="K996">
        <v>5</v>
      </c>
      <c r="L996" t="s">
        <v>29</v>
      </c>
      <c r="M996" t="s">
        <v>29</v>
      </c>
      <c r="N996" t="s">
        <v>34</v>
      </c>
      <c r="O996" t="s">
        <v>38</v>
      </c>
    </row>
    <row r="997" spans="1:15" x14ac:dyDescent="0.3">
      <c r="A997" t="s">
        <v>1201</v>
      </c>
      <c r="B997" t="s">
        <v>384</v>
      </c>
      <c r="C997" t="s">
        <v>17</v>
      </c>
      <c r="D997">
        <v>28</v>
      </c>
      <c r="E997" t="s">
        <v>18</v>
      </c>
      <c r="F997" t="s">
        <v>126</v>
      </c>
      <c r="G997" t="s">
        <v>28</v>
      </c>
      <c r="H997">
        <v>93000</v>
      </c>
      <c r="I997">
        <v>7</v>
      </c>
      <c r="J997">
        <v>3</v>
      </c>
      <c r="K997">
        <v>5</v>
      </c>
      <c r="L997" t="s">
        <v>21</v>
      </c>
      <c r="M997" t="s">
        <v>29</v>
      </c>
      <c r="N997" t="s">
        <v>22</v>
      </c>
      <c r="O997" t="s">
        <v>51</v>
      </c>
    </row>
    <row r="998" spans="1:15" x14ac:dyDescent="0.3">
      <c r="A998" t="s">
        <v>1202</v>
      </c>
      <c r="B998" t="s">
        <v>709</v>
      </c>
      <c r="C998" t="s">
        <v>37</v>
      </c>
      <c r="D998">
        <v>36</v>
      </c>
      <c r="E998" t="s">
        <v>18</v>
      </c>
      <c r="F998" t="s">
        <v>126</v>
      </c>
      <c r="G998" t="s">
        <v>28</v>
      </c>
      <c r="H998">
        <v>66000</v>
      </c>
      <c r="I998">
        <v>12</v>
      </c>
      <c r="J998">
        <v>3</v>
      </c>
      <c r="K998">
        <v>4</v>
      </c>
      <c r="L998" t="s">
        <v>29</v>
      </c>
      <c r="M998" t="s">
        <v>29</v>
      </c>
      <c r="N998" t="s">
        <v>22</v>
      </c>
      <c r="O998" t="s">
        <v>51</v>
      </c>
    </row>
    <row r="999" spans="1:15" x14ac:dyDescent="0.3">
      <c r="A999" t="s">
        <v>1203</v>
      </c>
      <c r="B999" t="s">
        <v>476</v>
      </c>
      <c r="C999" t="s">
        <v>37</v>
      </c>
      <c r="D999">
        <v>48</v>
      </c>
      <c r="E999" t="s">
        <v>49</v>
      </c>
      <c r="F999" t="s">
        <v>50</v>
      </c>
      <c r="G999" t="s">
        <v>28</v>
      </c>
      <c r="H999">
        <v>30000</v>
      </c>
      <c r="I999">
        <v>6</v>
      </c>
      <c r="J999">
        <v>4</v>
      </c>
      <c r="K999">
        <v>2</v>
      </c>
      <c r="L999" t="s">
        <v>21</v>
      </c>
      <c r="M999" t="s">
        <v>21</v>
      </c>
      <c r="N999" t="s">
        <v>22</v>
      </c>
      <c r="O999" t="s">
        <v>75</v>
      </c>
    </row>
    <row r="1000" spans="1:15" x14ac:dyDescent="0.3">
      <c r="A1000" t="s">
        <v>1204</v>
      </c>
      <c r="B1000" t="s">
        <v>158</v>
      </c>
      <c r="C1000" t="s">
        <v>37</v>
      </c>
      <c r="D1000">
        <v>55</v>
      </c>
      <c r="E1000" t="s">
        <v>26</v>
      </c>
      <c r="F1000" t="s">
        <v>50</v>
      </c>
      <c r="G1000" t="s">
        <v>46</v>
      </c>
      <c r="H1000">
        <v>81000</v>
      </c>
      <c r="I1000">
        <v>8</v>
      </c>
      <c r="J1000">
        <v>3</v>
      </c>
      <c r="K1000">
        <v>3</v>
      </c>
      <c r="L1000" t="s">
        <v>29</v>
      </c>
      <c r="M1000" t="s">
        <v>29</v>
      </c>
      <c r="N1000" t="s">
        <v>22</v>
      </c>
      <c r="O1000" t="s">
        <v>43</v>
      </c>
    </row>
    <row r="1001" spans="1:15" x14ac:dyDescent="0.3">
      <c r="A1001" t="s">
        <v>1205</v>
      </c>
      <c r="B1001" t="s">
        <v>256</v>
      </c>
      <c r="C1001" t="s">
        <v>37</v>
      </c>
      <c r="D1001">
        <v>48</v>
      </c>
      <c r="E1001" t="s">
        <v>26</v>
      </c>
      <c r="F1001" t="s">
        <v>50</v>
      </c>
      <c r="G1001" t="s">
        <v>46</v>
      </c>
      <c r="H1001">
        <v>41000</v>
      </c>
      <c r="I1001">
        <v>1</v>
      </c>
      <c r="J1001">
        <v>5</v>
      </c>
      <c r="K1001">
        <v>5</v>
      </c>
      <c r="L1001" t="s">
        <v>29</v>
      </c>
      <c r="M1001" t="s">
        <v>29</v>
      </c>
      <c r="N1001" t="s">
        <v>34</v>
      </c>
      <c r="O1001" t="s">
        <v>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BECA7-5808-49EC-B741-5AD627F8618E}">
  <dimension ref="A1:AC1001"/>
  <sheetViews>
    <sheetView workbookViewId="0">
      <selection activeCell="Z6" sqref="Z6"/>
    </sheetView>
  </sheetViews>
  <sheetFormatPr defaultRowHeight="14.4" x14ac:dyDescent="0.3"/>
  <cols>
    <col min="1" max="1" width="14" customWidth="1"/>
    <col min="2" max="2" width="17.21875" customWidth="1"/>
    <col min="3" max="3" width="9" customWidth="1"/>
    <col min="5" max="5" width="13" customWidth="1"/>
    <col min="6" max="6" width="10.44140625" customWidth="1"/>
    <col min="7" max="7" width="11.33203125" customWidth="1"/>
    <col min="9" max="9" width="19.109375" customWidth="1"/>
    <col min="10" max="10" width="20.109375" customWidth="1"/>
    <col min="11" max="11" width="16.5546875" customWidth="1"/>
    <col min="12" max="12" width="10.6640625" customWidth="1"/>
    <col min="13" max="13" width="9.88671875" customWidth="1"/>
    <col min="14" max="14" width="15.109375" customWidth="1"/>
    <col min="15" max="15" width="10.6640625" bestFit="1" customWidth="1"/>
    <col min="16" max="16" width="12.6640625" bestFit="1" customWidth="1"/>
    <col min="18" max="18" width="17.77734375" bestFit="1" customWidth="1"/>
    <col min="19" max="19" width="22.88671875" bestFit="1" customWidth="1"/>
    <col min="20" max="20" width="21.5546875" bestFit="1" customWidth="1"/>
    <col min="27" max="27" width="11.44140625" bestFit="1" customWidth="1"/>
  </cols>
  <sheetData>
    <row r="1" spans="1:29" x14ac:dyDescent="0.3">
      <c r="A1" t="s">
        <v>0</v>
      </c>
      <c r="B1" t="s">
        <v>1</v>
      </c>
      <c r="C1" t="s">
        <v>2</v>
      </c>
      <c r="D1" t="s">
        <v>3</v>
      </c>
      <c r="E1" t="s">
        <v>4</v>
      </c>
      <c r="F1" t="s">
        <v>5</v>
      </c>
      <c r="G1" t="s">
        <v>6</v>
      </c>
      <c r="H1" t="s">
        <v>7</v>
      </c>
      <c r="I1" t="s">
        <v>8</v>
      </c>
      <c r="J1" t="s">
        <v>9</v>
      </c>
      <c r="K1" t="s">
        <v>10</v>
      </c>
      <c r="L1" t="s">
        <v>11</v>
      </c>
      <c r="M1" t="s">
        <v>12</v>
      </c>
      <c r="N1" t="s">
        <v>13</v>
      </c>
      <c r="O1" t="s">
        <v>14</v>
      </c>
      <c r="P1" t="s">
        <v>1213</v>
      </c>
      <c r="Q1" t="s">
        <v>1214</v>
      </c>
      <c r="R1" t="s">
        <v>1215</v>
      </c>
      <c r="S1" t="s">
        <v>1216</v>
      </c>
      <c r="T1" t="s">
        <v>1217</v>
      </c>
      <c r="AA1" s="16" t="s">
        <v>1252</v>
      </c>
      <c r="AB1" s="16"/>
    </row>
    <row r="2" spans="1:29" x14ac:dyDescent="0.3">
      <c r="A2" t="s">
        <v>15</v>
      </c>
      <c r="B2" t="s">
        <v>16</v>
      </c>
      <c r="C2" t="s">
        <v>17</v>
      </c>
      <c r="D2">
        <v>45</v>
      </c>
      <c r="E2" t="s">
        <v>18</v>
      </c>
      <c r="F2" t="s">
        <v>19</v>
      </c>
      <c r="G2" t="s">
        <v>20</v>
      </c>
      <c r="H2">
        <v>39000</v>
      </c>
      <c r="I2">
        <v>3</v>
      </c>
      <c r="J2">
        <v>3</v>
      </c>
      <c r="K2">
        <v>1</v>
      </c>
      <c r="L2" t="s">
        <v>21</v>
      </c>
      <c r="M2" t="s">
        <v>21</v>
      </c>
      <c r="N2" t="s">
        <v>22</v>
      </c>
      <c r="O2" t="s">
        <v>23</v>
      </c>
      <c r="P2" t="str">
        <f t="shared" ref="P2:P65" si="0">IF(D2&lt;30,"20-29",IF(D2&lt;40,"30-39",IF(D2&lt;50,"40-49","50+")))</f>
        <v>40-49</v>
      </c>
      <c r="Q2" t="str">
        <f t="shared" ref="Q2:Q65" si="1">IF(H2&lt;40000,"Low",IF(H2&lt;70000,"Medium","High"))</f>
        <v>Low</v>
      </c>
      <c r="R2" t="str">
        <f t="shared" ref="R2:R65" si="2">IF(I2&lt;3,"Junior",IF(I2&lt;7,"Mid-Level","Senior"))</f>
        <v>Mid-Level</v>
      </c>
      <c r="S2" t="str">
        <f>IF(J2&gt;=4,"High Performer","Needs Improvement")</f>
        <v>Needs Improvement</v>
      </c>
      <c r="T2" s="4" t="str">
        <f t="shared" ref="T2:T65" si="3">IF(K2&gt;=4,"Satisfied",IF(K2=3,"Neutral","Dissatisfied"))</f>
        <v>Dissatisfied</v>
      </c>
      <c r="AA2" s="16">
        <f>GETPIVOTDATA("Employee_ID",Pivot_Table!$A$2)</f>
        <v>1000</v>
      </c>
      <c r="AB2" s="16"/>
    </row>
    <row r="3" spans="1:29" x14ac:dyDescent="0.3">
      <c r="A3" t="s">
        <v>24</v>
      </c>
      <c r="B3" t="s">
        <v>25</v>
      </c>
      <c r="C3" t="s">
        <v>17</v>
      </c>
      <c r="D3">
        <v>54</v>
      </c>
      <c r="E3" t="s">
        <v>26</v>
      </c>
      <c r="F3" t="s">
        <v>27</v>
      </c>
      <c r="G3" t="s">
        <v>28</v>
      </c>
      <c r="H3">
        <v>54000</v>
      </c>
      <c r="I3">
        <v>5</v>
      </c>
      <c r="J3">
        <v>5</v>
      </c>
      <c r="K3">
        <v>2</v>
      </c>
      <c r="L3" t="s">
        <v>29</v>
      </c>
      <c r="M3" t="s">
        <v>29</v>
      </c>
      <c r="N3" t="s">
        <v>22</v>
      </c>
      <c r="O3" t="s">
        <v>30</v>
      </c>
      <c r="P3" t="str">
        <f t="shared" si="0"/>
        <v>50+</v>
      </c>
      <c r="Q3" t="str">
        <f t="shared" si="1"/>
        <v>Medium</v>
      </c>
      <c r="R3" t="str">
        <f t="shared" si="2"/>
        <v>Mid-Level</v>
      </c>
      <c r="S3" t="str">
        <f t="shared" ref="S3:S65" si="4">IF(J3&gt;=4,"High Performer","Needs Improvement")</f>
        <v>High Performer</v>
      </c>
      <c r="T3" s="4" t="str">
        <f t="shared" si="3"/>
        <v>Dissatisfied</v>
      </c>
    </row>
    <row r="4" spans="1:29" x14ac:dyDescent="0.3">
      <c r="A4" t="s">
        <v>31</v>
      </c>
      <c r="B4" t="s">
        <v>32</v>
      </c>
      <c r="C4" t="s">
        <v>17</v>
      </c>
      <c r="D4">
        <v>33</v>
      </c>
      <c r="E4" t="s">
        <v>18</v>
      </c>
      <c r="F4" t="s">
        <v>19</v>
      </c>
      <c r="G4" t="s">
        <v>33</v>
      </c>
      <c r="H4">
        <v>44000</v>
      </c>
      <c r="I4">
        <v>0</v>
      </c>
      <c r="J4">
        <v>5</v>
      </c>
      <c r="K4">
        <v>4</v>
      </c>
      <c r="L4" t="s">
        <v>21</v>
      </c>
      <c r="M4" t="s">
        <v>29</v>
      </c>
      <c r="N4" t="s">
        <v>34</v>
      </c>
      <c r="O4" t="s">
        <v>23</v>
      </c>
      <c r="P4" t="str">
        <f t="shared" si="0"/>
        <v>30-39</v>
      </c>
      <c r="Q4" t="str">
        <f t="shared" si="1"/>
        <v>Medium</v>
      </c>
      <c r="R4" t="str">
        <f t="shared" si="2"/>
        <v>Junior</v>
      </c>
      <c r="S4" t="str">
        <f t="shared" si="4"/>
        <v>High Performer</v>
      </c>
      <c r="T4" s="4" t="str">
        <f t="shared" si="3"/>
        <v>Satisfied</v>
      </c>
      <c r="AA4" s="16" t="s">
        <v>1253</v>
      </c>
      <c r="AB4" s="16"/>
    </row>
    <row r="5" spans="1:29" x14ac:dyDescent="0.3">
      <c r="A5" t="s">
        <v>35</v>
      </c>
      <c r="B5" t="s">
        <v>36</v>
      </c>
      <c r="C5" t="s">
        <v>37</v>
      </c>
      <c r="D5">
        <v>54</v>
      </c>
      <c r="E5" t="s">
        <v>18</v>
      </c>
      <c r="F5" t="s">
        <v>19</v>
      </c>
      <c r="G5" t="s">
        <v>33</v>
      </c>
      <c r="H5">
        <v>46000</v>
      </c>
      <c r="I5">
        <v>18</v>
      </c>
      <c r="J5">
        <v>3</v>
      </c>
      <c r="K5">
        <v>1</v>
      </c>
      <c r="L5" t="s">
        <v>29</v>
      </c>
      <c r="M5" t="s">
        <v>29</v>
      </c>
      <c r="N5" t="s">
        <v>34</v>
      </c>
      <c r="O5" t="s">
        <v>38</v>
      </c>
      <c r="P5" t="str">
        <f t="shared" si="0"/>
        <v>50+</v>
      </c>
      <c r="Q5" t="str">
        <f t="shared" si="1"/>
        <v>Medium</v>
      </c>
      <c r="R5" t="str">
        <f t="shared" si="2"/>
        <v>Senior</v>
      </c>
      <c r="S5" t="str">
        <f t="shared" si="4"/>
        <v>Needs Improvement</v>
      </c>
      <c r="T5" s="4" t="str">
        <f t="shared" si="3"/>
        <v>Dissatisfied</v>
      </c>
      <c r="AA5" s="16">
        <f>GETPIVOTDATA("Employee_ID",Pivot_Table!$E$2,"Attrition","Yes")</f>
        <v>178</v>
      </c>
      <c r="AB5" s="16"/>
    </row>
    <row r="6" spans="1:29" x14ac:dyDescent="0.3">
      <c r="A6" t="s">
        <v>39</v>
      </c>
      <c r="B6" t="s">
        <v>40</v>
      </c>
      <c r="C6" t="s">
        <v>37</v>
      </c>
      <c r="D6">
        <v>39</v>
      </c>
      <c r="E6" t="s">
        <v>41</v>
      </c>
      <c r="F6" t="s">
        <v>42</v>
      </c>
      <c r="G6" t="s">
        <v>20</v>
      </c>
      <c r="H6">
        <v>72000</v>
      </c>
      <c r="I6">
        <v>18</v>
      </c>
      <c r="J6">
        <v>4</v>
      </c>
      <c r="K6">
        <v>4</v>
      </c>
      <c r="L6" t="s">
        <v>21</v>
      </c>
      <c r="M6" t="s">
        <v>21</v>
      </c>
      <c r="N6" t="s">
        <v>22</v>
      </c>
      <c r="O6" t="s">
        <v>43</v>
      </c>
      <c r="P6" t="str">
        <f t="shared" si="0"/>
        <v>30-39</v>
      </c>
      <c r="Q6" t="str">
        <f t="shared" si="1"/>
        <v>High</v>
      </c>
      <c r="R6" t="str">
        <f t="shared" si="2"/>
        <v>Senior</v>
      </c>
      <c r="S6" t="str">
        <f t="shared" si="4"/>
        <v>High Performer</v>
      </c>
      <c r="T6" s="4" t="str">
        <f t="shared" si="3"/>
        <v>Satisfied</v>
      </c>
    </row>
    <row r="7" spans="1:29" x14ac:dyDescent="0.3">
      <c r="A7" t="s">
        <v>44</v>
      </c>
      <c r="B7" t="s">
        <v>45</v>
      </c>
      <c r="C7" t="s">
        <v>37</v>
      </c>
      <c r="D7">
        <v>34</v>
      </c>
      <c r="E7" t="s">
        <v>41</v>
      </c>
      <c r="F7" t="s">
        <v>42</v>
      </c>
      <c r="G7" t="s">
        <v>46</v>
      </c>
      <c r="H7">
        <v>101000</v>
      </c>
      <c r="I7">
        <v>2</v>
      </c>
      <c r="J7">
        <v>4</v>
      </c>
      <c r="K7">
        <v>1</v>
      </c>
      <c r="L7" t="s">
        <v>29</v>
      </c>
      <c r="M7" t="s">
        <v>29</v>
      </c>
      <c r="N7" t="s">
        <v>34</v>
      </c>
      <c r="O7" t="s">
        <v>30</v>
      </c>
      <c r="P7" t="str">
        <f t="shared" si="0"/>
        <v>30-39</v>
      </c>
      <c r="Q7" t="str">
        <f t="shared" si="1"/>
        <v>High</v>
      </c>
      <c r="R7" t="str">
        <f t="shared" si="2"/>
        <v>Junior</v>
      </c>
      <c r="S7" t="str">
        <f t="shared" si="4"/>
        <v>High Performer</v>
      </c>
      <c r="T7" s="4" t="str">
        <f t="shared" si="3"/>
        <v>Dissatisfied</v>
      </c>
      <c r="AA7" s="16" t="s">
        <v>1254</v>
      </c>
      <c r="AB7" s="16"/>
    </row>
    <row r="8" spans="1:29" x14ac:dyDescent="0.3">
      <c r="A8" t="s">
        <v>47</v>
      </c>
      <c r="B8" t="s">
        <v>48</v>
      </c>
      <c r="C8" t="s">
        <v>17</v>
      </c>
      <c r="D8">
        <v>42</v>
      </c>
      <c r="E8" t="s">
        <v>49</v>
      </c>
      <c r="F8" t="s">
        <v>50</v>
      </c>
      <c r="G8" t="s">
        <v>33</v>
      </c>
      <c r="H8">
        <v>113000</v>
      </c>
      <c r="I8">
        <v>7</v>
      </c>
      <c r="J8">
        <v>2</v>
      </c>
      <c r="K8">
        <v>4</v>
      </c>
      <c r="L8" t="s">
        <v>21</v>
      </c>
      <c r="M8" t="s">
        <v>29</v>
      </c>
      <c r="N8" t="s">
        <v>22</v>
      </c>
      <c r="O8" t="s">
        <v>51</v>
      </c>
      <c r="P8" t="str">
        <f t="shared" si="0"/>
        <v>40-49</v>
      </c>
      <c r="Q8" t="str">
        <f t="shared" si="1"/>
        <v>High</v>
      </c>
      <c r="R8" t="str">
        <f t="shared" si="2"/>
        <v>Senior</v>
      </c>
      <c r="S8" t="str">
        <f t="shared" si="4"/>
        <v>Needs Improvement</v>
      </c>
      <c r="T8" s="4" t="str">
        <f t="shared" si="3"/>
        <v>Satisfied</v>
      </c>
      <c r="AA8" s="17">
        <f>AA5/AA2</f>
        <v>0.17799999999999999</v>
      </c>
      <c r="AB8" s="16"/>
    </row>
    <row r="9" spans="1:29" x14ac:dyDescent="0.3">
      <c r="A9" t="s">
        <v>52</v>
      </c>
      <c r="B9" t="s">
        <v>53</v>
      </c>
      <c r="C9" t="s">
        <v>17</v>
      </c>
      <c r="D9">
        <v>30</v>
      </c>
      <c r="E9" t="s">
        <v>18</v>
      </c>
      <c r="F9" t="s">
        <v>19</v>
      </c>
      <c r="G9" t="s">
        <v>20</v>
      </c>
      <c r="H9">
        <v>89000</v>
      </c>
      <c r="I9">
        <v>9</v>
      </c>
      <c r="J9">
        <v>4</v>
      </c>
      <c r="K9">
        <v>1</v>
      </c>
      <c r="L9" t="s">
        <v>21</v>
      </c>
      <c r="M9" t="s">
        <v>21</v>
      </c>
      <c r="N9" t="s">
        <v>22</v>
      </c>
      <c r="O9" t="s">
        <v>54</v>
      </c>
      <c r="P9" t="str">
        <f t="shared" si="0"/>
        <v>30-39</v>
      </c>
      <c r="Q9" t="str">
        <f t="shared" si="1"/>
        <v>High</v>
      </c>
      <c r="R9" t="str">
        <f t="shared" si="2"/>
        <v>Senior</v>
      </c>
      <c r="S9" t="str">
        <f t="shared" si="4"/>
        <v>High Performer</v>
      </c>
      <c r="T9" s="4" t="str">
        <f t="shared" si="3"/>
        <v>Dissatisfied</v>
      </c>
    </row>
    <row r="10" spans="1:29" x14ac:dyDescent="0.3">
      <c r="A10" t="s">
        <v>55</v>
      </c>
      <c r="B10" t="s">
        <v>56</v>
      </c>
      <c r="C10" t="s">
        <v>37</v>
      </c>
      <c r="D10">
        <v>41</v>
      </c>
      <c r="E10" t="s">
        <v>57</v>
      </c>
      <c r="F10" t="s">
        <v>50</v>
      </c>
      <c r="G10" t="s">
        <v>33</v>
      </c>
      <c r="H10">
        <v>59000</v>
      </c>
      <c r="I10">
        <v>5</v>
      </c>
      <c r="J10">
        <v>3</v>
      </c>
      <c r="K10">
        <v>2</v>
      </c>
      <c r="L10" t="s">
        <v>29</v>
      </c>
      <c r="M10" t="s">
        <v>29</v>
      </c>
      <c r="N10" t="s">
        <v>22</v>
      </c>
      <c r="O10" t="s">
        <v>30</v>
      </c>
      <c r="P10" t="str">
        <f t="shared" si="0"/>
        <v>40-49</v>
      </c>
      <c r="Q10" t="str">
        <f t="shared" si="1"/>
        <v>Medium</v>
      </c>
      <c r="R10" t="str">
        <f t="shared" si="2"/>
        <v>Mid-Level</v>
      </c>
      <c r="S10" t="str">
        <f t="shared" si="4"/>
        <v>Needs Improvement</v>
      </c>
      <c r="T10" s="4" t="str">
        <f t="shared" si="3"/>
        <v>Dissatisfied</v>
      </c>
      <c r="AA10" s="16" t="s">
        <v>1255</v>
      </c>
      <c r="AB10" s="16"/>
    </row>
    <row r="11" spans="1:29" x14ac:dyDescent="0.3">
      <c r="A11" t="s">
        <v>58</v>
      </c>
      <c r="B11" t="s">
        <v>59</v>
      </c>
      <c r="C11" t="s">
        <v>37</v>
      </c>
      <c r="D11">
        <v>41</v>
      </c>
      <c r="E11" t="s">
        <v>57</v>
      </c>
      <c r="F11" t="s">
        <v>27</v>
      </c>
      <c r="G11" t="s">
        <v>20</v>
      </c>
      <c r="H11">
        <v>59000</v>
      </c>
      <c r="I11">
        <v>3</v>
      </c>
      <c r="J11">
        <v>3</v>
      </c>
      <c r="K11">
        <v>4</v>
      </c>
      <c r="L11" t="s">
        <v>29</v>
      </c>
      <c r="M11" t="s">
        <v>29</v>
      </c>
      <c r="N11" t="s">
        <v>34</v>
      </c>
      <c r="O11" t="s">
        <v>51</v>
      </c>
      <c r="P11" t="str">
        <f t="shared" si="0"/>
        <v>40-49</v>
      </c>
      <c r="Q11" t="str">
        <f t="shared" si="1"/>
        <v>Medium</v>
      </c>
      <c r="R11" t="str">
        <f t="shared" si="2"/>
        <v>Mid-Level</v>
      </c>
      <c r="S11" t="str">
        <f t="shared" si="4"/>
        <v>Needs Improvement</v>
      </c>
      <c r="T11" s="4" t="str">
        <f t="shared" si="3"/>
        <v>Satisfied</v>
      </c>
      <c r="AA11" s="20">
        <f>AVERAGE(Table1[Salary])</f>
        <v>72138</v>
      </c>
      <c r="AB11" s="16"/>
    </row>
    <row r="12" spans="1:29" x14ac:dyDescent="0.3">
      <c r="A12" t="s">
        <v>60</v>
      </c>
      <c r="B12" t="s">
        <v>61</v>
      </c>
      <c r="C12" t="s">
        <v>17</v>
      </c>
      <c r="D12">
        <v>53</v>
      </c>
      <c r="E12" t="s">
        <v>49</v>
      </c>
      <c r="F12" t="s">
        <v>27</v>
      </c>
      <c r="G12" t="s">
        <v>46</v>
      </c>
      <c r="H12">
        <v>30000</v>
      </c>
      <c r="I12">
        <v>14</v>
      </c>
      <c r="J12">
        <v>2</v>
      </c>
      <c r="K12">
        <v>4</v>
      </c>
      <c r="L12" t="s">
        <v>21</v>
      </c>
      <c r="M12" t="s">
        <v>29</v>
      </c>
      <c r="N12" t="s">
        <v>34</v>
      </c>
      <c r="O12" t="s">
        <v>54</v>
      </c>
      <c r="P12" t="str">
        <f t="shared" si="0"/>
        <v>50+</v>
      </c>
      <c r="Q12" t="str">
        <f t="shared" si="1"/>
        <v>Low</v>
      </c>
      <c r="R12" t="str">
        <f t="shared" si="2"/>
        <v>Senior</v>
      </c>
      <c r="S12" t="str">
        <f t="shared" si="4"/>
        <v>Needs Improvement</v>
      </c>
      <c r="T12" s="4" t="str">
        <f t="shared" si="3"/>
        <v>Satisfied</v>
      </c>
    </row>
    <row r="13" spans="1:29" x14ac:dyDescent="0.3">
      <c r="A13" t="s">
        <v>62</v>
      </c>
      <c r="B13" t="s">
        <v>63</v>
      </c>
      <c r="C13" t="s">
        <v>17</v>
      </c>
      <c r="D13">
        <v>44</v>
      </c>
      <c r="E13" t="s">
        <v>26</v>
      </c>
      <c r="F13" t="s">
        <v>27</v>
      </c>
      <c r="G13" t="s">
        <v>33</v>
      </c>
      <c r="H13">
        <v>87000</v>
      </c>
      <c r="I13">
        <v>12</v>
      </c>
      <c r="J13">
        <v>5</v>
      </c>
      <c r="K13">
        <v>3</v>
      </c>
      <c r="L13" t="s">
        <v>29</v>
      </c>
      <c r="M13" t="s">
        <v>29</v>
      </c>
      <c r="N13" t="s">
        <v>34</v>
      </c>
      <c r="O13" t="s">
        <v>51</v>
      </c>
      <c r="P13" t="str">
        <f t="shared" si="0"/>
        <v>40-49</v>
      </c>
      <c r="Q13" t="str">
        <f t="shared" si="1"/>
        <v>High</v>
      </c>
      <c r="R13" t="str">
        <f t="shared" si="2"/>
        <v>Senior</v>
      </c>
      <c r="S13" t="str">
        <f t="shared" si="4"/>
        <v>High Performer</v>
      </c>
      <c r="T13" s="4" t="str">
        <f t="shared" si="3"/>
        <v>Neutral</v>
      </c>
      <c r="AA13" s="16" t="s">
        <v>1256</v>
      </c>
      <c r="AB13" s="16"/>
    </row>
    <row r="14" spans="1:29" x14ac:dyDescent="0.3">
      <c r="A14" t="s">
        <v>64</v>
      </c>
      <c r="B14" t="s">
        <v>65</v>
      </c>
      <c r="C14" t="s">
        <v>17</v>
      </c>
      <c r="D14">
        <v>44</v>
      </c>
      <c r="E14" t="s">
        <v>66</v>
      </c>
      <c r="F14" t="s">
        <v>67</v>
      </c>
      <c r="G14" t="s">
        <v>20</v>
      </c>
      <c r="H14">
        <v>39000</v>
      </c>
      <c r="I14">
        <v>15</v>
      </c>
      <c r="J14">
        <v>4</v>
      </c>
      <c r="K14">
        <v>4</v>
      </c>
      <c r="L14" t="s">
        <v>29</v>
      </c>
      <c r="M14" t="s">
        <v>21</v>
      </c>
      <c r="N14" t="s">
        <v>34</v>
      </c>
      <c r="O14" t="s">
        <v>51</v>
      </c>
      <c r="P14" t="str">
        <f t="shared" si="0"/>
        <v>40-49</v>
      </c>
      <c r="Q14" t="str">
        <f t="shared" si="1"/>
        <v>Low</v>
      </c>
      <c r="R14" t="str">
        <f t="shared" si="2"/>
        <v>Senior</v>
      </c>
      <c r="S14" t="str">
        <f t="shared" si="4"/>
        <v>High Performer</v>
      </c>
      <c r="T14" s="4" t="str">
        <f t="shared" si="3"/>
        <v>Satisfied</v>
      </c>
      <c r="AA14" s="19">
        <f>AVERAGE(Table1[Age])</f>
        <v>38.082999999999998</v>
      </c>
      <c r="AB14" s="16"/>
    </row>
    <row r="15" spans="1:29" x14ac:dyDescent="0.3">
      <c r="A15" t="s">
        <v>68</v>
      </c>
      <c r="B15" t="s">
        <v>69</v>
      </c>
      <c r="C15" t="s">
        <v>37</v>
      </c>
      <c r="D15">
        <v>55</v>
      </c>
      <c r="E15" t="s">
        <v>49</v>
      </c>
      <c r="F15" t="s">
        <v>27</v>
      </c>
      <c r="G15" t="s">
        <v>28</v>
      </c>
      <c r="H15">
        <v>41000</v>
      </c>
      <c r="I15">
        <v>14</v>
      </c>
      <c r="J15">
        <v>5</v>
      </c>
      <c r="K15">
        <v>3</v>
      </c>
      <c r="L15" t="s">
        <v>29</v>
      </c>
      <c r="M15" t="s">
        <v>29</v>
      </c>
      <c r="N15" t="s">
        <v>22</v>
      </c>
      <c r="O15" t="s">
        <v>70</v>
      </c>
      <c r="P15" t="str">
        <f t="shared" si="0"/>
        <v>50+</v>
      </c>
      <c r="Q15" t="str">
        <f t="shared" si="1"/>
        <v>Medium</v>
      </c>
      <c r="R15" t="str">
        <f t="shared" si="2"/>
        <v>Senior</v>
      </c>
      <c r="S15" t="str">
        <f t="shared" si="4"/>
        <v>High Performer</v>
      </c>
      <c r="T15" s="4" t="str">
        <f t="shared" si="3"/>
        <v>Neutral</v>
      </c>
    </row>
    <row r="16" spans="1:29" x14ac:dyDescent="0.3">
      <c r="A16" t="s">
        <v>71</v>
      </c>
      <c r="B16" t="s">
        <v>72</v>
      </c>
      <c r="C16" t="s">
        <v>37</v>
      </c>
      <c r="D16">
        <v>46</v>
      </c>
      <c r="E16" t="s">
        <v>41</v>
      </c>
      <c r="F16" t="s">
        <v>73</v>
      </c>
      <c r="G16" t="s">
        <v>20</v>
      </c>
      <c r="H16">
        <v>41000</v>
      </c>
      <c r="I16">
        <v>19</v>
      </c>
      <c r="J16">
        <v>5</v>
      </c>
      <c r="K16">
        <v>5</v>
      </c>
      <c r="L16" t="s">
        <v>29</v>
      </c>
      <c r="M16" t="s">
        <v>29</v>
      </c>
      <c r="N16" t="s">
        <v>22</v>
      </c>
      <c r="O16" t="s">
        <v>54</v>
      </c>
      <c r="P16" t="str">
        <f t="shared" si="0"/>
        <v>40-49</v>
      </c>
      <c r="Q16" t="str">
        <f t="shared" si="1"/>
        <v>Medium</v>
      </c>
      <c r="R16" t="str">
        <f t="shared" si="2"/>
        <v>Senior</v>
      </c>
      <c r="S16" t="str">
        <f t="shared" si="4"/>
        <v>High Performer</v>
      </c>
      <c r="T16" s="4" t="str">
        <f t="shared" si="3"/>
        <v>Satisfied</v>
      </c>
      <c r="AA16" s="16" t="s">
        <v>1257</v>
      </c>
      <c r="AB16" s="16"/>
      <c r="AC16" s="16"/>
    </row>
    <row r="17" spans="1:29" x14ac:dyDescent="0.3">
      <c r="A17" t="s">
        <v>74</v>
      </c>
      <c r="B17" t="s">
        <v>53</v>
      </c>
      <c r="C17" t="s">
        <v>37</v>
      </c>
      <c r="D17">
        <v>27</v>
      </c>
      <c r="E17" t="s">
        <v>41</v>
      </c>
      <c r="F17" t="s">
        <v>42</v>
      </c>
      <c r="G17" t="s">
        <v>28</v>
      </c>
      <c r="H17">
        <v>70000</v>
      </c>
      <c r="I17">
        <v>2</v>
      </c>
      <c r="J17">
        <v>2</v>
      </c>
      <c r="K17">
        <v>1</v>
      </c>
      <c r="L17" t="s">
        <v>29</v>
      </c>
      <c r="M17" t="s">
        <v>29</v>
      </c>
      <c r="N17" t="s">
        <v>34</v>
      </c>
      <c r="O17" t="s">
        <v>75</v>
      </c>
      <c r="P17" t="str">
        <f t="shared" si="0"/>
        <v>20-29</v>
      </c>
      <c r="Q17" t="str">
        <f t="shared" si="1"/>
        <v>High</v>
      </c>
      <c r="R17" t="str">
        <f t="shared" si="2"/>
        <v>Junior</v>
      </c>
      <c r="S17" t="str">
        <f t="shared" si="4"/>
        <v>Needs Improvement</v>
      </c>
      <c r="T17" s="4" t="str">
        <f t="shared" si="3"/>
        <v>Dissatisfied</v>
      </c>
      <c r="AA17" s="18">
        <f>AVERAGE(Table1[Job_Satisfaction])</f>
        <v>3.032</v>
      </c>
      <c r="AB17" s="16"/>
      <c r="AC17" s="17"/>
    </row>
    <row r="18" spans="1:29" x14ac:dyDescent="0.3">
      <c r="A18" t="s">
        <v>76</v>
      </c>
      <c r="B18" t="s">
        <v>77</v>
      </c>
      <c r="C18" t="s">
        <v>37</v>
      </c>
      <c r="D18">
        <v>33</v>
      </c>
      <c r="E18" t="s">
        <v>57</v>
      </c>
      <c r="F18" t="s">
        <v>27</v>
      </c>
      <c r="G18" t="s">
        <v>33</v>
      </c>
      <c r="H18">
        <v>38000</v>
      </c>
      <c r="I18">
        <v>9</v>
      </c>
      <c r="J18">
        <v>3</v>
      </c>
      <c r="K18">
        <v>5</v>
      </c>
      <c r="L18" t="s">
        <v>29</v>
      </c>
      <c r="M18" t="s">
        <v>29</v>
      </c>
      <c r="N18" t="s">
        <v>34</v>
      </c>
      <c r="O18" t="s">
        <v>70</v>
      </c>
      <c r="P18" t="str">
        <f t="shared" si="0"/>
        <v>30-39</v>
      </c>
      <c r="Q18" t="str">
        <f t="shared" si="1"/>
        <v>Low</v>
      </c>
      <c r="R18" t="str">
        <f t="shared" si="2"/>
        <v>Senior</v>
      </c>
      <c r="S18" t="str">
        <f t="shared" si="4"/>
        <v>Needs Improvement</v>
      </c>
      <c r="T18" s="4" t="str">
        <f t="shared" si="3"/>
        <v>Satisfied</v>
      </c>
    </row>
    <row r="19" spans="1:29" x14ac:dyDescent="0.3">
      <c r="A19" t="s">
        <v>78</v>
      </c>
      <c r="B19" t="s">
        <v>79</v>
      </c>
      <c r="C19" t="s">
        <v>37</v>
      </c>
      <c r="D19">
        <v>53</v>
      </c>
      <c r="E19" t="s">
        <v>41</v>
      </c>
      <c r="F19" t="s">
        <v>73</v>
      </c>
      <c r="G19" t="s">
        <v>33</v>
      </c>
      <c r="H19">
        <v>60000</v>
      </c>
      <c r="I19">
        <v>20</v>
      </c>
      <c r="J19">
        <v>3</v>
      </c>
      <c r="K19">
        <v>4</v>
      </c>
      <c r="L19" t="s">
        <v>21</v>
      </c>
      <c r="M19" t="s">
        <v>29</v>
      </c>
      <c r="N19" t="s">
        <v>22</v>
      </c>
      <c r="O19" t="s">
        <v>30</v>
      </c>
      <c r="P19" t="str">
        <f t="shared" si="0"/>
        <v>50+</v>
      </c>
      <c r="Q19" t="str">
        <f t="shared" si="1"/>
        <v>Medium</v>
      </c>
      <c r="R19" t="str">
        <f t="shared" si="2"/>
        <v>Senior</v>
      </c>
      <c r="S19" t="str">
        <f t="shared" si="4"/>
        <v>Needs Improvement</v>
      </c>
      <c r="T19" s="4" t="str">
        <f t="shared" si="3"/>
        <v>Satisfied</v>
      </c>
    </row>
    <row r="20" spans="1:29" x14ac:dyDescent="0.3">
      <c r="A20" t="s">
        <v>80</v>
      </c>
      <c r="B20" t="s">
        <v>81</v>
      </c>
      <c r="C20" t="s">
        <v>37</v>
      </c>
      <c r="D20">
        <v>39</v>
      </c>
      <c r="E20" t="s">
        <v>66</v>
      </c>
      <c r="F20" t="s">
        <v>82</v>
      </c>
      <c r="G20" t="s">
        <v>20</v>
      </c>
      <c r="H20">
        <v>30000</v>
      </c>
      <c r="I20">
        <v>0</v>
      </c>
      <c r="J20">
        <v>5</v>
      </c>
      <c r="K20">
        <v>4</v>
      </c>
      <c r="L20" t="s">
        <v>21</v>
      </c>
      <c r="M20" t="s">
        <v>29</v>
      </c>
      <c r="N20" t="s">
        <v>22</v>
      </c>
      <c r="O20" t="s">
        <v>23</v>
      </c>
      <c r="P20" t="str">
        <f t="shared" si="0"/>
        <v>30-39</v>
      </c>
      <c r="Q20" t="str">
        <f t="shared" si="1"/>
        <v>Low</v>
      </c>
      <c r="R20" t="str">
        <f t="shared" si="2"/>
        <v>Junior</v>
      </c>
      <c r="S20" t="str">
        <f t="shared" si="4"/>
        <v>High Performer</v>
      </c>
      <c r="T20" s="4" t="str">
        <f t="shared" si="3"/>
        <v>Satisfied</v>
      </c>
    </row>
    <row r="21" spans="1:29" x14ac:dyDescent="0.3">
      <c r="A21" t="s">
        <v>83</v>
      </c>
      <c r="B21" t="s">
        <v>84</v>
      </c>
      <c r="C21" t="s">
        <v>37</v>
      </c>
      <c r="D21">
        <v>49</v>
      </c>
      <c r="E21" t="s">
        <v>49</v>
      </c>
      <c r="F21" t="s">
        <v>50</v>
      </c>
      <c r="G21" t="s">
        <v>28</v>
      </c>
      <c r="H21">
        <v>42000</v>
      </c>
      <c r="I21">
        <v>5</v>
      </c>
      <c r="J21">
        <v>2</v>
      </c>
      <c r="K21">
        <v>2</v>
      </c>
      <c r="L21" t="s">
        <v>21</v>
      </c>
      <c r="M21" t="s">
        <v>29</v>
      </c>
      <c r="N21" t="s">
        <v>34</v>
      </c>
      <c r="O21" t="s">
        <v>23</v>
      </c>
      <c r="P21" t="str">
        <f t="shared" si="0"/>
        <v>40-49</v>
      </c>
      <c r="Q21" t="str">
        <f t="shared" si="1"/>
        <v>Medium</v>
      </c>
      <c r="R21" t="str">
        <f t="shared" si="2"/>
        <v>Mid-Level</v>
      </c>
      <c r="S21" t="str">
        <f t="shared" si="4"/>
        <v>Needs Improvement</v>
      </c>
      <c r="T21" s="4" t="str">
        <f t="shared" si="3"/>
        <v>Dissatisfied</v>
      </c>
    </row>
    <row r="22" spans="1:29" x14ac:dyDescent="0.3">
      <c r="A22" t="s">
        <v>85</v>
      </c>
      <c r="B22" t="s">
        <v>86</v>
      </c>
      <c r="C22" t="s">
        <v>37</v>
      </c>
      <c r="D22">
        <v>24</v>
      </c>
      <c r="E22" t="s">
        <v>66</v>
      </c>
      <c r="F22" t="s">
        <v>67</v>
      </c>
      <c r="G22" t="s">
        <v>46</v>
      </c>
      <c r="H22">
        <v>100000</v>
      </c>
      <c r="I22">
        <v>3</v>
      </c>
      <c r="J22">
        <v>4</v>
      </c>
      <c r="K22">
        <v>4</v>
      </c>
      <c r="L22" t="s">
        <v>29</v>
      </c>
      <c r="M22" t="s">
        <v>29</v>
      </c>
      <c r="N22" t="s">
        <v>22</v>
      </c>
      <c r="O22" t="s">
        <v>51</v>
      </c>
      <c r="P22" t="str">
        <f t="shared" si="0"/>
        <v>20-29</v>
      </c>
      <c r="Q22" t="str">
        <f t="shared" si="1"/>
        <v>High</v>
      </c>
      <c r="R22" t="str">
        <f t="shared" si="2"/>
        <v>Mid-Level</v>
      </c>
      <c r="S22" t="str">
        <f t="shared" si="4"/>
        <v>High Performer</v>
      </c>
      <c r="T22" s="4" t="str">
        <f t="shared" si="3"/>
        <v>Satisfied</v>
      </c>
    </row>
    <row r="23" spans="1:29" x14ac:dyDescent="0.3">
      <c r="A23" t="s">
        <v>87</v>
      </c>
      <c r="B23" t="s">
        <v>88</v>
      </c>
      <c r="C23" t="s">
        <v>37</v>
      </c>
      <c r="D23">
        <v>51</v>
      </c>
      <c r="E23" t="s">
        <v>66</v>
      </c>
      <c r="F23" t="s">
        <v>82</v>
      </c>
      <c r="G23" t="s">
        <v>20</v>
      </c>
      <c r="H23">
        <v>87000</v>
      </c>
      <c r="I23">
        <v>17</v>
      </c>
      <c r="J23">
        <v>4</v>
      </c>
      <c r="K23">
        <v>5</v>
      </c>
      <c r="L23" t="s">
        <v>21</v>
      </c>
      <c r="M23" t="s">
        <v>29</v>
      </c>
      <c r="N23" t="s">
        <v>34</v>
      </c>
      <c r="O23" t="s">
        <v>70</v>
      </c>
      <c r="P23" t="str">
        <f t="shared" si="0"/>
        <v>50+</v>
      </c>
      <c r="Q23" t="str">
        <f t="shared" si="1"/>
        <v>High</v>
      </c>
      <c r="R23" t="str">
        <f t="shared" si="2"/>
        <v>Senior</v>
      </c>
      <c r="S23" t="str">
        <f t="shared" si="4"/>
        <v>High Performer</v>
      </c>
      <c r="T23" s="4" t="str">
        <f t="shared" si="3"/>
        <v>Satisfied</v>
      </c>
    </row>
    <row r="24" spans="1:29" x14ac:dyDescent="0.3">
      <c r="A24" t="s">
        <v>89</v>
      </c>
      <c r="B24" t="s">
        <v>90</v>
      </c>
      <c r="C24" t="s">
        <v>37</v>
      </c>
      <c r="D24">
        <v>37</v>
      </c>
      <c r="E24" t="s">
        <v>57</v>
      </c>
      <c r="F24" t="s">
        <v>27</v>
      </c>
      <c r="G24" t="s">
        <v>20</v>
      </c>
      <c r="H24">
        <v>81000</v>
      </c>
      <c r="I24">
        <v>12</v>
      </c>
      <c r="J24">
        <v>5</v>
      </c>
      <c r="K24">
        <v>4</v>
      </c>
      <c r="L24" t="s">
        <v>21</v>
      </c>
      <c r="M24" t="s">
        <v>29</v>
      </c>
      <c r="N24" t="s">
        <v>34</v>
      </c>
      <c r="O24" t="s">
        <v>75</v>
      </c>
      <c r="P24" t="str">
        <f t="shared" si="0"/>
        <v>30-39</v>
      </c>
      <c r="Q24" t="str">
        <f t="shared" si="1"/>
        <v>High</v>
      </c>
      <c r="R24" t="str">
        <f t="shared" si="2"/>
        <v>Senior</v>
      </c>
      <c r="S24" t="str">
        <f t="shared" si="4"/>
        <v>High Performer</v>
      </c>
      <c r="T24" s="4" t="str">
        <f t="shared" si="3"/>
        <v>Satisfied</v>
      </c>
    </row>
    <row r="25" spans="1:29" x14ac:dyDescent="0.3">
      <c r="A25" t="s">
        <v>91</v>
      </c>
      <c r="B25" t="s">
        <v>92</v>
      </c>
      <c r="C25" t="s">
        <v>37</v>
      </c>
      <c r="D25">
        <v>34</v>
      </c>
      <c r="E25" t="s">
        <v>57</v>
      </c>
      <c r="F25" t="s">
        <v>27</v>
      </c>
      <c r="G25" t="s">
        <v>33</v>
      </c>
      <c r="H25">
        <v>38000</v>
      </c>
      <c r="I25">
        <v>3</v>
      </c>
      <c r="J25">
        <v>4</v>
      </c>
      <c r="K25">
        <v>1</v>
      </c>
      <c r="L25" t="s">
        <v>29</v>
      </c>
      <c r="M25" t="s">
        <v>29</v>
      </c>
      <c r="N25" t="s">
        <v>22</v>
      </c>
      <c r="O25" t="s">
        <v>75</v>
      </c>
      <c r="P25" t="str">
        <f t="shared" si="0"/>
        <v>30-39</v>
      </c>
      <c r="Q25" t="str">
        <f t="shared" si="1"/>
        <v>Low</v>
      </c>
      <c r="R25" t="str">
        <f t="shared" si="2"/>
        <v>Mid-Level</v>
      </c>
      <c r="S25" t="str">
        <f t="shared" si="4"/>
        <v>High Performer</v>
      </c>
      <c r="T25" s="4" t="str">
        <f t="shared" si="3"/>
        <v>Dissatisfied</v>
      </c>
    </row>
    <row r="26" spans="1:29" x14ac:dyDescent="0.3">
      <c r="A26" t="s">
        <v>93</v>
      </c>
      <c r="B26" t="s">
        <v>94</v>
      </c>
      <c r="C26" t="s">
        <v>17</v>
      </c>
      <c r="D26">
        <v>22</v>
      </c>
      <c r="E26" t="s">
        <v>49</v>
      </c>
      <c r="F26" t="s">
        <v>50</v>
      </c>
      <c r="G26" t="s">
        <v>46</v>
      </c>
      <c r="H26">
        <v>108000</v>
      </c>
      <c r="I26">
        <v>1</v>
      </c>
      <c r="J26">
        <v>2</v>
      </c>
      <c r="K26">
        <v>2</v>
      </c>
      <c r="L26" t="s">
        <v>29</v>
      </c>
      <c r="M26" t="s">
        <v>29</v>
      </c>
      <c r="N26" t="s">
        <v>22</v>
      </c>
      <c r="O26" t="s">
        <v>54</v>
      </c>
      <c r="P26" t="str">
        <f t="shared" si="0"/>
        <v>20-29</v>
      </c>
      <c r="Q26" t="str">
        <f t="shared" si="1"/>
        <v>High</v>
      </c>
      <c r="R26" t="str">
        <f t="shared" si="2"/>
        <v>Junior</v>
      </c>
      <c r="S26" t="str">
        <f t="shared" si="4"/>
        <v>Needs Improvement</v>
      </c>
      <c r="T26" s="4" t="str">
        <f t="shared" si="3"/>
        <v>Dissatisfied</v>
      </c>
    </row>
    <row r="27" spans="1:29" x14ac:dyDescent="0.3">
      <c r="A27" t="s">
        <v>95</v>
      </c>
      <c r="B27" t="s">
        <v>96</v>
      </c>
      <c r="C27" t="s">
        <v>17</v>
      </c>
      <c r="D27">
        <v>28</v>
      </c>
      <c r="E27" t="s">
        <v>18</v>
      </c>
      <c r="F27" t="s">
        <v>19</v>
      </c>
      <c r="G27" t="s">
        <v>46</v>
      </c>
      <c r="H27">
        <v>45000</v>
      </c>
      <c r="I27">
        <v>4</v>
      </c>
      <c r="J27">
        <v>5</v>
      </c>
      <c r="K27">
        <v>3</v>
      </c>
      <c r="L27" t="s">
        <v>21</v>
      </c>
      <c r="M27" t="s">
        <v>29</v>
      </c>
      <c r="N27" t="s">
        <v>22</v>
      </c>
      <c r="O27" t="s">
        <v>23</v>
      </c>
      <c r="P27" t="str">
        <f t="shared" si="0"/>
        <v>20-29</v>
      </c>
      <c r="Q27" t="str">
        <f t="shared" si="1"/>
        <v>Medium</v>
      </c>
      <c r="R27" t="str">
        <f t="shared" si="2"/>
        <v>Mid-Level</v>
      </c>
      <c r="S27" t="str">
        <f t="shared" si="4"/>
        <v>High Performer</v>
      </c>
      <c r="T27" s="4" t="str">
        <f t="shared" si="3"/>
        <v>Neutral</v>
      </c>
    </row>
    <row r="28" spans="1:29" x14ac:dyDescent="0.3">
      <c r="A28" t="s">
        <v>97</v>
      </c>
      <c r="B28" t="s">
        <v>98</v>
      </c>
      <c r="C28" t="s">
        <v>17</v>
      </c>
      <c r="D28">
        <v>38</v>
      </c>
      <c r="E28" t="s">
        <v>41</v>
      </c>
      <c r="F28" t="s">
        <v>42</v>
      </c>
      <c r="G28" t="s">
        <v>33</v>
      </c>
      <c r="H28">
        <v>99000</v>
      </c>
      <c r="I28">
        <v>17</v>
      </c>
      <c r="J28">
        <v>4</v>
      </c>
      <c r="K28">
        <v>3</v>
      </c>
      <c r="L28" t="s">
        <v>29</v>
      </c>
      <c r="M28" t="s">
        <v>29</v>
      </c>
      <c r="N28" t="s">
        <v>22</v>
      </c>
      <c r="O28" t="s">
        <v>51</v>
      </c>
      <c r="P28" t="str">
        <f t="shared" si="0"/>
        <v>30-39</v>
      </c>
      <c r="Q28" t="str">
        <f t="shared" si="1"/>
        <v>High</v>
      </c>
      <c r="R28" t="str">
        <f t="shared" si="2"/>
        <v>Senior</v>
      </c>
      <c r="S28" t="str">
        <f t="shared" si="4"/>
        <v>High Performer</v>
      </c>
      <c r="T28" s="4" t="str">
        <f t="shared" si="3"/>
        <v>Neutral</v>
      </c>
    </row>
    <row r="29" spans="1:29" x14ac:dyDescent="0.3">
      <c r="A29" t="s">
        <v>99</v>
      </c>
      <c r="B29" t="s">
        <v>100</v>
      </c>
      <c r="C29" t="s">
        <v>37</v>
      </c>
      <c r="D29">
        <v>28</v>
      </c>
      <c r="E29" t="s">
        <v>41</v>
      </c>
      <c r="F29" t="s">
        <v>73</v>
      </c>
      <c r="G29" t="s">
        <v>33</v>
      </c>
      <c r="H29">
        <v>58000</v>
      </c>
      <c r="I29">
        <v>3</v>
      </c>
      <c r="J29">
        <v>4</v>
      </c>
      <c r="K29">
        <v>3</v>
      </c>
      <c r="L29" t="s">
        <v>29</v>
      </c>
      <c r="M29" t="s">
        <v>29</v>
      </c>
      <c r="N29" t="s">
        <v>34</v>
      </c>
      <c r="O29" t="s">
        <v>54</v>
      </c>
      <c r="P29" t="str">
        <f t="shared" si="0"/>
        <v>20-29</v>
      </c>
      <c r="Q29" t="str">
        <f t="shared" si="1"/>
        <v>Medium</v>
      </c>
      <c r="R29" t="str">
        <f t="shared" si="2"/>
        <v>Mid-Level</v>
      </c>
      <c r="S29" t="str">
        <f t="shared" si="4"/>
        <v>High Performer</v>
      </c>
      <c r="T29" s="4" t="str">
        <f t="shared" si="3"/>
        <v>Neutral</v>
      </c>
    </row>
    <row r="30" spans="1:29" x14ac:dyDescent="0.3">
      <c r="A30" t="s">
        <v>101</v>
      </c>
      <c r="B30" t="s">
        <v>102</v>
      </c>
      <c r="C30" t="s">
        <v>37</v>
      </c>
      <c r="D30">
        <v>22</v>
      </c>
      <c r="E30" t="s">
        <v>18</v>
      </c>
      <c r="F30" t="s">
        <v>19</v>
      </c>
      <c r="G30" t="s">
        <v>28</v>
      </c>
      <c r="H30">
        <v>31000</v>
      </c>
      <c r="I30">
        <v>1</v>
      </c>
      <c r="J30">
        <v>2</v>
      </c>
      <c r="K30">
        <v>2</v>
      </c>
      <c r="L30" t="s">
        <v>21</v>
      </c>
      <c r="M30" t="s">
        <v>21</v>
      </c>
      <c r="N30" t="s">
        <v>22</v>
      </c>
      <c r="O30" t="s">
        <v>43</v>
      </c>
      <c r="P30" t="str">
        <f t="shared" si="0"/>
        <v>20-29</v>
      </c>
      <c r="Q30" t="str">
        <f t="shared" si="1"/>
        <v>Low</v>
      </c>
      <c r="R30" t="str">
        <f t="shared" si="2"/>
        <v>Junior</v>
      </c>
      <c r="S30" t="str">
        <f t="shared" si="4"/>
        <v>Needs Improvement</v>
      </c>
      <c r="T30" s="4" t="str">
        <f t="shared" si="3"/>
        <v>Dissatisfied</v>
      </c>
    </row>
    <row r="31" spans="1:29" x14ac:dyDescent="0.3">
      <c r="A31" t="s">
        <v>103</v>
      </c>
      <c r="B31" t="s">
        <v>104</v>
      </c>
      <c r="C31" t="s">
        <v>17</v>
      </c>
      <c r="D31">
        <v>33</v>
      </c>
      <c r="E31" t="s">
        <v>66</v>
      </c>
      <c r="F31" t="s">
        <v>67</v>
      </c>
      <c r="G31" t="s">
        <v>28</v>
      </c>
      <c r="H31">
        <v>34000</v>
      </c>
      <c r="I31">
        <v>10</v>
      </c>
      <c r="J31">
        <v>4</v>
      </c>
      <c r="K31">
        <v>4</v>
      </c>
      <c r="L31" t="s">
        <v>29</v>
      </c>
      <c r="M31" t="s">
        <v>21</v>
      </c>
      <c r="N31" t="s">
        <v>22</v>
      </c>
      <c r="O31" t="s">
        <v>30</v>
      </c>
      <c r="P31" t="str">
        <f t="shared" si="0"/>
        <v>30-39</v>
      </c>
      <c r="Q31" t="str">
        <f t="shared" si="1"/>
        <v>Low</v>
      </c>
      <c r="R31" t="str">
        <f t="shared" si="2"/>
        <v>Senior</v>
      </c>
      <c r="S31" t="str">
        <f t="shared" si="4"/>
        <v>High Performer</v>
      </c>
      <c r="T31" s="4" t="str">
        <f t="shared" si="3"/>
        <v>Satisfied</v>
      </c>
    </row>
    <row r="32" spans="1:29" x14ac:dyDescent="0.3">
      <c r="A32" t="s">
        <v>105</v>
      </c>
      <c r="B32" t="s">
        <v>96</v>
      </c>
      <c r="C32" t="s">
        <v>17</v>
      </c>
      <c r="D32">
        <v>48</v>
      </c>
      <c r="E32" t="s">
        <v>49</v>
      </c>
      <c r="F32" t="s">
        <v>50</v>
      </c>
      <c r="G32" t="s">
        <v>28</v>
      </c>
      <c r="H32">
        <v>45000</v>
      </c>
      <c r="I32">
        <v>12</v>
      </c>
      <c r="J32">
        <v>4</v>
      </c>
      <c r="K32">
        <v>2</v>
      </c>
      <c r="L32" t="s">
        <v>29</v>
      </c>
      <c r="M32" t="s">
        <v>29</v>
      </c>
      <c r="N32" t="s">
        <v>34</v>
      </c>
      <c r="O32" t="s">
        <v>43</v>
      </c>
      <c r="P32" t="str">
        <f t="shared" si="0"/>
        <v>40-49</v>
      </c>
      <c r="Q32" t="str">
        <f t="shared" si="1"/>
        <v>Medium</v>
      </c>
      <c r="R32" t="str">
        <f t="shared" si="2"/>
        <v>Senior</v>
      </c>
      <c r="S32" t="str">
        <f t="shared" si="4"/>
        <v>High Performer</v>
      </c>
      <c r="T32" s="4" t="str">
        <f t="shared" si="3"/>
        <v>Dissatisfied</v>
      </c>
    </row>
    <row r="33" spans="1:20" x14ac:dyDescent="0.3">
      <c r="A33" t="s">
        <v>106</v>
      </c>
      <c r="B33" t="s">
        <v>107</v>
      </c>
      <c r="C33" t="s">
        <v>37</v>
      </c>
      <c r="D33">
        <v>26</v>
      </c>
      <c r="E33" t="s">
        <v>41</v>
      </c>
      <c r="F33" t="s">
        <v>42</v>
      </c>
      <c r="G33" t="s">
        <v>46</v>
      </c>
      <c r="H33">
        <v>30000</v>
      </c>
      <c r="I33">
        <v>5</v>
      </c>
      <c r="J33">
        <v>2</v>
      </c>
      <c r="K33">
        <v>4</v>
      </c>
      <c r="L33" t="s">
        <v>21</v>
      </c>
      <c r="M33" t="s">
        <v>29</v>
      </c>
      <c r="N33" t="s">
        <v>34</v>
      </c>
      <c r="O33" t="s">
        <v>54</v>
      </c>
      <c r="P33" t="str">
        <f t="shared" si="0"/>
        <v>20-29</v>
      </c>
      <c r="Q33" t="str">
        <f t="shared" si="1"/>
        <v>Low</v>
      </c>
      <c r="R33" t="str">
        <f t="shared" si="2"/>
        <v>Mid-Level</v>
      </c>
      <c r="S33" t="str">
        <f t="shared" si="4"/>
        <v>Needs Improvement</v>
      </c>
      <c r="T33" s="4" t="str">
        <f t="shared" si="3"/>
        <v>Satisfied</v>
      </c>
    </row>
    <row r="34" spans="1:20" x14ac:dyDescent="0.3">
      <c r="A34" t="s">
        <v>108</v>
      </c>
      <c r="B34" t="s">
        <v>109</v>
      </c>
      <c r="C34" t="s">
        <v>17</v>
      </c>
      <c r="D34">
        <v>36</v>
      </c>
      <c r="E34" t="s">
        <v>41</v>
      </c>
      <c r="F34" t="s">
        <v>73</v>
      </c>
      <c r="G34" t="s">
        <v>33</v>
      </c>
      <c r="H34">
        <v>81000</v>
      </c>
      <c r="I34">
        <v>15</v>
      </c>
      <c r="J34">
        <v>4</v>
      </c>
      <c r="K34">
        <v>1</v>
      </c>
      <c r="L34" t="s">
        <v>29</v>
      </c>
      <c r="M34" t="s">
        <v>29</v>
      </c>
      <c r="N34" t="s">
        <v>22</v>
      </c>
      <c r="O34" t="s">
        <v>38</v>
      </c>
      <c r="P34" t="str">
        <f t="shared" si="0"/>
        <v>30-39</v>
      </c>
      <c r="Q34" t="str">
        <f t="shared" si="1"/>
        <v>High</v>
      </c>
      <c r="R34" t="str">
        <f t="shared" si="2"/>
        <v>Senior</v>
      </c>
      <c r="S34" t="str">
        <f t="shared" si="4"/>
        <v>High Performer</v>
      </c>
      <c r="T34" s="4" t="str">
        <f t="shared" si="3"/>
        <v>Dissatisfied</v>
      </c>
    </row>
    <row r="35" spans="1:20" x14ac:dyDescent="0.3">
      <c r="A35" t="s">
        <v>110</v>
      </c>
      <c r="B35" t="s">
        <v>111</v>
      </c>
      <c r="C35" t="s">
        <v>37</v>
      </c>
      <c r="D35">
        <v>34</v>
      </c>
      <c r="E35" t="s">
        <v>41</v>
      </c>
      <c r="F35" t="s">
        <v>73</v>
      </c>
      <c r="G35" t="s">
        <v>28</v>
      </c>
      <c r="H35">
        <v>48000</v>
      </c>
      <c r="I35">
        <v>13</v>
      </c>
      <c r="J35">
        <v>5</v>
      </c>
      <c r="K35">
        <v>1</v>
      </c>
      <c r="L35" t="s">
        <v>29</v>
      </c>
      <c r="M35" t="s">
        <v>29</v>
      </c>
      <c r="N35" t="s">
        <v>34</v>
      </c>
      <c r="O35" t="s">
        <v>38</v>
      </c>
      <c r="P35" t="str">
        <f t="shared" si="0"/>
        <v>30-39</v>
      </c>
      <c r="Q35" t="str">
        <f t="shared" si="1"/>
        <v>Medium</v>
      </c>
      <c r="R35" t="str">
        <f t="shared" si="2"/>
        <v>Senior</v>
      </c>
      <c r="S35" t="str">
        <f t="shared" si="4"/>
        <v>High Performer</v>
      </c>
      <c r="T35" s="4" t="str">
        <f t="shared" si="3"/>
        <v>Dissatisfied</v>
      </c>
    </row>
    <row r="36" spans="1:20" x14ac:dyDescent="0.3">
      <c r="A36" t="s">
        <v>112</v>
      </c>
      <c r="B36" t="s">
        <v>69</v>
      </c>
      <c r="C36" t="s">
        <v>37</v>
      </c>
      <c r="D36">
        <v>41</v>
      </c>
      <c r="E36" t="s">
        <v>26</v>
      </c>
      <c r="F36" t="s">
        <v>27</v>
      </c>
      <c r="G36" t="s">
        <v>33</v>
      </c>
      <c r="H36">
        <v>65000</v>
      </c>
      <c r="I36">
        <v>0</v>
      </c>
      <c r="J36">
        <v>5</v>
      </c>
      <c r="K36">
        <v>2</v>
      </c>
      <c r="L36" t="s">
        <v>21</v>
      </c>
      <c r="M36" t="s">
        <v>29</v>
      </c>
      <c r="N36" t="s">
        <v>22</v>
      </c>
      <c r="O36" t="s">
        <v>54</v>
      </c>
      <c r="P36" t="str">
        <f t="shared" si="0"/>
        <v>40-49</v>
      </c>
      <c r="Q36" t="str">
        <f t="shared" si="1"/>
        <v>Medium</v>
      </c>
      <c r="R36" t="str">
        <f t="shared" si="2"/>
        <v>Junior</v>
      </c>
      <c r="S36" t="str">
        <f t="shared" si="4"/>
        <v>High Performer</v>
      </c>
      <c r="T36" s="4" t="str">
        <f t="shared" si="3"/>
        <v>Dissatisfied</v>
      </c>
    </row>
    <row r="37" spans="1:20" x14ac:dyDescent="0.3">
      <c r="A37" t="s">
        <v>113</v>
      </c>
      <c r="B37" t="s">
        <v>114</v>
      </c>
      <c r="C37" t="s">
        <v>17</v>
      </c>
      <c r="D37">
        <v>25</v>
      </c>
      <c r="E37" t="s">
        <v>66</v>
      </c>
      <c r="F37" t="s">
        <v>82</v>
      </c>
      <c r="G37" t="s">
        <v>28</v>
      </c>
      <c r="H37">
        <v>71000</v>
      </c>
      <c r="I37">
        <v>4</v>
      </c>
      <c r="J37">
        <v>2</v>
      </c>
      <c r="K37">
        <v>3</v>
      </c>
      <c r="L37" t="s">
        <v>21</v>
      </c>
      <c r="M37" t="s">
        <v>29</v>
      </c>
      <c r="N37" t="s">
        <v>34</v>
      </c>
      <c r="O37" t="s">
        <v>23</v>
      </c>
      <c r="P37" t="str">
        <f t="shared" si="0"/>
        <v>20-29</v>
      </c>
      <c r="Q37" t="str">
        <f t="shared" si="1"/>
        <v>High</v>
      </c>
      <c r="R37" t="str">
        <f t="shared" si="2"/>
        <v>Mid-Level</v>
      </c>
      <c r="S37" t="str">
        <f t="shared" si="4"/>
        <v>Needs Improvement</v>
      </c>
      <c r="T37" s="4" t="str">
        <f t="shared" si="3"/>
        <v>Neutral</v>
      </c>
    </row>
    <row r="38" spans="1:20" x14ac:dyDescent="0.3">
      <c r="A38" t="s">
        <v>115</v>
      </c>
      <c r="B38" t="s">
        <v>116</v>
      </c>
      <c r="C38" t="s">
        <v>37</v>
      </c>
      <c r="D38">
        <v>31</v>
      </c>
      <c r="E38" t="s">
        <v>57</v>
      </c>
      <c r="F38" t="s">
        <v>27</v>
      </c>
      <c r="G38" t="s">
        <v>28</v>
      </c>
      <c r="H38">
        <v>36000</v>
      </c>
      <c r="I38">
        <v>10</v>
      </c>
      <c r="J38">
        <v>2</v>
      </c>
      <c r="K38">
        <v>1</v>
      </c>
      <c r="L38" t="s">
        <v>21</v>
      </c>
      <c r="M38" t="s">
        <v>21</v>
      </c>
      <c r="N38" t="s">
        <v>34</v>
      </c>
      <c r="O38" t="s">
        <v>51</v>
      </c>
      <c r="P38" t="str">
        <f t="shared" si="0"/>
        <v>30-39</v>
      </c>
      <c r="Q38" t="str">
        <f t="shared" si="1"/>
        <v>Low</v>
      </c>
      <c r="R38" t="str">
        <f t="shared" si="2"/>
        <v>Senior</v>
      </c>
      <c r="S38" t="str">
        <f t="shared" si="4"/>
        <v>Needs Improvement</v>
      </c>
      <c r="T38" s="4" t="str">
        <f t="shared" si="3"/>
        <v>Dissatisfied</v>
      </c>
    </row>
    <row r="39" spans="1:20" x14ac:dyDescent="0.3">
      <c r="A39" t="s">
        <v>117</v>
      </c>
      <c r="B39" t="s">
        <v>118</v>
      </c>
      <c r="C39" t="s">
        <v>37</v>
      </c>
      <c r="D39">
        <v>54</v>
      </c>
      <c r="E39" t="s">
        <v>57</v>
      </c>
      <c r="F39" t="s">
        <v>50</v>
      </c>
      <c r="G39" t="s">
        <v>33</v>
      </c>
      <c r="H39">
        <v>80000</v>
      </c>
      <c r="I39">
        <v>18</v>
      </c>
      <c r="J39">
        <v>4</v>
      </c>
      <c r="K39">
        <v>2</v>
      </c>
      <c r="L39" t="s">
        <v>29</v>
      </c>
      <c r="M39" t="s">
        <v>29</v>
      </c>
      <c r="N39" t="s">
        <v>22</v>
      </c>
      <c r="O39" t="s">
        <v>70</v>
      </c>
      <c r="P39" t="str">
        <f t="shared" si="0"/>
        <v>50+</v>
      </c>
      <c r="Q39" t="str">
        <f t="shared" si="1"/>
        <v>High</v>
      </c>
      <c r="R39" t="str">
        <f t="shared" si="2"/>
        <v>Senior</v>
      </c>
      <c r="S39" t="str">
        <f t="shared" si="4"/>
        <v>High Performer</v>
      </c>
      <c r="T39" s="4" t="str">
        <f t="shared" si="3"/>
        <v>Dissatisfied</v>
      </c>
    </row>
    <row r="40" spans="1:20" x14ac:dyDescent="0.3">
      <c r="A40" t="s">
        <v>119</v>
      </c>
      <c r="B40" t="s">
        <v>120</v>
      </c>
      <c r="C40" t="s">
        <v>37</v>
      </c>
      <c r="D40">
        <v>43</v>
      </c>
      <c r="E40" t="s">
        <v>66</v>
      </c>
      <c r="F40" t="s">
        <v>67</v>
      </c>
      <c r="G40" t="s">
        <v>46</v>
      </c>
      <c r="H40">
        <v>50000</v>
      </c>
      <c r="I40">
        <v>9</v>
      </c>
      <c r="J40">
        <v>2</v>
      </c>
      <c r="K40">
        <v>4</v>
      </c>
      <c r="L40" t="s">
        <v>21</v>
      </c>
      <c r="M40" t="s">
        <v>29</v>
      </c>
      <c r="N40" t="s">
        <v>22</v>
      </c>
      <c r="O40" t="s">
        <v>70</v>
      </c>
      <c r="P40" t="str">
        <f t="shared" si="0"/>
        <v>40-49</v>
      </c>
      <c r="Q40" t="str">
        <f t="shared" si="1"/>
        <v>Medium</v>
      </c>
      <c r="R40" t="str">
        <f t="shared" si="2"/>
        <v>Senior</v>
      </c>
      <c r="S40" t="str">
        <f t="shared" si="4"/>
        <v>Needs Improvement</v>
      </c>
      <c r="T40" s="4" t="str">
        <f t="shared" si="3"/>
        <v>Satisfied</v>
      </c>
    </row>
    <row r="41" spans="1:20" x14ac:dyDescent="0.3">
      <c r="A41" t="s">
        <v>121</v>
      </c>
      <c r="B41" t="s">
        <v>122</v>
      </c>
      <c r="C41" t="s">
        <v>17</v>
      </c>
      <c r="D41">
        <v>43</v>
      </c>
      <c r="E41" t="s">
        <v>41</v>
      </c>
      <c r="F41" t="s">
        <v>42</v>
      </c>
      <c r="G41" t="s">
        <v>20</v>
      </c>
      <c r="H41">
        <v>113000</v>
      </c>
      <c r="I41">
        <v>3</v>
      </c>
      <c r="J41">
        <v>2</v>
      </c>
      <c r="K41">
        <v>1</v>
      </c>
      <c r="L41" t="s">
        <v>29</v>
      </c>
      <c r="M41" t="s">
        <v>29</v>
      </c>
      <c r="N41" t="s">
        <v>22</v>
      </c>
      <c r="O41" t="s">
        <v>54</v>
      </c>
      <c r="P41" t="str">
        <f t="shared" si="0"/>
        <v>40-49</v>
      </c>
      <c r="Q41" t="str">
        <f t="shared" si="1"/>
        <v>High</v>
      </c>
      <c r="R41" t="str">
        <f t="shared" si="2"/>
        <v>Mid-Level</v>
      </c>
      <c r="S41" t="str">
        <f t="shared" si="4"/>
        <v>Needs Improvement</v>
      </c>
      <c r="T41" s="4" t="str">
        <f t="shared" si="3"/>
        <v>Dissatisfied</v>
      </c>
    </row>
    <row r="42" spans="1:20" x14ac:dyDescent="0.3">
      <c r="A42" t="s">
        <v>123</v>
      </c>
      <c r="B42" t="s">
        <v>79</v>
      </c>
      <c r="C42" t="s">
        <v>17</v>
      </c>
      <c r="D42">
        <v>53</v>
      </c>
      <c r="E42" t="s">
        <v>57</v>
      </c>
      <c r="F42" t="s">
        <v>50</v>
      </c>
      <c r="G42" t="s">
        <v>46</v>
      </c>
      <c r="H42">
        <v>25000</v>
      </c>
      <c r="I42">
        <v>19</v>
      </c>
      <c r="J42">
        <v>3</v>
      </c>
      <c r="K42">
        <v>1</v>
      </c>
      <c r="L42" t="s">
        <v>21</v>
      </c>
      <c r="M42" t="s">
        <v>21</v>
      </c>
      <c r="N42" t="s">
        <v>22</v>
      </c>
      <c r="O42" t="s">
        <v>75</v>
      </c>
      <c r="P42" t="str">
        <f t="shared" si="0"/>
        <v>50+</v>
      </c>
      <c r="Q42" t="str">
        <f t="shared" si="1"/>
        <v>Low</v>
      </c>
      <c r="R42" t="str">
        <f t="shared" si="2"/>
        <v>Senior</v>
      </c>
      <c r="S42" t="str">
        <f t="shared" si="4"/>
        <v>Needs Improvement</v>
      </c>
      <c r="T42" s="4" t="str">
        <f t="shared" si="3"/>
        <v>Dissatisfied</v>
      </c>
    </row>
    <row r="43" spans="1:20" x14ac:dyDescent="0.3">
      <c r="A43" t="s">
        <v>124</v>
      </c>
      <c r="B43" t="s">
        <v>125</v>
      </c>
      <c r="C43" t="s">
        <v>17</v>
      </c>
      <c r="D43">
        <v>30</v>
      </c>
      <c r="E43" t="s">
        <v>18</v>
      </c>
      <c r="F43" t="s">
        <v>126</v>
      </c>
      <c r="G43" t="s">
        <v>46</v>
      </c>
      <c r="H43">
        <v>43000</v>
      </c>
      <c r="I43">
        <v>9</v>
      </c>
      <c r="J43">
        <v>4</v>
      </c>
      <c r="K43">
        <v>1</v>
      </c>
      <c r="L43" t="s">
        <v>21</v>
      </c>
      <c r="M43" t="s">
        <v>29</v>
      </c>
      <c r="N43" t="s">
        <v>34</v>
      </c>
      <c r="O43" t="s">
        <v>51</v>
      </c>
      <c r="P43" t="str">
        <f t="shared" si="0"/>
        <v>30-39</v>
      </c>
      <c r="Q43" t="str">
        <f t="shared" si="1"/>
        <v>Medium</v>
      </c>
      <c r="R43" t="str">
        <f t="shared" si="2"/>
        <v>Senior</v>
      </c>
      <c r="S43" t="str">
        <f t="shared" si="4"/>
        <v>High Performer</v>
      </c>
      <c r="T43" s="4" t="str">
        <f t="shared" si="3"/>
        <v>Dissatisfied</v>
      </c>
    </row>
    <row r="44" spans="1:20" x14ac:dyDescent="0.3">
      <c r="A44" t="s">
        <v>127</v>
      </c>
      <c r="B44" t="s">
        <v>128</v>
      </c>
      <c r="C44" t="s">
        <v>17</v>
      </c>
      <c r="D44">
        <v>54</v>
      </c>
      <c r="E44" t="s">
        <v>41</v>
      </c>
      <c r="F44" t="s">
        <v>73</v>
      </c>
      <c r="G44" t="s">
        <v>28</v>
      </c>
      <c r="H44">
        <v>116000</v>
      </c>
      <c r="I44">
        <v>2</v>
      </c>
      <c r="J44">
        <v>5</v>
      </c>
      <c r="K44">
        <v>5</v>
      </c>
      <c r="L44" t="s">
        <v>29</v>
      </c>
      <c r="M44" t="s">
        <v>29</v>
      </c>
      <c r="N44" t="s">
        <v>34</v>
      </c>
      <c r="O44" t="s">
        <v>38</v>
      </c>
      <c r="P44" t="str">
        <f t="shared" si="0"/>
        <v>50+</v>
      </c>
      <c r="Q44" t="str">
        <f t="shared" si="1"/>
        <v>High</v>
      </c>
      <c r="R44" t="str">
        <f t="shared" si="2"/>
        <v>Junior</v>
      </c>
      <c r="S44" t="str">
        <f t="shared" si="4"/>
        <v>High Performer</v>
      </c>
      <c r="T44" s="4" t="str">
        <f t="shared" si="3"/>
        <v>Satisfied</v>
      </c>
    </row>
    <row r="45" spans="1:20" x14ac:dyDescent="0.3">
      <c r="A45" t="s">
        <v>129</v>
      </c>
      <c r="B45" t="s">
        <v>130</v>
      </c>
      <c r="C45" t="s">
        <v>17</v>
      </c>
      <c r="D45">
        <v>45</v>
      </c>
      <c r="E45" t="s">
        <v>66</v>
      </c>
      <c r="F45" t="s">
        <v>67</v>
      </c>
      <c r="G45" t="s">
        <v>20</v>
      </c>
      <c r="H45">
        <v>40000</v>
      </c>
      <c r="I45">
        <v>0</v>
      </c>
      <c r="J45">
        <v>2</v>
      </c>
      <c r="K45">
        <v>4</v>
      </c>
      <c r="L45" t="s">
        <v>21</v>
      </c>
      <c r="M45" t="s">
        <v>21</v>
      </c>
      <c r="N45" t="s">
        <v>22</v>
      </c>
      <c r="O45" t="s">
        <v>51</v>
      </c>
      <c r="P45" t="str">
        <f t="shared" si="0"/>
        <v>40-49</v>
      </c>
      <c r="Q45" t="str">
        <f t="shared" si="1"/>
        <v>Medium</v>
      </c>
      <c r="R45" t="str">
        <f t="shared" si="2"/>
        <v>Junior</v>
      </c>
      <c r="S45" t="str">
        <f t="shared" si="4"/>
        <v>Needs Improvement</v>
      </c>
      <c r="T45" s="4" t="str">
        <f t="shared" si="3"/>
        <v>Satisfied</v>
      </c>
    </row>
    <row r="46" spans="1:20" x14ac:dyDescent="0.3">
      <c r="A46" t="s">
        <v>131</v>
      </c>
      <c r="B46" t="s">
        <v>132</v>
      </c>
      <c r="C46" t="s">
        <v>17</v>
      </c>
      <c r="D46">
        <v>49</v>
      </c>
      <c r="E46" t="s">
        <v>49</v>
      </c>
      <c r="F46" t="s">
        <v>50</v>
      </c>
      <c r="G46" t="s">
        <v>28</v>
      </c>
      <c r="H46">
        <v>116000</v>
      </c>
      <c r="I46">
        <v>5</v>
      </c>
      <c r="J46">
        <v>3</v>
      </c>
      <c r="K46">
        <v>4</v>
      </c>
      <c r="L46" t="s">
        <v>29</v>
      </c>
      <c r="M46" t="s">
        <v>29</v>
      </c>
      <c r="N46" t="s">
        <v>34</v>
      </c>
      <c r="O46" t="s">
        <v>38</v>
      </c>
      <c r="P46" t="str">
        <f t="shared" si="0"/>
        <v>40-49</v>
      </c>
      <c r="Q46" t="str">
        <f t="shared" si="1"/>
        <v>High</v>
      </c>
      <c r="R46" t="str">
        <f t="shared" si="2"/>
        <v>Mid-Level</v>
      </c>
      <c r="S46" t="str">
        <f t="shared" si="4"/>
        <v>Needs Improvement</v>
      </c>
      <c r="T46" s="4" t="str">
        <f t="shared" si="3"/>
        <v>Satisfied</v>
      </c>
    </row>
    <row r="47" spans="1:20" x14ac:dyDescent="0.3">
      <c r="A47" t="s">
        <v>133</v>
      </c>
      <c r="B47" t="s">
        <v>134</v>
      </c>
      <c r="C47" t="s">
        <v>37</v>
      </c>
      <c r="D47">
        <v>25</v>
      </c>
      <c r="E47" t="s">
        <v>18</v>
      </c>
      <c r="F47" t="s">
        <v>126</v>
      </c>
      <c r="G47" t="s">
        <v>28</v>
      </c>
      <c r="H47">
        <v>97000</v>
      </c>
      <c r="I47">
        <v>4</v>
      </c>
      <c r="J47">
        <v>2</v>
      </c>
      <c r="K47">
        <v>4</v>
      </c>
      <c r="L47" t="s">
        <v>21</v>
      </c>
      <c r="M47" t="s">
        <v>29</v>
      </c>
      <c r="N47" t="s">
        <v>22</v>
      </c>
      <c r="O47" t="s">
        <v>43</v>
      </c>
      <c r="P47" t="str">
        <f t="shared" si="0"/>
        <v>20-29</v>
      </c>
      <c r="Q47" t="str">
        <f t="shared" si="1"/>
        <v>High</v>
      </c>
      <c r="R47" t="str">
        <f t="shared" si="2"/>
        <v>Mid-Level</v>
      </c>
      <c r="S47" t="str">
        <f t="shared" si="4"/>
        <v>Needs Improvement</v>
      </c>
      <c r="T47" s="4" t="str">
        <f t="shared" si="3"/>
        <v>Satisfied</v>
      </c>
    </row>
    <row r="48" spans="1:20" x14ac:dyDescent="0.3">
      <c r="A48" t="s">
        <v>135</v>
      </c>
      <c r="B48" t="s">
        <v>136</v>
      </c>
      <c r="C48" t="s">
        <v>37</v>
      </c>
      <c r="D48">
        <v>32</v>
      </c>
      <c r="E48" t="s">
        <v>57</v>
      </c>
      <c r="F48" t="s">
        <v>50</v>
      </c>
      <c r="G48" t="s">
        <v>46</v>
      </c>
      <c r="H48">
        <v>99000</v>
      </c>
      <c r="I48">
        <v>11</v>
      </c>
      <c r="J48">
        <v>5</v>
      </c>
      <c r="K48">
        <v>2</v>
      </c>
      <c r="L48" t="s">
        <v>29</v>
      </c>
      <c r="M48" t="s">
        <v>29</v>
      </c>
      <c r="N48" t="s">
        <v>34</v>
      </c>
      <c r="O48" t="s">
        <v>30</v>
      </c>
      <c r="P48" t="str">
        <f t="shared" si="0"/>
        <v>30-39</v>
      </c>
      <c r="Q48" t="str">
        <f t="shared" si="1"/>
        <v>High</v>
      </c>
      <c r="R48" t="str">
        <f t="shared" si="2"/>
        <v>Senior</v>
      </c>
      <c r="S48" t="str">
        <f t="shared" si="4"/>
        <v>High Performer</v>
      </c>
      <c r="T48" s="4" t="str">
        <f t="shared" si="3"/>
        <v>Dissatisfied</v>
      </c>
    </row>
    <row r="49" spans="1:20" x14ac:dyDescent="0.3">
      <c r="A49" t="s">
        <v>137</v>
      </c>
      <c r="B49" t="s">
        <v>138</v>
      </c>
      <c r="C49" t="s">
        <v>17</v>
      </c>
      <c r="D49">
        <v>45</v>
      </c>
      <c r="E49" t="s">
        <v>26</v>
      </c>
      <c r="F49" t="s">
        <v>27</v>
      </c>
      <c r="G49" t="s">
        <v>20</v>
      </c>
      <c r="H49">
        <v>86000</v>
      </c>
      <c r="I49">
        <v>1</v>
      </c>
      <c r="J49">
        <v>4</v>
      </c>
      <c r="K49">
        <v>5</v>
      </c>
      <c r="L49" t="s">
        <v>21</v>
      </c>
      <c r="M49" t="s">
        <v>29</v>
      </c>
      <c r="N49" t="s">
        <v>22</v>
      </c>
      <c r="O49" t="s">
        <v>75</v>
      </c>
      <c r="P49" t="str">
        <f t="shared" si="0"/>
        <v>40-49</v>
      </c>
      <c r="Q49" t="str">
        <f t="shared" si="1"/>
        <v>High</v>
      </c>
      <c r="R49" t="str">
        <f t="shared" si="2"/>
        <v>Junior</v>
      </c>
      <c r="S49" t="str">
        <f t="shared" si="4"/>
        <v>High Performer</v>
      </c>
      <c r="T49" s="4" t="str">
        <f t="shared" si="3"/>
        <v>Satisfied</v>
      </c>
    </row>
    <row r="50" spans="1:20" x14ac:dyDescent="0.3">
      <c r="A50" t="s">
        <v>139</v>
      </c>
      <c r="B50" t="s">
        <v>140</v>
      </c>
      <c r="C50" t="s">
        <v>17</v>
      </c>
      <c r="D50">
        <v>50</v>
      </c>
      <c r="E50" t="s">
        <v>57</v>
      </c>
      <c r="F50" t="s">
        <v>50</v>
      </c>
      <c r="G50" t="s">
        <v>46</v>
      </c>
      <c r="H50">
        <v>77000</v>
      </c>
      <c r="I50">
        <v>13</v>
      </c>
      <c r="J50">
        <v>2</v>
      </c>
      <c r="K50">
        <v>4</v>
      </c>
      <c r="L50" t="s">
        <v>29</v>
      </c>
      <c r="M50" t="s">
        <v>29</v>
      </c>
      <c r="N50" t="s">
        <v>34</v>
      </c>
      <c r="O50" t="s">
        <v>70</v>
      </c>
      <c r="P50" t="str">
        <f t="shared" si="0"/>
        <v>50+</v>
      </c>
      <c r="Q50" t="str">
        <f t="shared" si="1"/>
        <v>High</v>
      </c>
      <c r="R50" t="str">
        <f t="shared" si="2"/>
        <v>Senior</v>
      </c>
      <c r="S50" t="str">
        <f t="shared" si="4"/>
        <v>Needs Improvement</v>
      </c>
      <c r="T50" s="4" t="str">
        <f t="shared" si="3"/>
        <v>Satisfied</v>
      </c>
    </row>
    <row r="51" spans="1:20" x14ac:dyDescent="0.3">
      <c r="A51" t="s">
        <v>141</v>
      </c>
      <c r="B51" t="s">
        <v>142</v>
      </c>
      <c r="C51" t="s">
        <v>17</v>
      </c>
      <c r="D51">
        <v>32</v>
      </c>
      <c r="E51" t="s">
        <v>49</v>
      </c>
      <c r="F51" t="s">
        <v>27</v>
      </c>
      <c r="G51" t="s">
        <v>20</v>
      </c>
      <c r="H51">
        <v>98000</v>
      </c>
      <c r="I51">
        <v>5</v>
      </c>
      <c r="J51">
        <v>3</v>
      </c>
      <c r="K51">
        <v>2</v>
      </c>
      <c r="L51" t="s">
        <v>21</v>
      </c>
      <c r="M51" t="s">
        <v>21</v>
      </c>
      <c r="N51" t="s">
        <v>34</v>
      </c>
      <c r="O51" t="s">
        <v>54</v>
      </c>
      <c r="P51" t="str">
        <f t="shared" si="0"/>
        <v>30-39</v>
      </c>
      <c r="Q51" t="str">
        <f t="shared" si="1"/>
        <v>High</v>
      </c>
      <c r="R51" t="str">
        <f t="shared" si="2"/>
        <v>Mid-Level</v>
      </c>
      <c r="S51" t="str">
        <f t="shared" si="4"/>
        <v>Needs Improvement</v>
      </c>
      <c r="T51" s="4" t="str">
        <f t="shared" si="3"/>
        <v>Dissatisfied</v>
      </c>
    </row>
    <row r="52" spans="1:20" x14ac:dyDescent="0.3">
      <c r="A52" t="s">
        <v>143</v>
      </c>
      <c r="B52" t="s">
        <v>134</v>
      </c>
      <c r="C52" t="s">
        <v>37</v>
      </c>
      <c r="D52">
        <v>45</v>
      </c>
      <c r="E52" t="s">
        <v>66</v>
      </c>
      <c r="F52" t="s">
        <v>82</v>
      </c>
      <c r="G52" t="s">
        <v>46</v>
      </c>
      <c r="H52">
        <v>96000</v>
      </c>
      <c r="I52">
        <v>0</v>
      </c>
      <c r="J52">
        <v>3</v>
      </c>
      <c r="K52">
        <v>4</v>
      </c>
      <c r="L52" t="s">
        <v>29</v>
      </c>
      <c r="M52" t="s">
        <v>21</v>
      </c>
      <c r="N52" t="s">
        <v>22</v>
      </c>
      <c r="O52" t="s">
        <v>54</v>
      </c>
      <c r="P52" t="str">
        <f t="shared" si="0"/>
        <v>40-49</v>
      </c>
      <c r="Q52" t="str">
        <f t="shared" si="1"/>
        <v>High</v>
      </c>
      <c r="R52" t="str">
        <f t="shared" si="2"/>
        <v>Junior</v>
      </c>
      <c r="S52" t="str">
        <f t="shared" si="4"/>
        <v>Needs Improvement</v>
      </c>
      <c r="T52" s="4" t="str">
        <f t="shared" si="3"/>
        <v>Satisfied</v>
      </c>
    </row>
    <row r="53" spans="1:20" x14ac:dyDescent="0.3">
      <c r="A53" t="s">
        <v>144</v>
      </c>
      <c r="B53" t="s">
        <v>145</v>
      </c>
      <c r="C53" t="s">
        <v>37</v>
      </c>
      <c r="D53">
        <v>44</v>
      </c>
      <c r="E53" t="s">
        <v>18</v>
      </c>
      <c r="F53" t="s">
        <v>126</v>
      </c>
      <c r="G53" t="s">
        <v>33</v>
      </c>
      <c r="H53">
        <v>104000</v>
      </c>
      <c r="I53">
        <v>7</v>
      </c>
      <c r="J53">
        <v>3</v>
      </c>
      <c r="K53">
        <v>4</v>
      </c>
      <c r="L53" t="s">
        <v>29</v>
      </c>
      <c r="M53" t="s">
        <v>29</v>
      </c>
      <c r="N53" t="s">
        <v>34</v>
      </c>
      <c r="O53" t="s">
        <v>43</v>
      </c>
      <c r="P53" t="str">
        <f t="shared" si="0"/>
        <v>40-49</v>
      </c>
      <c r="Q53" t="str">
        <f t="shared" si="1"/>
        <v>High</v>
      </c>
      <c r="R53" t="str">
        <f t="shared" si="2"/>
        <v>Senior</v>
      </c>
      <c r="S53" t="str">
        <f t="shared" si="4"/>
        <v>Needs Improvement</v>
      </c>
      <c r="T53" s="4" t="str">
        <f t="shared" si="3"/>
        <v>Satisfied</v>
      </c>
    </row>
    <row r="54" spans="1:20" x14ac:dyDescent="0.3">
      <c r="A54" t="s">
        <v>146</v>
      </c>
      <c r="B54" t="s">
        <v>147</v>
      </c>
      <c r="C54" t="s">
        <v>17</v>
      </c>
      <c r="D54">
        <v>47</v>
      </c>
      <c r="E54" t="s">
        <v>66</v>
      </c>
      <c r="F54" t="s">
        <v>82</v>
      </c>
      <c r="G54" t="s">
        <v>46</v>
      </c>
      <c r="H54">
        <v>90000</v>
      </c>
      <c r="I54">
        <v>1</v>
      </c>
      <c r="J54">
        <v>3</v>
      </c>
      <c r="K54">
        <v>1</v>
      </c>
      <c r="L54" t="s">
        <v>29</v>
      </c>
      <c r="M54" t="s">
        <v>29</v>
      </c>
      <c r="N54" t="s">
        <v>34</v>
      </c>
      <c r="O54" t="s">
        <v>23</v>
      </c>
      <c r="P54" t="str">
        <f t="shared" si="0"/>
        <v>40-49</v>
      </c>
      <c r="Q54" t="str">
        <f t="shared" si="1"/>
        <v>High</v>
      </c>
      <c r="R54" t="str">
        <f t="shared" si="2"/>
        <v>Junior</v>
      </c>
      <c r="S54" t="str">
        <f t="shared" si="4"/>
        <v>Needs Improvement</v>
      </c>
      <c r="T54" s="4" t="str">
        <f t="shared" si="3"/>
        <v>Dissatisfied</v>
      </c>
    </row>
    <row r="55" spans="1:20" x14ac:dyDescent="0.3">
      <c r="A55" t="s">
        <v>148</v>
      </c>
      <c r="B55" t="s">
        <v>149</v>
      </c>
      <c r="C55" t="s">
        <v>37</v>
      </c>
      <c r="D55">
        <v>38</v>
      </c>
      <c r="E55" t="s">
        <v>49</v>
      </c>
      <c r="F55" t="s">
        <v>27</v>
      </c>
      <c r="G55" t="s">
        <v>33</v>
      </c>
      <c r="H55">
        <v>117000</v>
      </c>
      <c r="I55">
        <v>2</v>
      </c>
      <c r="J55">
        <v>4</v>
      </c>
      <c r="K55">
        <v>2</v>
      </c>
      <c r="L55" t="s">
        <v>29</v>
      </c>
      <c r="M55" t="s">
        <v>29</v>
      </c>
      <c r="N55" t="s">
        <v>34</v>
      </c>
      <c r="O55" t="s">
        <v>51</v>
      </c>
      <c r="P55" t="str">
        <f t="shared" si="0"/>
        <v>30-39</v>
      </c>
      <c r="Q55" t="str">
        <f t="shared" si="1"/>
        <v>High</v>
      </c>
      <c r="R55" t="str">
        <f t="shared" si="2"/>
        <v>Junior</v>
      </c>
      <c r="S55" t="str">
        <f t="shared" si="4"/>
        <v>High Performer</v>
      </c>
      <c r="T55" s="4" t="str">
        <f t="shared" si="3"/>
        <v>Dissatisfied</v>
      </c>
    </row>
    <row r="56" spans="1:20" x14ac:dyDescent="0.3">
      <c r="A56" t="s">
        <v>150</v>
      </c>
      <c r="B56" t="s">
        <v>151</v>
      </c>
      <c r="C56" t="s">
        <v>37</v>
      </c>
      <c r="D56">
        <v>26</v>
      </c>
      <c r="E56" t="s">
        <v>49</v>
      </c>
      <c r="F56" t="s">
        <v>27</v>
      </c>
      <c r="G56" t="s">
        <v>46</v>
      </c>
      <c r="H56">
        <v>39000</v>
      </c>
      <c r="I56">
        <v>5</v>
      </c>
      <c r="J56">
        <v>5</v>
      </c>
      <c r="K56">
        <v>5</v>
      </c>
      <c r="L56" t="s">
        <v>29</v>
      </c>
      <c r="M56" t="s">
        <v>29</v>
      </c>
      <c r="N56" t="s">
        <v>22</v>
      </c>
      <c r="O56" t="s">
        <v>75</v>
      </c>
      <c r="P56" t="str">
        <f t="shared" si="0"/>
        <v>20-29</v>
      </c>
      <c r="Q56" t="str">
        <f t="shared" si="1"/>
        <v>Low</v>
      </c>
      <c r="R56" t="str">
        <f t="shared" si="2"/>
        <v>Mid-Level</v>
      </c>
      <c r="S56" t="str">
        <f t="shared" si="4"/>
        <v>High Performer</v>
      </c>
      <c r="T56" s="4" t="str">
        <f t="shared" si="3"/>
        <v>Satisfied</v>
      </c>
    </row>
    <row r="57" spans="1:20" x14ac:dyDescent="0.3">
      <c r="A57" t="s">
        <v>152</v>
      </c>
      <c r="B57" t="s">
        <v>72</v>
      </c>
      <c r="C57" t="s">
        <v>17</v>
      </c>
      <c r="D57">
        <v>30</v>
      </c>
      <c r="E57" t="s">
        <v>66</v>
      </c>
      <c r="F57" t="s">
        <v>82</v>
      </c>
      <c r="G57" t="s">
        <v>46</v>
      </c>
      <c r="H57">
        <v>34000</v>
      </c>
      <c r="I57">
        <v>9</v>
      </c>
      <c r="J57">
        <v>4</v>
      </c>
      <c r="K57">
        <v>3</v>
      </c>
      <c r="L57" t="s">
        <v>21</v>
      </c>
      <c r="M57" t="s">
        <v>29</v>
      </c>
      <c r="N57" t="s">
        <v>22</v>
      </c>
      <c r="O57" t="s">
        <v>70</v>
      </c>
      <c r="P57" t="str">
        <f t="shared" si="0"/>
        <v>30-39</v>
      </c>
      <c r="Q57" t="str">
        <f t="shared" si="1"/>
        <v>Low</v>
      </c>
      <c r="R57" t="str">
        <f t="shared" si="2"/>
        <v>Senior</v>
      </c>
      <c r="S57" t="str">
        <f t="shared" si="4"/>
        <v>High Performer</v>
      </c>
      <c r="T57" s="4" t="str">
        <f t="shared" si="3"/>
        <v>Neutral</v>
      </c>
    </row>
    <row r="58" spans="1:20" x14ac:dyDescent="0.3">
      <c r="A58" t="s">
        <v>153</v>
      </c>
      <c r="B58" t="s">
        <v>154</v>
      </c>
      <c r="C58" t="s">
        <v>17</v>
      </c>
      <c r="D58">
        <v>45</v>
      </c>
      <c r="E58" t="s">
        <v>26</v>
      </c>
      <c r="F58" t="s">
        <v>27</v>
      </c>
      <c r="G58" t="s">
        <v>46</v>
      </c>
      <c r="H58">
        <v>93000</v>
      </c>
      <c r="I58">
        <v>17</v>
      </c>
      <c r="J58">
        <v>3</v>
      </c>
      <c r="K58">
        <v>2</v>
      </c>
      <c r="L58" t="s">
        <v>29</v>
      </c>
      <c r="M58" t="s">
        <v>29</v>
      </c>
      <c r="N58" t="s">
        <v>22</v>
      </c>
      <c r="O58" t="s">
        <v>43</v>
      </c>
      <c r="P58" t="str">
        <f t="shared" si="0"/>
        <v>40-49</v>
      </c>
      <c r="Q58" t="str">
        <f t="shared" si="1"/>
        <v>High</v>
      </c>
      <c r="R58" t="str">
        <f t="shared" si="2"/>
        <v>Senior</v>
      </c>
      <c r="S58" t="str">
        <f t="shared" si="4"/>
        <v>Needs Improvement</v>
      </c>
      <c r="T58" s="4" t="str">
        <f t="shared" si="3"/>
        <v>Dissatisfied</v>
      </c>
    </row>
    <row r="59" spans="1:20" x14ac:dyDescent="0.3">
      <c r="A59" t="s">
        <v>155</v>
      </c>
      <c r="B59" t="s">
        <v>156</v>
      </c>
      <c r="C59" t="s">
        <v>17</v>
      </c>
      <c r="D59">
        <v>32</v>
      </c>
      <c r="E59" t="s">
        <v>41</v>
      </c>
      <c r="F59" t="s">
        <v>73</v>
      </c>
      <c r="G59" t="s">
        <v>33</v>
      </c>
      <c r="H59">
        <v>35000</v>
      </c>
      <c r="I59">
        <v>4</v>
      </c>
      <c r="J59">
        <v>2</v>
      </c>
      <c r="K59">
        <v>5</v>
      </c>
      <c r="L59" t="s">
        <v>21</v>
      </c>
      <c r="M59" t="s">
        <v>29</v>
      </c>
      <c r="N59" t="s">
        <v>34</v>
      </c>
      <c r="O59" t="s">
        <v>43</v>
      </c>
      <c r="P59" t="str">
        <f t="shared" si="0"/>
        <v>30-39</v>
      </c>
      <c r="Q59" t="str">
        <f t="shared" si="1"/>
        <v>Low</v>
      </c>
      <c r="R59" t="str">
        <f t="shared" si="2"/>
        <v>Mid-Level</v>
      </c>
      <c r="S59" t="str">
        <f t="shared" si="4"/>
        <v>Needs Improvement</v>
      </c>
      <c r="T59" s="4" t="str">
        <f t="shared" si="3"/>
        <v>Satisfied</v>
      </c>
    </row>
    <row r="60" spans="1:20" x14ac:dyDescent="0.3">
      <c r="A60" t="s">
        <v>157</v>
      </c>
      <c r="B60" t="s">
        <v>158</v>
      </c>
      <c r="C60" t="s">
        <v>37</v>
      </c>
      <c r="D60">
        <v>42</v>
      </c>
      <c r="E60" t="s">
        <v>57</v>
      </c>
      <c r="F60" t="s">
        <v>50</v>
      </c>
      <c r="G60" t="s">
        <v>33</v>
      </c>
      <c r="H60">
        <v>61000</v>
      </c>
      <c r="I60">
        <v>6</v>
      </c>
      <c r="J60">
        <v>4</v>
      </c>
      <c r="K60">
        <v>3</v>
      </c>
      <c r="L60" t="s">
        <v>21</v>
      </c>
      <c r="M60" t="s">
        <v>29</v>
      </c>
      <c r="N60" t="s">
        <v>22</v>
      </c>
      <c r="O60" t="s">
        <v>75</v>
      </c>
      <c r="P60" t="str">
        <f t="shared" si="0"/>
        <v>40-49</v>
      </c>
      <c r="Q60" t="str">
        <f t="shared" si="1"/>
        <v>Medium</v>
      </c>
      <c r="R60" t="str">
        <f t="shared" si="2"/>
        <v>Mid-Level</v>
      </c>
      <c r="S60" t="str">
        <f t="shared" si="4"/>
        <v>High Performer</v>
      </c>
      <c r="T60" s="4" t="str">
        <f t="shared" si="3"/>
        <v>Neutral</v>
      </c>
    </row>
    <row r="61" spans="1:20" x14ac:dyDescent="0.3">
      <c r="A61" t="s">
        <v>159</v>
      </c>
      <c r="B61" t="s">
        <v>160</v>
      </c>
      <c r="C61" t="s">
        <v>37</v>
      </c>
      <c r="D61">
        <v>51</v>
      </c>
      <c r="E61" t="s">
        <v>57</v>
      </c>
      <c r="F61" t="s">
        <v>50</v>
      </c>
      <c r="G61" t="s">
        <v>33</v>
      </c>
      <c r="H61">
        <v>103000</v>
      </c>
      <c r="I61">
        <v>16</v>
      </c>
      <c r="J61">
        <v>3</v>
      </c>
      <c r="K61">
        <v>4</v>
      </c>
      <c r="L61" t="s">
        <v>21</v>
      </c>
      <c r="M61" t="s">
        <v>29</v>
      </c>
      <c r="N61" t="s">
        <v>22</v>
      </c>
      <c r="O61" t="s">
        <v>43</v>
      </c>
      <c r="P61" t="str">
        <f t="shared" si="0"/>
        <v>50+</v>
      </c>
      <c r="Q61" t="str">
        <f t="shared" si="1"/>
        <v>High</v>
      </c>
      <c r="R61" t="str">
        <f t="shared" si="2"/>
        <v>Senior</v>
      </c>
      <c r="S61" t="str">
        <f t="shared" si="4"/>
        <v>Needs Improvement</v>
      </c>
      <c r="T61" s="4" t="str">
        <f t="shared" si="3"/>
        <v>Satisfied</v>
      </c>
    </row>
    <row r="62" spans="1:20" x14ac:dyDescent="0.3">
      <c r="A62" t="s">
        <v>161</v>
      </c>
      <c r="B62" t="s">
        <v>162</v>
      </c>
      <c r="C62" t="s">
        <v>17</v>
      </c>
      <c r="D62">
        <v>35</v>
      </c>
      <c r="E62" t="s">
        <v>41</v>
      </c>
      <c r="F62" t="s">
        <v>73</v>
      </c>
      <c r="G62" t="s">
        <v>28</v>
      </c>
      <c r="H62">
        <v>38000</v>
      </c>
      <c r="I62">
        <v>12</v>
      </c>
      <c r="J62">
        <v>3</v>
      </c>
      <c r="K62">
        <v>2</v>
      </c>
      <c r="L62" t="s">
        <v>29</v>
      </c>
      <c r="M62" t="s">
        <v>29</v>
      </c>
      <c r="N62" t="s">
        <v>34</v>
      </c>
      <c r="O62" t="s">
        <v>23</v>
      </c>
      <c r="P62" t="str">
        <f t="shared" si="0"/>
        <v>30-39</v>
      </c>
      <c r="Q62" t="str">
        <f t="shared" si="1"/>
        <v>Low</v>
      </c>
      <c r="R62" t="str">
        <f t="shared" si="2"/>
        <v>Senior</v>
      </c>
      <c r="S62" t="str">
        <f t="shared" si="4"/>
        <v>Needs Improvement</v>
      </c>
      <c r="T62" s="4" t="str">
        <f t="shared" si="3"/>
        <v>Dissatisfied</v>
      </c>
    </row>
    <row r="63" spans="1:20" x14ac:dyDescent="0.3">
      <c r="A63" t="s">
        <v>163</v>
      </c>
      <c r="B63" t="s">
        <v>164</v>
      </c>
      <c r="C63" t="s">
        <v>37</v>
      </c>
      <c r="D63">
        <v>26</v>
      </c>
      <c r="E63" t="s">
        <v>41</v>
      </c>
      <c r="F63" t="s">
        <v>73</v>
      </c>
      <c r="G63" t="s">
        <v>33</v>
      </c>
      <c r="H63">
        <v>28000</v>
      </c>
      <c r="I63">
        <v>5</v>
      </c>
      <c r="J63">
        <v>2</v>
      </c>
      <c r="K63">
        <v>3</v>
      </c>
      <c r="L63" t="s">
        <v>21</v>
      </c>
      <c r="M63" t="s">
        <v>29</v>
      </c>
      <c r="N63" t="s">
        <v>22</v>
      </c>
      <c r="O63" t="s">
        <v>43</v>
      </c>
      <c r="P63" t="str">
        <f t="shared" si="0"/>
        <v>20-29</v>
      </c>
      <c r="Q63" t="str">
        <f t="shared" si="1"/>
        <v>Low</v>
      </c>
      <c r="R63" t="str">
        <f t="shared" si="2"/>
        <v>Mid-Level</v>
      </c>
      <c r="S63" t="str">
        <f t="shared" si="4"/>
        <v>Needs Improvement</v>
      </c>
      <c r="T63" s="4" t="str">
        <f t="shared" si="3"/>
        <v>Neutral</v>
      </c>
    </row>
    <row r="64" spans="1:20" x14ac:dyDescent="0.3">
      <c r="A64" t="s">
        <v>165</v>
      </c>
      <c r="B64" t="s">
        <v>166</v>
      </c>
      <c r="C64" t="s">
        <v>17</v>
      </c>
      <c r="D64">
        <v>29</v>
      </c>
      <c r="E64" t="s">
        <v>26</v>
      </c>
      <c r="F64" t="s">
        <v>27</v>
      </c>
      <c r="G64" t="s">
        <v>20</v>
      </c>
      <c r="H64">
        <v>35000</v>
      </c>
      <c r="I64">
        <v>8</v>
      </c>
      <c r="J64">
        <v>2</v>
      </c>
      <c r="K64">
        <v>4</v>
      </c>
      <c r="L64" t="s">
        <v>21</v>
      </c>
      <c r="M64" t="s">
        <v>29</v>
      </c>
      <c r="N64" t="s">
        <v>34</v>
      </c>
      <c r="O64" t="s">
        <v>54</v>
      </c>
      <c r="P64" t="str">
        <f t="shared" si="0"/>
        <v>20-29</v>
      </c>
      <c r="Q64" t="str">
        <f t="shared" si="1"/>
        <v>Low</v>
      </c>
      <c r="R64" t="str">
        <f t="shared" si="2"/>
        <v>Senior</v>
      </c>
      <c r="S64" t="str">
        <f t="shared" si="4"/>
        <v>Needs Improvement</v>
      </c>
      <c r="T64" s="4" t="str">
        <f t="shared" si="3"/>
        <v>Satisfied</v>
      </c>
    </row>
    <row r="65" spans="1:20" x14ac:dyDescent="0.3">
      <c r="A65" t="s">
        <v>167</v>
      </c>
      <c r="B65" t="s">
        <v>168</v>
      </c>
      <c r="C65" t="s">
        <v>37</v>
      </c>
      <c r="D65">
        <v>26</v>
      </c>
      <c r="E65" t="s">
        <v>66</v>
      </c>
      <c r="F65" t="s">
        <v>67</v>
      </c>
      <c r="G65" t="s">
        <v>28</v>
      </c>
      <c r="H65">
        <v>98000</v>
      </c>
      <c r="I65">
        <v>1</v>
      </c>
      <c r="J65">
        <v>3</v>
      </c>
      <c r="K65">
        <v>2</v>
      </c>
      <c r="L65" t="s">
        <v>21</v>
      </c>
      <c r="M65" t="s">
        <v>29</v>
      </c>
      <c r="N65" t="s">
        <v>34</v>
      </c>
      <c r="O65" t="s">
        <v>75</v>
      </c>
      <c r="P65" t="str">
        <f t="shared" si="0"/>
        <v>20-29</v>
      </c>
      <c r="Q65" t="str">
        <f t="shared" si="1"/>
        <v>High</v>
      </c>
      <c r="R65" t="str">
        <f t="shared" si="2"/>
        <v>Junior</v>
      </c>
      <c r="S65" t="str">
        <f t="shared" si="4"/>
        <v>Needs Improvement</v>
      </c>
      <c r="T65" s="4" t="str">
        <f t="shared" si="3"/>
        <v>Dissatisfied</v>
      </c>
    </row>
    <row r="66" spans="1:20" x14ac:dyDescent="0.3">
      <c r="A66" t="s">
        <v>169</v>
      </c>
      <c r="B66" t="s">
        <v>86</v>
      </c>
      <c r="C66" t="s">
        <v>37</v>
      </c>
      <c r="D66">
        <v>35</v>
      </c>
      <c r="E66" t="s">
        <v>66</v>
      </c>
      <c r="F66" t="s">
        <v>82</v>
      </c>
      <c r="G66" t="s">
        <v>33</v>
      </c>
      <c r="H66">
        <v>118000</v>
      </c>
      <c r="I66">
        <v>14</v>
      </c>
      <c r="J66">
        <v>4</v>
      </c>
      <c r="K66">
        <v>4</v>
      </c>
      <c r="L66" t="s">
        <v>21</v>
      </c>
      <c r="M66" t="s">
        <v>29</v>
      </c>
      <c r="N66" t="s">
        <v>22</v>
      </c>
      <c r="O66" t="s">
        <v>70</v>
      </c>
      <c r="P66" t="str">
        <f t="shared" ref="P66:P129" si="5">IF(D66&lt;30,"20-29",IF(D66&lt;40,"30-39",IF(D66&lt;50,"40-49","50+")))</f>
        <v>30-39</v>
      </c>
      <c r="Q66" t="str">
        <f t="shared" ref="Q66:Q129" si="6">IF(H66&lt;40000,"Low",IF(H66&lt;70000,"Medium","High"))</f>
        <v>High</v>
      </c>
      <c r="R66" t="str">
        <f t="shared" ref="R66:R129" si="7">IF(I66&lt;3,"Junior",IF(I66&lt;7,"Mid-Level","Senior"))</f>
        <v>Senior</v>
      </c>
      <c r="S66" t="str">
        <f t="shared" ref="S66:S129" si="8">IF(J66&gt;=4,"High Performer","Needs Improvement")</f>
        <v>High Performer</v>
      </c>
      <c r="T66" s="4" t="str">
        <f t="shared" ref="T66:T129" si="9">IF(K66&gt;=4,"Satisfied",IF(K66=3,"Neutral","Dissatisfied"))</f>
        <v>Satisfied</v>
      </c>
    </row>
    <row r="67" spans="1:20" x14ac:dyDescent="0.3">
      <c r="A67" t="s">
        <v>170</v>
      </c>
      <c r="B67" t="s">
        <v>86</v>
      </c>
      <c r="C67" t="s">
        <v>17</v>
      </c>
      <c r="D67">
        <v>29</v>
      </c>
      <c r="E67" t="s">
        <v>41</v>
      </c>
      <c r="F67" t="s">
        <v>42</v>
      </c>
      <c r="G67" t="s">
        <v>20</v>
      </c>
      <c r="H67">
        <v>55000</v>
      </c>
      <c r="I67">
        <v>0</v>
      </c>
      <c r="J67">
        <v>4</v>
      </c>
      <c r="K67">
        <v>2</v>
      </c>
      <c r="L67" t="s">
        <v>29</v>
      </c>
      <c r="M67" t="s">
        <v>29</v>
      </c>
      <c r="N67" t="s">
        <v>34</v>
      </c>
      <c r="O67" t="s">
        <v>38</v>
      </c>
      <c r="P67" t="str">
        <f t="shared" si="5"/>
        <v>20-29</v>
      </c>
      <c r="Q67" t="str">
        <f t="shared" si="6"/>
        <v>Medium</v>
      </c>
      <c r="R67" t="str">
        <f t="shared" si="7"/>
        <v>Junior</v>
      </c>
      <c r="S67" t="str">
        <f t="shared" si="8"/>
        <v>High Performer</v>
      </c>
      <c r="T67" s="4" t="str">
        <f t="shared" si="9"/>
        <v>Dissatisfied</v>
      </c>
    </row>
    <row r="68" spans="1:20" x14ac:dyDescent="0.3">
      <c r="A68" t="s">
        <v>171</v>
      </c>
      <c r="B68" t="s">
        <v>172</v>
      </c>
      <c r="C68" t="s">
        <v>37</v>
      </c>
      <c r="D68">
        <v>38</v>
      </c>
      <c r="E68" t="s">
        <v>41</v>
      </c>
      <c r="F68" t="s">
        <v>73</v>
      </c>
      <c r="G68" t="s">
        <v>20</v>
      </c>
      <c r="H68">
        <v>111000</v>
      </c>
      <c r="I68">
        <v>3</v>
      </c>
      <c r="J68">
        <v>3</v>
      </c>
      <c r="K68">
        <v>2</v>
      </c>
      <c r="L68" t="s">
        <v>29</v>
      </c>
      <c r="M68" t="s">
        <v>29</v>
      </c>
      <c r="N68" t="s">
        <v>34</v>
      </c>
      <c r="O68" t="s">
        <v>43</v>
      </c>
      <c r="P68" t="str">
        <f t="shared" si="5"/>
        <v>30-39</v>
      </c>
      <c r="Q68" t="str">
        <f t="shared" si="6"/>
        <v>High</v>
      </c>
      <c r="R68" t="str">
        <f t="shared" si="7"/>
        <v>Mid-Level</v>
      </c>
      <c r="S68" t="str">
        <f t="shared" si="8"/>
        <v>Needs Improvement</v>
      </c>
      <c r="T68" s="4" t="str">
        <f t="shared" si="9"/>
        <v>Dissatisfied</v>
      </c>
    </row>
    <row r="69" spans="1:20" x14ac:dyDescent="0.3">
      <c r="A69" t="s">
        <v>173</v>
      </c>
      <c r="B69" t="s">
        <v>104</v>
      </c>
      <c r="C69" t="s">
        <v>17</v>
      </c>
      <c r="D69">
        <v>42</v>
      </c>
      <c r="E69" t="s">
        <v>57</v>
      </c>
      <c r="F69" t="s">
        <v>50</v>
      </c>
      <c r="G69" t="s">
        <v>20</v>
      </c>
      <c r="H69">
        <v>117000</v>
      </c>
      <c r="I69">
        <v>7</v>
      </c>
      <c r="J69">
        <v>3</v>
      </c>
      <c r="K69">
        <v>5</v>
      </c>
      <c r="L69" t="s">
        <v>29</v>
      </c>
      <c r="M69" t="s">
        <v>29</v>
      </c>
      <c r="N69" t="s">
        <v>34</v>
      </c>
      <c r="O69" t="s">
        <v>43</v>
      </c>
      <c r="P69" t="str">
        <f t="shared" si="5"/>
        <v>40-49</v>
      </c>
      <c r="Q69" t="str">
        <f t="shared" si="6"/>
        <v>High</v>
      </c>
      <c r="R69" t="str">
        <f t="shared" si="7"/>
        <v>Senior</v>
      </c>
      <c r="S69" t="str">
        <f t="shared" si="8"/>
        <v>Needs Improvement</v>
      </c>
      <c r="T69" s="4" t="str">
        <f t="shared" si="9"/>
        <v>Satisfied</v>
      </c>
    </row>
    <row r="70" spans="1:20" x14ac:dyDescent="0.3">
      <c r="A70" t="s">
        <v>174</v>
      </c>
      <c r="B70" t="s">
        <v>142</v>
      </c>
      <c r="C70" t="s">
        <v>17</v>
      </c>
      <c r="D70">
        <v>38</v>
      </c>
      <c r="E70" t="s">
        <v>57</v>
      </c>
      <c r="F70" t="s">
        <v>50</v>
      </c>
      <c r="G70" t="s">
        <v>46</v>
      </c>
      <c r="H70">
        <v>100000</v>
      </c>
      <c r="I70">
        <v>17</v>
      </c>
      <c r="J70">
        <v>3</v>
      </c>
      <c r="K70">
        <v>3</v>
      </c>
      <c r="L70" t="s">
        <v>21</v>
      </c>
      <c r="M70" t="s">
        <v>29</v>
      </c>
      <c r="N70" t="s">
        <v>34</v>
      </c>
      <c r="O70" t="s">
        <v>51</v>
      </c>
      <c r="P70" t="str">
        <f t="shared" si="5"/>
        <v>30-39</v>
      </c>
      <c r="Q70" t="str">
        <f t="shared" si="6"/>
        <v>High</v>
      </c>
      <c r="R70" t="str">
        <f t="shared" si="7"/>
        <v>Senior</v>
      </c>
      <c r="S70" t="str">
        <f t="shared" si="8"/>
        <v>Needs Improvement</v>
      </c>
      <c r="T70" s="4" t="str">
        <f t="shared" si="9"/>
        <v>Neutral</v>
      </c>
    </row>
    <row r="71" spans="1:20" x14ac:dyDescent="0.3">
      <c r="A71" t="s">
        <v>175</v>
      </c>
      <c r="B71" t="s">
        <v>176</v>
      </c>
      <c r="C71" t="s">
        <v>37</v>
      </c>
      <c r="D71">
        <v>37</v>
      </c>
      <c r="E71" t="s">
        <v>49</v>
      </c>
      <c r="F71" t="s">
        <v>50</v>
      </c>
      <c r="G71" t="s">
        <v>20</v>
      </c>
      <c r="H71">
        <v>87000</v>
      </c>
      <c r="I71">
        <v>11</v>
      </c>
      <c r="J71">
        <v>4</v>
      </c>
      <c r="K71">
        <v>3</v>
      </c>
      <c r="L71" t="s">
        <v>29</v>
      </c>
      <c r="M71" t="s">
        <v>21</v>
      </c>
      <c r="N71" t="s">
        <v>22</v>
      </c>
      <c r="O71" t="s">
        <v>43</v>
      </c>
      <c r="P71" t="str">
        <f t="shared" si="5"/>
        <v>30-39</v>
      </c>
      <c r="Q71" t="str">
        <f t="shared" si="6"/>
        <v>High</v>
      </c>
      <c r="R71" t="str">
        <f t="shared" si="7"/>
        <v>Senior</v>
      </c>
      <c r="S71" t="str">
        <f t="shared" si="8"/>
        <v>High Performer</v>
      </c>
      <c r="T71" s="4" t="str">
        <f t="shared" si="9"/>
        <v>Neutral</v>
      </c>
    </row>
    <row r="72" spans="1:20" x14ac:dyDescent="0.3">
      <c r="A72" t="s">
        <v>177</v>
      </c>
      <c r="B72" t="s">
        <v>36</v>
      </c>
      <c r="C72" t="s">
        <v>17</v>
      </c>
      <c r="D72">
        <v>48</v>
      </c>
      <c r="E72" t="s">
        <v>49</v>
      </c>
      <c r="F72" t="s">
        <v>27</v>
      </c>
      <c r="G72" t="s">
        <v>28</v>
      </c>
      <c r="H72">
        <v>58000</v>
      </c>
      <c r="I72">
        <v>2</v>
      </c>
      <c r="J72">
        <v>5</v>
      </c>
      <c r="K72">
        <v>4</v>
      </c>
      <c r="L72" t="s">
        <v>29</v>
      </c>
      <c r="M72" t="s">
        <v>29</v>
      </c>
      <c r="N72" t="s">
        <v>34</v>
      </c>
      <c r="O72" t="s">
        <v>51</v>
      </c>
      <c r="P72" t="str">
        <f t="shared" si="5"/>
        <v>40-49</v>
      </c>
      <c r="Q72" t="str">
        <f t="shared" si="6"/>
        <v>Medium</v>
      </c>
      <c r="R72" t="str">
        <f t="shared" si="7"/>
        <v>Junior</v>
      </c>
      <c r="S72" t="str">
        <f t="shared" si="8"/>
        <v>High Performer</v>
      </c>
      <c r="T72" s="4" t="str">
        <f t="shared" si="9"/>
        <v>Satisfied</v>
      </c>
    </row>
    <row r="73" spans="1:20" x14ac:dyDescent="0.3">
      <c r="A73" t="s">
        <v>178</v>
      </c>
      <c r="B73" t="s">
        <v>179</v>
      </c>
      <c r="C73" t="s">
        <v>37</v>
      </c>
      <c r="D73">
        <v>27</v>
      </c>
      <c r="E73" t="s">
        <v>49</v>
      </c>
      <c r="F73" t="s">
        <v>27</v>
      </c>
      <c r="G73" t="s">
        <v>33</v>
      </c>
      <c r="H73">
        <v>106000</v>
      </c>
      <c r="I73">
        <v>6</v>
      </c>
      <c r="J73">
        <v>5</v>
      </c>
      <c r="K73">
        <v>3</v>
      </c>
      <c r="L73" t="s">
        <v>21</v>
      </c>
      <c r="M73" t="s">
        <v>21</v>
      </c>
      <c r="N73" t="s">
        <v>22</v>
      </c>
      <c r="O73" t="s">
        <v>38</v>
      </c>
      <c r="P73" t="str">
        <f t="shared" si="5"/>
        <v>20-29</v>
      </c>
      <c r="Q73" t="str">
        <f t="shared" si="6"/>
        <v>High</v>
      </c>
      <c r="R73" t="str">
        <f t="shared" si="7"/>
        <v>Mid-Level</v>
      </c>
      <c r="S73" t="str">
        <f t="shared" si="8"/>
        <v>High Performer</v>
      </c>
      <c r="T73" s="4" t="str">
        <f t="shared" si="9"/>
        <v>Neutral</v>
      </c>
    </row>
    <row r="74" spans="1:20" x14ac:dyDescent="0.3">
      <c r="A74" t="s">
        <v>180</v>
      </c>
      <c r="B74" t="s">
        <v>142</v>
      </c>
      <c r="C74" t="s">
        <v>37</v>
      </c>
      <c r="D74">
        <v>23</v>
      </c>
      <c r="E74" t="s">
        <v>66</v>
      </c>
      <c r="F74" t="s">
        <v>67</v>
      </c>
      <c r="G74" t="s">
        <v>28</v>
      </c>
      <c r="H74">
        <v>82000</v>
      </c>
      <c r="I74">
        <v>2</v>
      </c>
      <c r="J74">
        <v>4</v>
      </c>
      <c r="K74">
        <v>3</v>
      </c>
      <c r="L74" t="s">
        <v>29</v>
      </c>
      <c r="M74" t="s">
        <v>29</v>
      </c>
      <c r="N74" t="s">
        <v>22</v>
      </c>
      <c r="O74" t="s">
        <v>23</v>
      </c>
      <c r="P74" t="str">
        <f t="shared" si="5"/>
        <v>20-29</v>
      </c>
      <c r="Q74" t="str">
        <f t="shared" si="6"/>
        <v>High</v>
      </c>
      <c r="R74" t="str">
        <f t="shared" si="7"/>
        <v>Junior</v>
      </c>
      <c r="S74" t="str">
        <f t="shared" si="8"/>
        <v>High Performer</v>
      </c>
      <c r="T74" s="4" t="str">
        <f t="shared" si="9"/>
        <v>Neutral</v>
      </c>
    </row>
    <row r="75" spans="1:20" x14ac:dyDescent="0.3">
      <c r="A75" t="s">
        <v>181</v>
      </c>
      <c r="B75" t="s">
        <v>40</v>
      </c>
      <c r="C75" t="s">
        <v>17</v>
      </c>
      <c r="D75">
        <v>52</v>
      </c>
      <c r="E75" t="s">
        <v>18</v>
      </c>
      <c r="F75" t="s">
        <v>19</v>
      </c>
      <c r="G75" t="s">
        <v>28</v>
      </c>
      <c r="H75">
        <v>113000</v>
      </c>
      <c r="I75">
        <v>11</v>
      </c>
      <c r="J75">
        <v>5</v>
      </c>
      <c r="K75">
        <v>5</v>
      </c>
      <c r="L75" t="s">
        <v>21</v>
      </c>
      <c r="M75" t="s">
        <v>29</v>
      </c>
      <c r="N75" t="s">
        <v>22</v>
      </c>
      <c r="O75" t="s">
        <v>43</v>
      </c>
      <c r="P75" t="str">
        <f t="shared" si="5"/>
        <v>50+</v>
      </c>
      <c r="Q75" t="str">
        <f t="shared" si="6"/>
        <v>High</v>
      </c>
      <c r="R75" t="str">
        <f t="shared" si="7"/>
        <v>Senior</v>
      </c>
      <c r="S75" t="str">
        <f t="shared" si="8"/>
        <v>High Performer</v>
      </c>
      <c r="T75" s="4" t="str">
        <f t="shared" si="9"/>
        <v>Satisfied</v>
      </c>
    </row>
    <row r="76" spans="1:20" x14ac:dyDescent="0.3">
      <c r="A76" t="s">
        <v>182</v>
      </c>
      <c r="B76" t="s">
        <v>116</v>
      </c>
      <c r="C76" t="s">
        <v>17</v>
      </c>
      <c r="D76">
        <v>25</v>
      </c>
      <c r="E76" t="s">
        <v>18</v>
      </c>
      <c r="F76" t="s">
        <v>126</v>
      </c>
      <c r="G76" t="s">
        <v>20</v>
      </c>
      <c r="H76">
        <v>48000</v>
      </c>
      <c r="I76">
        <v>3</v>
      </c>
      <c r="J76">
        <v>4</v>
      </c>
      <c r="K76">
        <v>4</v>
      </c>
      <c r="L76" t="s">
        <v>29</v>
      </c>
      <c r="M76" t="s">
        <v>29</v>
      </c>
      <c r="N76" t="s">
        <v>22</v>
      </c>
      <c r="O76" t="s">
        <v>70</v>
      </c>
      <c r="P76" t="str">
        <f t="shared" si="5"/>
        <v>20-29</v>
      </c>
      <c r="Q76" t="str">
        <f t="shared" si="6"/>
        <v>Medium</v>
      </c>
      <c r="R76" t="str">
        <f t="shared" si="7"/>
        <v>Mid-Level</v>
      </c>
      <c r="S76" t="str">
        <f t="shared" si="8"/>
        <v>High Performer</v>
      </c>
      <c r="T76" s="4" t="str">
        <f t="shared" si="9"/>
        <v>Satisfied</v>
      </c>
    </row>
    <row r="77" spans="1:20" x14ac:dyDescent="0.3">
      <c r="A77" t="s">
        <v>183</v>
      </c>
      <c r="B77" t="s">
        <v>134</v>
      </c>
      <c r="C77" t="s">
        <v>37</v>
      </c>
      <c r="D77">
        <v>43</v>
      </c>
      <c r="E77" t="s">
        <v>57</v>
      </c>
      <c r="F77" t="s">
        <v>27</v>
      </c>
      <c r="G77" t="s">
        <v>20</v>
      </c>
      <c r="H77">
        <v>68000</v>
      </c>
      <c r="I77">
        <v>2</v>
      </c>
      <c r="J77">
        <v>3</v>
      </c>
      <c r="K77">
        <v>5</v>
      </c>
      <c r="L77" t="s">
        <v>29</v>
      </c>
      <c r="M77" t="s">
        <v>29</v>
      </c>
      <c r="N77" t="s">
        <v>34</v>
      </c>
      <c r="O77" t="s">
        <v>23</v>
      </c>
      <c r="P77" t="str">
        <f t="shared" si="5"/>
        <v>40-49</v>
      </c>
      <c r="Q77" t="str">
        <f t="shared" si="6"/>
        <v>Medium</v>
      </c>
      <c r="R77" t="str">
        <f t="shared" si="7"/>
        <v>Junior</v>
      </c>
      <c r="S77" t="str">
        <f t="shared" si="8"/>
        <v>Needs Improvement</v>
      </c>
      <c r="T77" s="4" t="str">
        <f t="shared" si="9"/>
        <v>Satisfied</v>
      </c>
    </row>
    <row r="78" spans="1:20" x14ac:dyDescent="0.3">
      <c r="A78" t="s">
        <v>184</v>
      </c>
      <c r="B78" t="s">
        <v>142</v>
      </c>
      <c r="C78" t="s">
        <v>37</v>
      </c>
      <c r="D78">
        <v>30</v>
      </c>
      <c r="E78" t="s">
        <v>57</v>
      </c>
      <c r="F78" t="s">
        <v>27</v>
      </c>
      <c r="G78" t="s">
        <v>46</v>
      </c>
      <c r="H78">
        <v>67000</v>
      </c>
      <c r="I78">
        <v>0</v>
      </c>
      <c r="J78">
        <v>4</v>
      </c>
      <c r="K78">
        <v>2</v>
      </c>
      <c r="L78" t="s">
        <v>21</v>
      </c>
      <c r="M78" t="s">
        <v>29</v>
      </c>
      <c r="N78" t="s">
        <v>34</v>
      </c>
      <c r="O78" t="s">
        <v>30</v>
      </c>
      <c r="P78" t="str">
        <f t="shared" si="5"/>
        <v>30-39</v>
      </c>
      <c r="Q78" t="str">
        <f t="shared" si="6"/>
        <v>Medium</v>
      </c>
      <c r="R78" t="str">
        <f t="shared" si="7"/>
        <v>Junior</v>
      </c>
      <c r="S78" t="str">
        <f t="shared" si="8"/>
        <v>High Performer</v>
      </c>
      <c r="T78" s="4" t="str">
        <f t="shared" si="9"/>
        <v>Dissatisfied</v>
      </c>
    </row>
    <row r="79" spans="1:20" x14ac:dyDescent="0.3">
      <c r="A79" t="s">
        <v>185</v>
      </c>
      <c r="B79" t="s">
        <v>186</v>
      </c>
      <c r="C79" t="s">
        <v>37</v>
      </c>
      <c r="D79">
        <v>50</v>
      </c>
      <c r="E79" t="s">
        <v>18</v>
      </c>
      <c r="F79" t="s">
        <v>126</v>
      </c>
      <c r="G79" t="s">
        <v>33</v>
      </c>
      <c r="H79">
        <v>102000</v>
      </c>
      <c r="I79">
        <v>20</v>
      </c>
      <c r="J79">
        <v>3</v>
      </c>
      <c r="K79">
        <v>5</v>
      </c>
      <c r="L79" t="s">
        <v>29</v>
      </c>
      <c r="M79" t="s">
        <v>29</v>
      </c>
      <c r="N79" t="s">
        <v>22</v>
      </c>
      <c r="O79" t="s">
        <v>70</v>
      </c>
      <c r="P79" t="str">
        <f t="shared" si="5"/>
        <v>50+</v>
      </c>
      <c r="Q79" t="str">
        <f t="shared" si="6"/>
        <v>High</v>
      </c>
      <c r="R79" t="str">
        <f t="shared" si="7"/>
        <v>Senior</v>
      </c>
      <c r="S79" t="str">
        <f t="shared" si="8"/>
        <v>Needs Improvement</v>
      </c>
      <c r="T79" s="4" t="str">
        <f t="shared" si="9"/>
        <v>Satisfied</v>
      </c>
    </row>
    <row r="80" spans="1:20" x14ac:dyDescent="0.3">
      <c r="A80" t="s">
        <v>187</v>
      </c>
      <c r="B80" t="s">
        <v>188</v>
      </c>
      <c r="C80" t="s">
        <v>37</v>
      </c>
      <c r="D80">
        <v>40</v>
      </c>
      <c r="E80" t="s">
        <v>26</v>
      </c>
      <c r="F80" t="s">
        <v>27</v>
      </c>
      <c r="G80" t="s">
        <v>33</v>
      </c>
      <c r="H80">
        <v>52000</v>
      </c>
      <c r="I80">
        <v>8</v>
      </c>
      <c r="J80">
        <v>4</v>
      </c>
      <c r="K80">
        <v>1</v>
      </c>
      <c r="L80" t="s">
        <v>29</v>
      </c>
      <c r="M80" t="s">
        <v>29</v>
      </c>
      <c r="N80" t="s">
        <v>22</v>
      </c>
      <c r="O80" t="s">
        <v>38</v>
      </c>
      <c r="P80" t="str">
        <f t="shared" si="5"/>
        <v>40-49</v>
      </c>
      <c r="Q80" t="str">
        <f t="shared" si="6"/>
        <v>Medium</v>
      </c>
      <c r="R80" t="str">
        <f t="shared" si="7"/>
        <v>Senior</v>
      </c>
      <c r="S80" t="str">
        <f t="shared" si="8"/>
        <v>High Performer</v>
      </c>
      <c r="T80" s="4" t="str">
        <f t="shared" si="9"/>
        <v>Dissatisfied</v>
      </c>
    </row>
    <row r="81" spans="1:20" x14ac:dyDescent="0.3">
      <c r="A81" t="s">
        <v>189</v>
      </c>
      <c r="B81" t="s">
        <v>98</v>
      </c>
      <c r="C81" t="s">
        <v>17</v>
      </c>
      <c r="D81">
        <v>49</v>
      </c>
      <c r="E81" t="s">
        <v>49</v>
      </c>
      <c r="F81" t="s">
        <v>50</v>
      </c>
      <c r="G81" t="s">
        <v>28</v>
      </c>
      <c r="H81">
        <v>66000</v>
      </c>
      <c r="I81">
        <v>12</v>
      </c>
      <c r="J81">
        <v>4</v>
      </c>
      <c r="K81">
        <v>4</v>
      </c>
      <c r="L81" t="s">
        <v>29</v>
      </c>
      <c r="M81" t="s">
        <v>29</v>
      </c>
      <c r="N81" t="s">
        <v>34</v>
      </c>
      <c r="O81" t="s">
        <v>23</v>
      </c>
      <c r="P81" t="str">
        <f t="shared" si="5"/>
        <v>40-49</v>
      </c>
      <c r="Q81" t="str">
        <f t="shared" si="6"/>
        <v>Medium</v>
      </c>
      <c r="R81" t="str">
        <f t="shared" si="7"/>
        <v>Senior</v>
      </c>
      <c r="S81" t="str">
        <f t="shared" si="8"/>
        <v>High Performer</v>
      </c>
      <c r="T81" s="4" t="str">
        <f t="shared" si="9"/>
        <v>Satisfied</v>
      </c>
    </row>
    <row r="82" spans="1:20" x14ac:dyDescent="0.3">
      <c r="A82" t="s">
        <v>190</v>
      </c>
      <c r="B82" t="s">
        <v>191</v>
      </c>
      <c r="C82" t="s">
        <v>17</v>
      </c>
      <c r="D82">
        <v>48</v>
      </c>
      <c r="E82" t="s">
        <v>49</v>
      </c>
      <c r="F82" t="s">
        <v>27</v>
      </c>
      <c r="G82" t="s">
        <v>46</v>
      </c>
      <c r="H82">
        <v>87000</v>
      </c>
      <c r="I82">
        <v>20</v>
      </c>
      <c r="J82">
        <v>3</v>
      </c>
      <c r="K82">
        <v>2</v>
      </c>
      <c r="L82" t="s">
        <v>29</v>
      </c>
      <c r="M82" t="s">
        <v>29</v>
      </c>
      <c r="N82" t="s">
        <v>34</v>
      </c>
      <c r="O82" t="s">
        <v>30</v>
      </c>
      <c r="P82" t="str">
        <f t="shared" si="5"/>
        <v>40-49</v>
      </c>
      <c r="Q82" t="str">
        <f t="shared" si="6"/>
        <v>High</v>
      </c>
      <c r="R82" t="str">
        <f t="shared" si="7"/>
        <v>Senior</v>
      </c>
      <c r="S82" t="str">
        <f t="shared" si="8"/>
        <v>Needs Improvement</v>
      </c>
      <c r="T82" s="4" t="str">
        <f t="shared" si="9"/>
        <v>Dissatisfied</v>
      </c>
    </row>
    <row r="83" spans="1:20" x14ac:dyDescent="0.3">
      <c r="A83" t="s">
        <v>192</v>
      </c>
      <c r="B83" t="s">
        <v>114</v>
      </c>
      <c r="C83" t="s">
        <v>17</v>
      </c>
      <c r="D83">
        <v>54</v>
      </c>
      <c r="E83" t="s">
        <v>66</v>
      </c>
      <c r="F83" t="s">
        <v>82</v>
      </c>
      <c r="G83" t="s">
        <v>20</v>
      </c>
      <c r="H83">
        <v>74000</v>
      </c>
      <c r="I83">
        <v>12</v>
      </c>
      <c r="J83">
        <v>3</v>
      </c>
      <c r="K83">
        <v>1</v>
      </c>
      <c r="L83" t="s">
        <v>21</v>
      </c>
      <c r="M83" t="s">
        <v>21</v>
      </c>
      <c r="N83" t="s">
        <v>34</v>
      </c>
      <c r="O83" t="s">
        <v>23</v>
      </c>
      <c r="P83" t="str">
        <f t="shared" si="5"/>
        <v>50+</v>
      </c>
      <c r="Q83" t="str">
        <f t="shared" si="6"/>
        <v>High</v>
      </c>
      <c r="R83" t="str">
        <f t="shared" si="7"/>
        <v>Senior</v>
      </c>
      <c r="S83" t="str">
        <f t="shared" si="8"/>
        <v>Needs Improvement</v>
      </c>
      <c r="T83" s="4" t="str">
        <f t="shared" si="9"/>
        <v>Dissatisfied</v>
      </c>
    </row>
    <row r="84" spans="1:20" x14ac:dyDescent="0.3">
      <c r="A84" t="s">
        <v>193</v>
      </c>
      <c r="B84" t="s">
        <v>194</v>
      </c>
      <c r="C84" t="s">
        <v>37</v>
      </c>
      <c r="D84">
        <v>28</v>
      </c>
      <c r="E84" t="s">
        <v>49</v>
      </c>
      <c r="F84" t="s">
        <v>50</v>
      </c>
      <c r="G84" t="s">
        <v>28</v>
      </c>
      <c r="H84">
        <v>108000</v>
      </c>
      <c r="I84">
        <v>7</v>
      </c>
      <c r="J84">
        <v>5</v>
      </c>
      <c r="K84">
        <v>4</v>
      </c>
      <c r="L84" t="s">
        <v>21</v>
      </c>
      <c r="M84" t="s">
        <v>29</v>
      </c>
      <c r="N84" t="s">
        <v>34</v>
      </c>
      <c r="O84" t="s">
        <v>30</v>
      </c>
      <c r="P84" t="str">
        <f t="shared" si="5"/>
        <v>20-29</v>
      </c>
      <c r="Q84" t="str">
        <f t="shared" si="6"/>
        <v>High</v>
      </c>
      <c r="R84" t="str">
        <f t="shared" si="7"/>
        <v>Senior</v>
      </c>
      <c r="S84" t="str">
        <f t="shared" si="8"/>
        <v>High Performer</v>
      </c>
      <c r="T84" s="4" t="str">
        <f t="shared" si="9"/>
        <v>Satisfied</v>
      </c>
    </row>
    <row r="85" spans="1:20" x14ac:dyDescent="0.3">
      <c r="A85" t="s">
        <v>195</v>
      </c>
      <c r="B85" t="s">
        <v>158</v>
      </c>
      <c r="C85" t="s">
        <v>17</v>
      </c>
      <c r="D85">
        <v>22</v>
      </c>
      <c r="E85" t="s">
        <v>41</v>
      </c>
      <c r="F85" t="s">
        <v>42</v>
      </c>
      <c r="G85" t="s">
        <v>28</v>
      </c>
      <c r="H85">
        <v>69000</v>
      </c>
      <c r="I85">
        <v>1</v>
      </c>
      <c r="J85">
        <v>2</v>
      </c>
      <c r="K85">
        <v>2</v>
      </c>
      <c r="L85" t="s">
        <v>29</v>
      </c>
      <c r="M85" t="s">
        <v>29</v>
      </c>
      <c r="N85" t="s">
        <v>34</v>
      </c>
      <c r="O85" t="s">
        <v>70</v>
      </c>
      <c r="P85" t="str">
        <f t="shared" si="5"/>
        <v>20-29</v>
      </c>
      <c r="Q85" t="str">
        <f t="shared" si="6"/>
        <v>Medium</v>
      </c>
      <c r="R85" t="str">
        <f t="shared" si="7"/>
        <v>Junior</v>
      </c>
      <c r="S85" t="str">
        <f t="shared" si="8"/>
        <v>Needs Improvement</v>
      </c>
      <c r="T85" s="4" t="str">
        <f t="shared" si="9"/>
        <v>Dissatisfied</v>
      </c>
    </row>
    <row r="86" spans="1:20" x14ac:dyDescent="0.3">
      <c r="A86" t="s">
        <v>196</v>
      </c>
      <c r="B86" t="s">
        <v>197</v>
      </c>
      <c r="C86" t="s">
        <v>17</v>
      </c>
      <c r="D86">
        <v>52</v>
      </c>
      <c r="E86" t="s">
        <v>49</v>
      </c>
      <c r="F86" t="s">
        <v>50</v>
      </c>
      <c r="G86" t="s">
        <v>20</v>
      </c>
      <c r="H86">
        <v>104000</v>
      </c>
      <c r="I86">
        <v>0</v>
      </c>
      <c r="J86">
        <v>3</v>
      </c>
      <c r="K86">
        <v>5</v>
      </c>
      <c r="L86" t="s">
        <v>29</v>
      </c>
      <c r="M86" t="s">
        <v>29</v>
      </c>
      <c r="N86" t="s">
        <v>34</v>
      </c>
      <c r="O86" t="s">
        <v>70</v>
      </c>
      <c r="P86" t="str">
        <f t="shared" si="5"/>
        <v>50+</v>
      </c>
      <c r="Q86" t="str">
        <f t="shared" si="6"/>
        <v>High</v>
      </c>
      <c r="R86" t="str">
        <f t="shared" si="7"/>
        <v>Junior</v>
      </c>
      <c r="S86" t="str">
        <f t="shared" si="8"/>
        <v>Needs Improvement</v>
      </c>
      <c r="T86" s="4" t="str">
        <f t="shared" si="9"/>
        <v>Satisfied</v>
      </c>
    </row>
    <row r="87" spans="1:20" x14ac:dyDescent="0.3">
      <c r="A87" t="s">
        <v>198</v>
      </c>
      <c r="B87" t="s">
        <v>199</v>
      </c>
      <c r="C87" t="s">
        <v>17</v>
      </c>
      <c r="D87">
        <v>37</v>
      </c>
      <c r="E87" t="s">
        <v>41</v>
      </c>
      <c r="F87" t="s">
        <v>73</v>
      </c>
      <c r="G87" t="s">
        <v>20</v>
      </c>
      <c r="H87">
        <v>32000</v>
      </c>
      <c r="I87">
        <v>16</v>
      </c>
      <c r="J87">
        <v>4</v>
      </c>
      <c r="K87">
        <v>3</v>
      </c>
      <c r="L87" t="s">
        <v>29</v>
      </c>
      <c r="M87" t="s">
        <v>29</v>
      </c>
      <c r="N87" t="s">
        <v>22</v>
      </c>
      <c r="O87" t="s">
        <v>51</v>
      </c>
      <c r="P87" t="str">
        <f t="shared" si="5"/>
        <v>30-39</v>
      </c>
      <c r="Q87" t="str">
        <f t="shared" si="6"/>
        <v>Low</v>
      </c>
      <c r="R87" t="str">
        <f t="shared" si="7"/>
        <v>Senior</v>
      </c>
      <c r="S87" t="str">
        <f t="shared" si="8"/>
        <v>High Performer</v>
      </c>
      <c r="T87" s="4" t="str">
        <f t="shared" si="9"/>
        <v>Neutral</v>
      </c>
    </row>
    <row r="88" spans="1:20" x14ac:dyDescent="0.3">
      <c r="A88" t="s">
        <v>200</v>
      </c>
      <c r="B88" t="s">
        <v>201</v>
      </c>
      <c r="C88" t="s">
        <v>37</v>
      </c>
      <c r="D88">
        <v>31</v>
      </c>
      <c r="E88" t="s">
        <v>49</v>
      </c>
      <c r="F88" t="s">
        <v>50</v>
      </c>
      <c r="G88" t="s">
        <v>20</v>
      </c>
      <c r="H88">
        <v>78000</v>
      </c>
      <c r="I88">
        <v>10</v>
      </c>
      <c r="J88">
        <v>3</v>
      </c>
      <c r="K88">
        <v>4</v>
      </c>
      <c r="L88" t="s">
        <v>29</v>
      </c>
      <c r="M88" t="s">
        <v>29</v>
      </c>
      <c r="N88" t="s">
        <v>22</v>
      </c>
      <c r="O88" t="s">
        <v>51</v>
      </c>
      <c r="P88" t="str">
        <f t="shared" si="5"/>
        <v>30-39</v>
      </c>
      <c r="Q88" t="str">
        <f t="shared" si="6"/>
        <v>High</v>
      </c>
      <c r="R88" t="str">
        <f t="shared" si="7"/>
        <v>Senior</v>
      </c>
      <c r="S88" t="str">
        <f t="shared" si="8"/>
        <v>Needs Improvement</v>
      </c>
      <c r="T88" s="4" t="str">
        <f t="shared" si="9"/>
        <v>Satisfied</v>
      </c>
    </row>
    <row r="89" spans="1:20" x14ac:dyDescent="0.3">
      <c r="A89" t="s">
        <v>202</v>
      </c>
      <c r="B89" t="s">
        <v>203</v>
      </c>
      <c r="C89" t="s">
        <v>37</v>
      </c>
      <c r="D89">
        <v>31</v>
      </c>
      <c r="E89" t="s">
        <v>18</v>
      </c>
      <c r="F89" t="s">
        <v>126</v>
      </c>
      <c r="G89" t="s">
        <v>33</v>
      </c>
      <c r="H89">
        <v>113000</v>
      </c>
      <c r="I89">
        <v>9</v>
      </c>
      <c r="J89">
        <v>4</v>
      </c>
      <c r="K89">
        <v>4</v>
      </c>
      <c r="L89" t="s">
        <v>21</v>
      </c>
      <c r="M89" t="s">
        <v>29</v>
      </c>
      <c r="N89" t="s">
        <v>34</v>
      </c>
      <c r="O89" t="s">
        <v>70</v>
      </c>
      <c r="P89" t="str">
        <f t="shared" si="5"/>
        <v>30-39</v>
      </c>
      <c r="Q89" t="str">
        <f t="shared" si="6"/>
        <v>High</v>
      </c>
      <c r="R89" t="str">
        <f t="shared" si="7"/>
        <v>Senior</v>
      </c>
      <c r="S89" t="str">
        <f t="shared" si="8"/>
        <v>High Performer</v>
      </c>
      <c r="T89" s="4" t="str">
        <f t="shared" si="9"/>
        <v>Satisfied</v>
      </c>
    </row>
    <row r="90" spans="1:20" x14ac:dyDescent="0.3">
      <c r="A90" t="s">
        <v>204</v>
      </c>
      <c r="B90" t="s">
        <v>205</v>
      </c>
      <c r="C90" t="s">
        <v>37</v>
      </c>
      <c r="D90">
        <v>54</v>
      </c>
      <c r="E90" t="s">
        <v>57</v>
      </c>
      <c r="F90" t="s">
        <v>27</v>
      </c>
      <c r="G90" t="s">
        <v>20</v>
      </c>
      <c r="H90">
        <v>74000</v>
      </c>
      <c r="I90">
        <v>1</v>
      </c>
      <c r="J90">
        <v>3</v>
      </c>
      <c r="K90">
        <v>2</v>
      </c>
      <c r="L90" t="s">
        <v>29</v>
      </c>
      <c r="M90" t="s">
        <v>29</v>
      </c>
      <c r="N90" t="s">
        <v>34</v>
      </c>
      <c r="O90" t="s">
        <v>43</v>
      </c>
      <c r="P90" t="str">
        <f t="shared" si="5"/>
        <v>50+</v>
      </c>
      <c r="Q90" t="str">
        <f t="shared" si="6"/>
        <v>High</v>
      </c>
      <c r="R90" t="str">
        <f t="shared" si="7"/>
        <v>Junior</v>
      </c>
      <c r="S90" t="str">
        <f t="shared" si="8"/>
        <v>Needs Improvement</v>
      </c>
      <c r="T90" s="4" t="str">
        <f t="shared" si="9"/>
        <v>Dissatisfied</v>
      </c>
    </row>
    <row r="91" spans="1:20" x14ac:dyDescent="0.3">
      <c r="A91" t="s">
        <v>206</v>
      </c>
      <c r="B91" t="s">
        <v>207</v>
      </c>
      <c r="C91" t="s">
        <v>17</v>
      </c>
      <c r="D91">
        <v>29</v>
      </c>
      <c r="E91" t="s">
        <v>49</v>
      </c>
      <c r="F91" t="s">
        <v>50</v>
      </c>
      <c r="G91" t="s">
        <v>33</v>
      </c>
      <c r="H91">
        <v>59000</v>
      </c>
      <c r="I91">
        <v>3</v>
      </c>
      <c r="J91">
        <v>5</v>
      </c>
      <c r="K91">
        <v>2</v>
      </c>
      <c r="L91" t="s">
        <v>29</v>
      </c>
      <c r="M91" t="s">
        <v>29</v>
      </c>
      <c r="N91" t="s">
        <v>34</v>
      </c>
      <c r="O91" t="s">
        <v>23</v>
      </c>
      <c r="P91" t="str">
        <f t="shared" si="5"/>
        <v>20-29</v>
      </c>
      <c r="Q91" t="str">
        <f t="shared" si="6"/>
        <v>Medium</v>
      </c>
      <c r="R91" t="str">
        <f t="shared" si="7"/>
        <v>Mid-Level</v>
      </c>
      <c r="S91" t="str">
        <f t="shared" si="8"/>
        <v>High Performer</v>
      </c>
      <c r="T91" s="4" t="str">
        <f t="shared" si="9"/>
        <v>Dissatisfied</v>
      </c>
    </row>
    <row r="92" spans="1:20" x14ac:dyDescent="0.3">
      <c r="A92" t="s">
        <v>208</v>
      </c>
      <c r="B92" t="s">
        <v>116</v>
      </c>
      <c r="C92" t="s">
        <v>37</v>
      </c>
      <c r="D92">
        <v>55</v>
      </c>
      <c r="E92" t="s">
        <v>66</v>
      </c>
      <c r="F92" t="s">
        <v>82</v>
      </c>
      <c r="G92" t="s">
        <v>33</v>
      </c>
      <c r="H92">
        <v>113000</v>
      </c>
      <c r="I92">
        <v>1</v>
      </c>
      <c r="J92">
        <v>3</v>
      </c>
      <c r="K92">
        <v>1</v>
      </c>
      <c r="L92" t="s">
        <v>29</v>
      </c>
      <c r="M92" t="s">
        <v>21</v>
      </c>
      <c r="N92" t="s">
        <v>22</v>
      </c>
      <c r="O92" t="s">
        <v>38</v>
      </c>
      <c r="P92" t="str">
        <f t="shared" si="5"/>
        <v>50+</v>
      </c>
      <c r="Q92" t="str">
        <f t="shared" si="6"/>
        <v>High</v>
      </c>
      <c r="R92" t="str">
        <f t="shared" si="7"/>
        <v>Junior</v>
      </c>
      <c r="S92" t="str">
        <f t="shared" si="8"/>
        <v>Needs Improvement</v>
      </c>
      <c r="T92" s="4" t="str">
        <f t="shared" si="9"/>
        <v>Dissatisfied</v>
      </c>
    </row>
    <row r="93" spans="1:20" x14ac:dyDescent="0.3">
      <c r="A93" t="s">
        <v>209</v>
      </c>
      <c r="B93" t="s">
        <v>210</v>
      </c>
      <c r="C93" t="s">
        <v>37</v>
      </c>
      <c r="D93">
        <v>51</v>
      </c>
      <c r="E93" t="s">
        <v>18</v>
      </c>
      <c r="F93" t="s">
        <v>19</v>
      </c>
      <c r="G93" t="s">
        <v>28</v>
      </c>
      <c r="H93">
        <v>73000</v>
      </c>
      <c r="I93">
        <v>14</v>
      </c>
      <c r="J93">
        <v>3</v>
      </c>
      <c r="K93">
        <v>1</v>
      </c>
      <c r="L93" t="s">
        <v>21</v>
      </c>
      <c r="M93" t="s">
        <v>29</v>
      </c>
      <c r="N93" t="s">
        <v>34</v>
      </c>
      <c r="O93" t="s">
        <v>30</v>
      </c>
      <c r="P93" t="str">
        <f t="shared" si="5"/>
        <v>50+</v>
      </c>
      <c r="Q93" t="str">
        <f t="shared" si="6"/>
        <v>High</v>
      </c>
      <c r="R93" t="str">
        <f t="shared" si="7"/>
        <v>Senior</v>
      </c>
      <c r="S93" t="str">
        <f t="shared" si="8"/>
        <v>Needs Improvement</v>
      </c>
      <c r="T93" s="4" t="str">
        <f t="shared" si="9"/>
        <v>Dissatisfied</v>
      </c>
    </row>
    <row r="94" spans="1:20" x14ac:dyDescent="0.3">
      <c r="A94" t="s">
        <v>211</v>
      </c>
      <c r="B94" t="s">
        <v>210</v>
      </c>
      <c r="C94" t="s">
        <v>37</v>
      </c>
      <c r="D94">
        <v>38</v>
      </c>
      <c r="E94" t="s">
        <v>18</v>
      </c>
      <c r="F94" t="s">
        <v>126</v>
      </c>
      <c r="G94" t="s">
        <v>33</v>
      </c>
      <c r="H94">
        <v>65000</v>
      </c>
      <c r="I94">
        <v>14</v>
      </c>
      <c r="J94">
        <v>4</v>
      </c>
      <c r="K94">
        <v>5</v>
      </c>
      <c r="L94" t="s">
        <v>21</v>
      </c>
      <c r="M94" t="s">
        <v>29</v>
      </c>
      <c r="N94" t="s">
        <v>22</v>
      </c>
      <c r="O94" t="s">
        <v>38</v>
      </c>
      <c r="P94" t="str">
        <f t="shared" si="5"/>
        <v>30-39</v>
      </c>
      <c r="Q94" t="str">
        <f t="shared" si="6"/>
        <v>Medium</v>
      </c>
      <c r="R94" t="str">
        <f t="shared" si="7"/>
        <v>Senior</v>
      </c>
      <c r="S94" t="str">
        <f t="shared" si="8"/>
        <v>High Performer</v>
      </c>
      <c r="T94" s="4" t="str">
        <f t="shared" si="9"/>
        <v>Satisfied</v>
      </c>
    </row>
    <row r="95" spans="1:20" x14ac:dyDescent="0.3">
      <c r="A95" t="s">
        <v>212</v>
      </c>
      <c r="B95" t="s">
        <v>56</v>
      </c>
      <c r="C95" t="s">
        <v>37</v>
      </c>
      <c r="D95">
        <v>33</v>
      </c>
      <c r="E95" t="s">
        <v>18</v>
      </c>
      <c r="F95" t="s">
        <v>19</v>
      </c>
      <c r="G95" t="s">
        <v>33</v>
      </c>
      <c r="H95">
        <v>108000</v>
      </c>
      <c r="I95">
        <v>12</v>
      </c>
      <c r="J95">
        <v>5</v>
      </c>
      <c r="K95">
        <v>5</v>
      </c>
      <c r="L95" t="s">
        <v>21</v>
      </c>
      <c r="M95" t="s">
        <v>29</v>
      </c>
      <c r="N95" t="s">
        <v>22</v>
      </c>
      <c r="O95" t="s">
        <v>54</v>
      </c>
      <c r="P95" t="str">
        <f t="shared" si="5"/>
        <v>30-39</v>
      </c>
      <c r="Q95" t="str">
        <f t="shared" si="6"/>
        <v>High</v>
      </c>
      <c r="R95" t="str">
        <f t="shared" si="7"/>
        <v>Senior</v>
      </c>
      <c r="S95" t="str">
        <f t="shared" si="8"/>
        <v>High Performer</v>
      </c>
      <c r="T95" s="4" t="str">
        <f t="shared" si="9"/>
        <v>Satisfied</v>
      </c>
    </row>
    <row r="96" spans="1:20" x14ac:dyDescent="0.3">
      <c r="A96" t="s">
        <v>213</v>
      </c>
      <c r="B96" t="s">
        <v>130</v>
      </c>
      <c r="C96" t="s">
        <v>37</v>
      </c>
      <c r="D96">
        <v>48</v>
      </c>
      <c r="E96" t="s">
        <v>18</v>
      </c>
      <c r="F96" t="s">
        <v>19</v>
      </c>
      <c r="G96" t="s">
        <v>33</v>
      </c>
      <c r="H96">
        <v>73000</v>
      </c>
      <c r="I96">
        <v>14</v>
      </c>
      <c r="J96">
        <v>3</v>
      </c>
      <c r="K96">
        <v>4</v>
      </c>
      <c r="L96" t="s">
        <v>21</v>
      </c>
      <c r="M96" t="s">
        <v>29</v>
      </c>
      <c r="N96" t="s">
        <v>22</v>
      </c>
      <c r="O96" t="s">
        <v>70</v>
      </c>
      <c r="P96" t="str">
        <f t="shared" si="5"/>
        <v>40-49</v>
      </c>
      <c r="Q96" t="str">
        <f t="shared" si="6"/>
        <v>High</v>
      </c>
      <c r="R96" t="str">
        <f t="shared" si="7"/>
        <v>Senior</v>
      </c>
      <c r="S96" t="str">
        <f t="shared" si="8"/>
        <v>Needs Improvement</v>
      </c>
      <c r="T96" s="4" t="str">
        <f t="shared" si="9"/>
        <v>Satisfied</v>
      </c>
    </row>
    <row r="97" spans="1:20" x14ac:dyDescent="0.3">
      <c r="A97" t="s">
        <v>214</v>
      </c>
      <c r="B97" t="s">
        <v>215</v>
      </c>
      <c r="C97" t="s">
        <v>17</v>
      </c>
      <c r="D97">
        <v>47</v>
      </c>
      <c r="E97" t="s">
        <v>18</v>
      </c>
      <c r="F97" t="s">
        <v>126</v>
      </c>
      <c r="G97" t="s">
        <v>46</v>
      </c>
      <c r="H97">
        <v>51000</v>
      </c>
      <c r="I97">
        <v>3</v>
      </c>
      <c r="J97">
        <v>5</v>
      </c>
      <c r="K97">
        <v>2</v>
      </c>
      <c r="L97" t="s">
        <v>21</v>
      </c>
      <c r="M97" t="s">
        <v>21</v>
      </c>
      <c r="N97" t="s">
        <v>22</v>
      </c>
      <c r="O97" t="s">
        <v>54</v>
      </c>
      <c r="P97" t="str">
        <f t="shared" si="5"/>
        <v>40-49</v>
      </c>
      <c r="Q97" t="str">
        <f t="shared" si="6"/>
        <v>Medium</v>
      </c>
      <c r="R97" t="str">
        <f t="shared" si="7"/>
        <v>Mid-Level</v>
      </c>
      <c r="S97" t="str">
        <f t="shared" si="8"/>
        <v>High Performer</v>
      </c>
      <c r="T97" s="4" t="str">
        <f t="shared" si="9"/>
        <v>Dissatisfied</v>
      </c>
    </row>
    <row r="98" spans="1:20" x14ac:dyDescent="0.3">
      <c r="A98" t="s">
        <v>216</v>
      </c>
      <c r="B98" t="s">
        <v>217</v>
      </c>
      <c r="C98" t="s">
        <v>37</v>
      </c>
      <c r="D98">
        <v>26</v>
      </c>
      <c r="E98" t="s">
        <v>41</v>
      </c>
      <c r="F98" t="s">
        <v>73</v>
      </c>
      <c r="G98" t="s">
        <v>28</v>
      </c>
      <c r="H98">
        <v>112000</v>
      </c>
      <c r="I98">
        <v>5</v>
      </c>
      <c r="J98">
        <v>5</v>
      </c>
      <c r="K98">
        <v>2</v>
      </c>
      <c r="L98" t="s">
        <v>29</v>
      </c>
      <c r="M98" t="s">
        <v>29</v>
      </c>
      <c r="N98" t="s">
        <v>22</v>
      </c>
      <c r="O98" t="s">
        <v>43</v>
      </c>
      <c r="P98" t="str">
        <f t="shared" si="5"/>
        <v>20-29</v>
      </c>
      <c r="Q98" t="str">
        <f t="shared" si="6"/>
        <v>High</v>
      </c>
      <c r="R98" t="str">
        <f t="shared" si="7"/>
        <v>Mid-Level</v>
      </c>
      <c r="S98" t="str">
        <f t="shared" si="8"/>
        <v>High Performer</v>
      </c>
      <c r="T98" s="4" t="str">
        <f t="shared" si="9"/>
        <v>Dissatisfied</v>
      </c>
    </row>
    <row r="99" spans="1:20" x14ac:dyDescent="0.3">
      <c r="A99" t="s">
        <v>218</v>
      </c>
      <c r="B99" t="s">
        <v>219</v>
      </c>
      <c r="C99" t="s">
        <v>37</v>
      </c>
      <c r="D99">
        <v>53</v>
      </c>
      <c r="E99" t="s">
        <v>41</v>
      </c>
      <c r="F99" t="s">
        <v>42</v>
      </c>
      <c r="G99" t="s">
        <v>46</v>
      </c>
      <c r="H99">
        <v>92000</v>
      </c>
      <c r="I99">
        <v>19</v>
      </c>
      <c r="J99">
        <v>2</v>
      </c>
      <c r="K99">
        <v>5</v>
      </c>
      <c r="L99" t="s">
        <v>21</v>
      </c>
      <c r="M99" t="s">
        <v>29</v>
      </c>
      <c r="N99" t="s">
        <v>22</v>
      </c>
      <c r="O99" t="s">
        <v>70</v>
      </c>
      <c r="P99" t="str">
        <f t="shared" si="5"/>
        <v>50+</v>
      </c>
      <c r="Q99" t="str">
        <f t="shared" si="6"/>
        <v>High</v>
      </c>
      <c r="R99" t="str">
        <f t="shared" si="7"/>
        <v>Senior</v>
      </c>
      <c r="S99" t="str">
        <f t="shared" si="8"/>
        <v>Needs Improvement</v>
      </c>
      <c r="T99" s="4" t="str">
        <f t="shared" si="9"/>
        <v>Satisfied</v>
      </c>
    </row>
    <row r="100" spans="1:20" x14ac:dyDescent="0.3">
      <c r="A100" t="s">
        <v>220</v>
      </c>
      <c r="B100" t="s">
        <v>221</v>
      </c>
      <c r="C100" t="s">
        <v>37</v>
      </c>
      <c r="D100">
        <v>51</v>
      </c>
      <c r="E100" t="s">
        <v>18</v>
      </c>
      <c r="F100" t="s">
        <v>126</v>
      </c>
      <c r="G100" t="s">
        <v>20</v>
      </c>
      <c r="H100">
        <v>105000</v>
      </c>
      <c r="I100">
        <v>1</v>
      </c>
      <c r="J100">
        <v>5</v>
      </c>
      <c r="K100">
        <v>3</v>
      </c>
      <c r="L100" t="s">
        <v>29</v>
      </c>
      <c r="M100" t="s">
        <v>29</v>
      </c>
      <c r="N100" t="s">
        <v>34</v>
      </c>
      <c r="O100" t="s">
        <v>30</v>
      </c>
      <c r="P100" t="str">
        <f t="shared" si="5"/>
        <v>50+</v>
      </c>
      <c r="Q100" t="str">
        <f t="shared" si="6"/>
        <v>High</v>
      </c>
      <c r="R100" t="str">
        <f t="shared" si="7"/>
        <v>Junior</v>
      </c>
      <c r="S100" t="str">
        <f t="shared" si="8"/>
        <v>High Performer</v>
      </c>
      <c r="T100" s="4" t="str">
        <f t="shared" si="9"/>
        <v>Neutral</v>
      </c>
    </row>
    <row r="101" spans="1:20" x14ac:dyDescent="0.3">
      <c r="A101" t="s">
        <v>222</v>
      </c>
      <c r="B101" t="s">
        <v>223</v>
      </c>
      <c r="C101" t="s">
        <v>37</v>
      </c>
      <c r="D101">
        <v>43</v>
      </c>
      <c r="E101" t="s">
        <v>66</v>
      </c>
      <c r="F101" t="s">
        <v>82</v>
      </c>
      <c r="G101" t="s">
        <v>28</v>
      </c>
      <c r="H101">
        <v>46000</v>
      </c>
      <c r="I101">
        <v>16</v>
      </c>
      <c r="J101">
        <v>3</v>
      </c>
      <c r="K101">
        <v>5</v>
      </c>
      <c r="L101" t="s">
        <v>21</v>
      </c>
      <c r="M101" t="s">
        <v>29</v>
      </c>
      <c r="N101" t="s">
        <v>22</v>
      </c>
      <c r="O101" t="s">
        <v>38</v>
      </c>
      <c r="P101" t="str">
        <f t="shared" si="5"/>
        <v>40-49</v>
      </c>
      <c r="Q101" t="str">
        <f t="shared" si="6"/>
        <v>Medium</v>
      </c>
      <c r="R101" t="str">
        <f t="shared" si="7"/>
        <v>Senior</v>
      </c>
      <c r="S101" t="str">
        <f t="shared" si="8"/>
        <v>Needs Improvement</v>
      </c>
      <c r="T101" s="4" t="str">
        <f t="shared" si="9"/>
        <v>Satisfied</v>
      </c>
    </row>
    <row r="102" spans="1:20" x14ac:dyDescent="0.3">
      <c r="A102" t="s">
        <v>224</v>
      </c>
      <c r="B102" t="s">
        <v>225</v>
      </c>
      <c r="C102" t="s">
        <v>37</v>
      </c>
      <c r="D102">
        <v>50</v>
      </c>
      <c r="E102" t="s">
        <v>57</v>
      </c>
      <c r="F102" t="s">
        <v>27</v>
      </c>
      <c r="G102" t="s">
        <v>33</v>
      </c>
      <c r="H102">
        <v>76000</v>
      </c>
      <c r="I102">
        <v>12</v>
      </c>
      <c r="J102">
        <v>2</v>
      </c>
      <c r="K102">
        <v>3</v>
      </c>
      <c r="L102" t="s">
        <v>21</v>
      </c>
      <c r="M102" t="s">
        <v>29</v>
      </c>
      <c r="N102" t="s">
        <v>34</v>
      </c>
      <c r="O102" t="s">
        <v>54</v>
      </c>
      <c r="P102" t="str">
        <f t="shared" si="5"/>
        <v>50+</v>
      </c>
      <c r="Q102" t="str">
        <f t="shared" si="6"/>
        <v>High</v>
      </c>
      <c r="R102" t="str">
        <f t="shared" si="7"/>
        <v>Senior</v>
      </c>
      <c r="S102" t="str">
        <f t="shared" si="8"/>
        <v>Needs Improvement</v>
      </c>
      <c r="T102" s="4" t="str">
        <f t="shared" si="9"/>
        <v>Neutral</v>
      </c>
    </row>
    <row r="103" spans="1:20" x14ac:dyDescent="0.3">
      <c r="A103" t="s">
        <v>226</v>
      </c>
      <c r="B103" t="s">
        <v>227</v>
      </c>
      <c r="C103" t="s">
        <v>37</v>
      </c>
      <c r="D103">
        <v>34</v>
      </c>
      <c r="E103" t="s">
        <v>26</v>
      </c>
      <c r="F103" t="s">
        <v>50</v>
      </c>
      <c r="G103" t="s">
        <v>20</v>
      </c>
      <c r="H103">
        <v>62000</v>
      </c>
      <c r="I103">
        <v>9</v>
      </c>
      <c r="J103">
        <v>4</v>
      </c>
      <c r="K103">
        <v>2</v>
      </c>
      <c r="L103" t="s">
        <v>29</v>
      </c>
      <c r="M103" t="s">
        <v>29</v>
      </c>
      <c r="N103" t="s">
        <v>22</v>
      </c>
      <c r="O103" t="s">
        <v>43</v>
      </c>
      <c r="P103" t="str">
        <f t="shared" si="5"/>
        <v>30-39</v>
      </c>
      <c r="Q103" t="str">
        <f t="shared" si="6"/>
        <v>Medium</v>
      </c>
      <c r="R103" t="str">
        <f t="shared" si="7"/>
        <v>Senior</v>
      </c>
      <c r="S103" t="str">
        <f t="shared" si="8"/>
        <v>High Performer</v>
      </c>
      <c r="T103" s="4" t="str">
        <f t="shared" si="9"/>
        <v>Dissatisfied</v>
      </c>
    </row>
    <row r="104" spans="1:20" x14ac:dyDescent="0.3">
      <c r="A104" t="s">
        <v>228</v>
      </c>
      <c r="B104" t="s">
        <v>229</v>
      </c>
      <c r="C104" t="s">
        <v>37</v>
      </c>
      <c r="D104">
        <v>40</v>
      </c>
      <c r="E104" t="s">
        <v>57</v>
      </c>
      <c r="F104" t="s">
        <v>27</v>
      </c>
      <c r="G104" t="s">
        <v>20</v>
      </c>
      <c r="H104">
        <v>46000</v>
      </c>
      <c r="I104">
        <v>5</v>
      </c>
      <c r="J104">
        <v>2</v>
      </c>
      <c r="K104">
        <v>5</v>
      </c>
      <c r="L104" t="s">
        <v>21</v>
      </c>
      <c r="M104" t="s">
        <v>29</v>
      </c>
      <c r="N104" t="s">
        <v>34</v>
      </c>
      <c r="O104" t="s">
        <v>23</v>
      </c>
      <c r="P104" t="str">
        <f t="shared" si="5"/>
        <v>40-49</v>
      </c>
      <c r="Q104" t="str">
        <f t="shared" si="6"/>
        <v>Medium</v>
      </c>
      <c r="R104" t="str">
        <f t="shared" si="7"/>
        <v>Mid-Level</v>
      </c>
      <c r="S104" t="str">
        <f t="shared" si="8"/>
        <v>Needs Improvement</v>
      </c>
      <c r="T104" s="4" t="str">
        <f t="shared" si="9"/>
        <v>Satisfied</v>
      </c>
    </row>
    <row r="105" spans="1:20" x14ac:dyDescent="0.3">
      <c r="A105" t="s">
        <v>230</v>
      </c>
      <c r="B105" t="s">
        <v>128</v>
      </c>
      <c r="C105" t="s">
        <v>37</v>
      </c>
      <c r="D105">
        <v>50</v>
      </c>
      <c r="E105" t="s">
        <v>57</v>
      </c>
      <c r="F105" t="s">
        <v>27</v>
      </c>
      <c r="G105" t="s">
        <v>28</v>
      </c>
      <c r="H105">
        <v>100000</v>
      </c>
      <c r="I105">
        <v>11</v>
      </c>
      <c r="J105">
        <v>5</v>
      </c>
      <c r="K105">
        <v>5</v>
      </c>
      <c r="L105" t="s">
        <v>21</v>
      </c>
      <c r="M105" t="s">
        <v>29</v>
      </c>
      <c r="N105" t="s">
        <v>34</v>
      </c>
      <c r="O105" t="s">
        <v>38</v>
      </c>
      <c r="P105" t="str">
        <f t="shared" si="5"/>
        <v>50+</v>
      </c>
      <c r="Q105" t="str">
        <f t="shared" si="6"/>
        <v>High</v>
      </c>
      <c r="R105" t="str">
        <f t="shared" si="7"/>
        <v>Senior</v>
      </c>
      <c r="S105" t="str">
        <f t="shared" si="8"/>
        <v>High Performer</v>
      </c>
      <c r="T105" s="4" t="str">
        <f t="shared" si="9"/>
        <v>Satisfied</v>
      </c>
    </row>
    <row r="106" spans="1:20" x14ac:dyDescent="0.3">
      <c r="A106" t="s">
        <v>231</v>
      </c>
      <c r="B106" t="s">
        <v>56</v>
      </c>
      <c r="C106" t="s">
        <v>17</v>
      </c>
      <c r="D106">
        <v>49</v>
      </c>
      <c r="E106" t="s">
        <v>41</v>
      </c>
      <c r="F106" t="s">
        <v>42</v>
      </c>
      <c r="G106" t="s">
        <v>28</v>
      </c>
      <c r="H106">
        <v>57000</v>
      </c>
      <c r="I106">
        <v>7</v>
      </c>
      <c r="J106">
        <v>5</v>
      </c>
      <c r="K106">
        <v>1</v>
      </c>
      <c r="L106" t="s">
        <v>21</v>
      </c>
      <c r="M106" t="s">
        <v>21</v>
      </c>
      <c r="N106" t="s">
        <v>34</v>
      </c>
      <c r="O106" t="s">
        <v>43</v>
      </c>
      <c r="P106" t="str">
        <f t="shared" si="5"/>
        <v>40-49</v>
      </c>
      <c r="Q106" t="str">
        <f t="shared" si="6"/>
        <v>Medium</v>
      </c>
      <c r="R106" t="str">
        <f t="shared" si="7"/>
        <v>Senior</v>
      </c>
      <c r="S106" t="str">
        <f t="shared" si="8"/>
        <v>High Performer</v>
      </c>
      <c r="T106" s="4" t="str">
        <f t="shared" si="9"/>
        <v>Dissatisfied</v>
      </c>
    </row>
    <row r="107" spans="1:20" x14ac:dyDescent="0.3">
      <c r="A107" t="s">
        <v>232</v>
      </c>
      <c r="B107" t="s">
        <v>233</v>
      </c>
      <c r="C107" t="s">
        <v>17</v>
      </c>
      <c r="D107">
        <v>38</v>
      </c>
      <c r="E107" t="s">
        <v>41</v>
      </c>
      <c r="F107" t="s">
        <v>73</v>
      </c>
      <c r="G107" t="s">
        <v>33</v>
      </c>
      <c r="H107">
        <v>92000</v>
      </c>
      <c r="I107">
        <v>15</v>
      </c>
      <c r="J107">
        <v>3</v>
      </c>
      <c r="K107">
        <v>1</v>
      </c>
      <c r="L107" t="s">
        <v>21</v>
      </c>
      <c r="M107" t="s">
        <v>21</v>
      </c>
      <c r="N107" t="s">
        <v>34</v>
      </c>
      <c r="O107" t="s">
        <v>43</v>
      </c>
      <c r="P107" t="str">
        <f t="shared" si="5"/>
        <v>30-39</v>
      </c>
      <c r="Q107" t="str">
        <f t="shared" si="6"/>
        <v>High</v>
      </c>
      <c r="R107" t="str">
        <f t="shared" si="7"/>
        <v>Senior</v>
      </c>
      <c r="S107" t="str">
        <f t="shared" si="8"/>
        <v>Needs Improvement</v>
      </c>
      <c r="T107" s="4" t="str">
        <f t="shared" si="9"/>
        <v>Dissatisfied</v>
      </c>
    </row>
    <row r="108" spans="1:20" x14ac:dyDescent="0.3">
      <c r="A108" t="s">
        <v>234</v>
      </c>
      <c r="B108" t="s">
        <v>217</v>
      </c>
      <c r="C108" t="s">
        <v>37</v>
      </c>
      <c r="D108">
        <v>36</v>
      </c>
      <c r="E108" t="s">
        <v>41</v>
      </c>
      <c r="F108" t="s">
        <v>73</v>
      </c>
      <c r="G108" t="s">
        <v>46</v>
      </c>
      <c r="H108">
        <v>101000</v>
      </c>
      <c r="I108">
        <v>13</v>
      </c>
      <c r="J108">
        <v>3</v>
      </c>
      <c r="K108">
        <v>5</v>
      </c>
      <c r="L108" t="s">
        <v>21</v>
      </c>
      <c r="M108" t="s">
        <v>29</v>
      </c>
      <c r="N108" t="s">
        <v>34</v>
      </c>
      <c r="O108" t="s">
        <v>43</v>
      </c>
      <c r="P108" t="str">
        <f t="shared" si="5"/>
        <v>30-39</v>
      </c>
      <c r="Q108" t="str">
        <f t="shared" si="6"/>
        <v>High</v>
      </c>
      <c r="R108" t="str">
        <f t="shared" si="7"/>
        <v>Senior</v>
      </c>
      <c r="S108" t="str">
        <f t="shared" si="8"/>
        <v>Needs Improvement</v>
      </c>
      <c r="T108" s="4" t="str">
        <f t="shared" si="9"/>
        <v>Satisfied</v>
      </c>
    </row>
    <row r="109" spans="1:20" x14ac:dyDescent="0.3">
      <c r="A109" t="s">
        <v>235</v>
      </c>
      <c r="B109" t="s">
        <v>25</v>
      </c>
      <c r="C109" t="s">
        <v>37</v>
      </c>
      <c r="D109">
        <v>35</v>
      </c>
      <c r="E109" t="s">
        <v>26</v>
      </c>
      <c r="F109" t="s">
        <v>50</v>
      </c>
      <c r="G109" t="s">
        <v>33</v>
      </c>
      <c r="H109">
        <v>29000</v>
      </c>
      <c r="I109">
        <v>13</v>
      </c>
      <c r="J109">
        <v>4</v>
      </c>
      <c r="K109">
        <v>5</v>
      </c>
      <c r="L109" t="s">
        <v>29</v>
      </c>
      <c r="M109" t="s">
        <v>29</v>
      </c>
      <c r="N109" t="s">
        <v>22</v>
      </c>
      <c r="O109" t="s">
        <v>43</v>
      </c>
      <c r="P109" t="str">
        <f t="shared" si="5"/>
        <v>30-39</v>
      </c>
      <c r="Q109" t="str">
        <f t="shared" si="6"/>
        <v>Low</v>
      </c>
      <c r="R109" t="str">
        <f t="shared" si="7"/>
        <v>Senior</v>
      </c>
      <c r="S109" t="str">
        <f t="shared" si="8"/>
        <v>High Performer</v>
      </c>
      <c r="T109" s="4" t="str">
        <f t="shared" si="9"/>
        <v>Satisfied</v>
      </c>
    </row>
    <row r="110" spans="1:20" x14ac:dyDescent="0.3">
      <c r="A110" t="s">
        <v>236</v>
      </c>
      <c r="B110" t="s">
        <v>109</v>
      </c>
      <c r="C110" t="s">
        <v>37</v>
      </c>
      <c r="D110">
        <v>29</v>
      </c>
      <c r="E110" t="s">
        <v>49</v>
      </c>
      <c r="F110" t="s">
        <v>27</v>
      </c>
      <c r="G110" t="s">
        <v>46</v>
      </c>
      <c r="H110">
        <v>46000</v>
      </c>
      <c r="I110">
        <v>8</v>
      </c>
      <c r="J110">
        <v>4</v>
      </c>
      <c r="K110">
        <v>4</v>
      </c>
      <c r="L110" t="s">
        <v>29</v>
      </c>
      <c r="M110" t="s">
        <v>29</v>
      </c>
      <c r="N110" t="s">
        <v>22</v>
      </c>
      <c r="O110" t="s">
        <v>38</v>
      </c>
      <c r="P110" t="str">
        <f t="shared" si="5"/>
        <v>20-29</v>
      </c>
      <c r="Q110" t="str">
        <f t="shared" si="6"/>
        <v>Medium</v>
      </c>
      <c r="R110" t="str">
        <f t="shared" si="7"/>
        <v>Senior</v>
      </c>
      <c r="S110" t="str">
        <f t="shared" si="8"/>
        <v>High Performer</v>
      </c>
      <c r="T110" s="4" t="str">
        <f t="shared" si="9"/>
        <v>Satisfied</v>
      </c>
    </row>
    <row r="111" spans="1:20" x14ac:dyDescent="0.3">
      <c r="A111" t="s">
        <v>237</v>
      </c>
      <c r="B111" t="s">
        <v>238</v>
      </c>
      <c r="C111" t="s">
        <v>17</v>
      </c>
      <c r="D111">
        <v>29</v>
      </c>
      <c r="E111" t="s">
        <v>26</v>
      </c>
      <c r="F111" t="s">
        <v>27</v>
      </c>
      <c r="G111" t="s">
        <v>20</v>
      </c>
      <c r="H111">
        <v>104000</v>
      </c>
      <c r="I111">
        <v>8</v>
      </c>
      <c r="J111">
        <v>5</v>
      </c>
      <c r="K111">
        <v>3</v>
      </c>
      <c r="L111" t="s">
        <v>21</v>
      </c>
      <c r="M111" t="s">
        <v>29</v>
      </c>
      <c r="N111" t="s">
        <v>34</v>
      </c>
      <c r="O111" t="s">
        <v>30</v>
      </c>
      <c r="P111" t="str">
        <f t="shared" si="5"/>
        <v>20-29</v>
      </c>
      <c r="Q111" t="str">
        <f t="shared" si="6"/>
        <v>High</v>
      </c>
      <c r="R111" t="str">
        <f t="shared" si="7"/>
        <v>Senior</v>
      </c>
      <c r="S111" t="str">
        <f t="shared" si="8"/>
        <v>High Performer</v>
      </c>
      <c r="T111" s="4" t="str">
        <f t="shared" si="9"/>
        <v>Neutral</v>
      </c>
    </row>
    <row r="112" spans="1:20" x14ac:dyDescent="0.3">
      <c r="A112" t="s">
        <v>239</v>
      </c>
      <c r="B112" t="s">
        <v>240</v>
      </c>
      <c r="C112" t="s">
        <v>17</v>
      </c>
      <c r="D112">
        <v>43</v>
      </c>
      <c r="E112" t="s">
        <v>26</v>
      </c>
      <c r="F112" t="s">
        <v>50</v>
      </c>
      <c r="G112" t="s">
        <v>28</v>
      </c>
      <c r="H112">
        <v>93000</v>
      </c>
      <c r="I112">
        <v>16</v>
      </c>
      <c r="J112">
        <v>4</v>
      </c>
      <c r="K112">
        <v>4</v>
      </c>
      <c r="L112" t="s">
        <v>29</v>
      </c>
      <c r="M112" t="s">
        <v>29</v>
      </c>
      <c r="N112" t="s">
        <v>34</v>
      </c>
      <c r="O112" t="s">
        <v>30</v>
      </c>
      <c r="P112" t="str">
        <f t="shared" si="5"/>
        <v>40-49</v>
      </c>
      <c r="Q112" t="str">
        <f t="shared" si="6"/>
        <v>High</v>
      </c>
      <c r="R112" t="str">
        <f t="shared" si="7"/>
        <v>Senior</v>
      </c>
      <c r="S112" t="str">
        <f t="shared" si="8"/>
        <v>High Performer</v>
      </c>
      <c r="T112" s="4" t="str">
        <f t="shared" si="9"/>
        <v>Satisfied</v>
      </c>
    </row>
    <row r="113" spans="1:20" x14ac:dyDescent="0.3">
      <c r="A113" t="s">
        <v>241</v>
      </c>
      <c r="B113" t="s">
        <v>242</v>
      </c>
      <c r="C113" t="s">
        <v>17</v>
      </c>
      <c r="D113">
        <v>23</v>
      </c>
      <c r="E113" t="s">
        <v>66</v>
      </c>
      <c r="F113" t="s">
        <v>82</v>
      </c>
      <c r="G113" t="s">
        <v>28</v>
      </c>
      <c r="H113">
        <v>110000</v>
      </c>
      <c r="I113">
        <v>2</v>
      </c>
      <c r="J113">
        <v>4</v>
      </c>
      <c r="K113">
        <v>5</v>
      </c>
      <c r="L113" t="s">
        <v>21</v>
      </c>
      <c r="M113" t="s">
        <v>29</v>
      </c>
      <c r="N113" t="s">
        <v>34</v>
      </c>
      <c r="O113" t="s">
        <v>43</v>
      </c>
      <c r="P113" t="str">
        <f t="shared" si="5"/>
        <v>20-29</v>
      </c>
      <c r="Q113" t="str">
        <f t="shared" si="6"/>
        <v>High</v>
      </c>
      <c r="R113" t="str">
        <f t="shared" si="7"/>
        <v>Junior</v>
      </c>
      <c r="S113" t="str">
        <f t="shared" si="8"/>
        <v>High Performer</v>
      </c>
      <c r="T113" s="4" t="str">
        <f t="shared" si="9"/>
        <v>Satisfied</v>
      </c>
    </row>
    <row r="114" spans="1:20" x14ac:dyDescent="0.3">
      <c r="A114" t="s">
        <v>243</v>
      </c>
      <c r="B114" t="s">
        <v>244</v>
      </c>
      <c r="C114" t="s">
        <v>17</v>
      </c>
      <c r="D114">
        <v>31</v>
      </c>
      <c r="E114" t="s">
        <v>57</v>
      </c>
      <c r="F114" t="s">
        <v>27</v>
      </c>
      <c r="G114" t="s">
        <v>46</v>
      </c>
      <c r="H114">
        <v>94000</v>
      </c>
      <c r="I114">
        <v>4</v>
      </c>
      <c r="J114">
        <v>5</v>
      </c>
      <c r="K114">
        <v>1</v>
      </c>
      <c r="L114" t="s">
        <v>29</v>
      </c>
      <c r="M114" t="s">
        <v>29</v>
      </c>
      <c r="N114" t="s">
        <v>34</v>
      </c>
      <c r="O114" t="s">
        <v>70</v>
      </c>
      <c r="P114" t="str">
        <f t="shared" si="5"/>
        <v>30-39</v>
      </c>
      <c r="Q114" t="str">
        <f t="shared" si="6"/>
        <v>High</v>
      </c>
      <c r="R114" t="str">
        <f t="shared" si="7"/>
        <v>Mid-Level</v>
      </c>
      <c r="S114" t="str">
        <f t="shared" si="8"/>
        <v>High Performer</v>
      </c>
      <c r="T114" s="4" t="str">
        <f t="shared" si="9"/>
        <v>Dissatisfied</v>
      </c>
    </row>
    <row r="115" spans="1:20" x14ac:dyDescent="0.3">
      <c r="A115" t="s">
        <v>245</v>
      </c>
      <c r="B115" t="s">
        <v>246</v>
      </c>
      <c r="C115" t="s">
        <v>17</v>
      </c>
      <c r="D115">
        <v>34</v>
      </c>
      <c r="E115" t="s">
        <v>57</v>
      </c>
      <c r="F115" t="s">
        <v>27</v>
      </c>
      <c r="G115" t="s">
        <v>20</v>
      </c>
      <c r="H115">
        <v>109000</v>
      </c>
      <c r="I115">
        <v>13</v>
      </c>
      <c r="J115">
        <v>4</v>
      </c>
      <c r="K115">
        <v>1</v>
      </c>
      <c r="L115" t="s">
        <v>29</v>
      </c>
      <c r="M115" t="s">
        <v>29</v>
      </c>
      <c r="N115" t="s">
        <v>22</v>
      </c>
      <c r="O115" t="s">
        <v>23</v>
      </c>
      <c r="P115" t="str">
        <f t="shared" si="5"/>
        <v>30-39</v>
      </c>
      <c r="Q115" t="str">
        <f t="shared" si="6"/>
        <v>High</v>
      </c>
      <c r="R115" t="str">
        <f t="shared" si="7"/>
        <v>Senior</v>
      </c>
      <c r="S115" t="str">
        <f t="shared" si="8"/>
        <v>High Performer</v>
      </c>
      <c r="T115" s="4" t="str">
        <f t="shared" si="9"/>
        <v>Dissatisfied</v>
      </c>
    </row>
    <row r="116" spans="1:20" x14ac:dyDescent="0.3">
      <c r="A116" t="s">
        <v>247</v>
      </c>
      <c r="B116" t="s">
        <v>162</v>
      </c>
      <c r="C116" t="s">
        <v>37</v>
      </c>
      <c r="D116">
        <v>29</v>
      </c>
      <c r="E116" t="s">
        <v>18</v>
      </c>
      <c r="F116" t="s">
        <v>126</v>
      </c>
      <c r="G116" t="s">
        <v>33</v>
      </c>
      <c r="H116">
        <v>31000</v>
      </c>
      <c r="I116">
        <v>8</v>
      </c>
      <c r="J116">
        <v>2</v>
      </c>
      <c r="K116">
        <v>3</v>
      </c>
      <c r="L116" t="s">
        <v>21</v>
      </c>
      <c r="M116" t="s">
        <v>29</v>
      </c>
      <c r="N116" t="s">
        <v>22</v>
      </c>
      <c r="O116" t="s">
        <v>70</v>
      </c>
      <c r="P116" t="str">
        <f t="shared" si="5"/>
        <v>20-29</v>
      </c>
      <c r="Q116" t="str">
        <f t="shared" si="6"/>
        <v>Low</v>
      </c>
      <c r="R116" t="str">
        <f t="shared" si="7"/>
        <v>Senior</v>
      </c>
      <c r="S116" t="str">
        <f t="shared" si="8"/>
        <v>Needs Improvement</v>
      </c>
      <c r="T116" s="4" t="str">
        <f t="shared" si="9"/>
        <v>Neutral</v>
      </c>
    </row>
    <row r="117" spans="1:20" x14ac:dyDescent="0.3">
      <c r="A117" t="s">
        <v>248</v>
      </c>
      <c r="B117" t="s">
        <v>249</v>
      </c>
      <c r="C117" t="s">
        <v>17</v>
      </c>
      <c r="D117">
        <v>39</v>
      </c>
      <c r="E117" t="s">
        <v>57</v>
      </c>
      <c r="F117" t="s">
        <v>27</v>
      </c>
      <c r="G117" t="s">
        <v>20</v>
      </c>
      <c r="H117">
        <v>52000</v>
      </c>
      <c r="I117">
        <v>13</v>
      </c>
      <c r="J117">
        <v>4</v>
      </c>
      <c r="K117">
        <v>4</v>
      </c>
      <c r="L117" t="s">
        <v>29</v>
      </c>
      <c r="M117" t="s">
        <v>29</v>
      </c>
      <c r="N117" t="s">
        <v>34</v>
      </c>
      <c r="O117" t="s">
        <v>75</v>
      </c>
      <c r="P117" t="str">
        <f t="shared" si="5"/>
        <v>30-39</v>
      </c>
      <c r="Q117" t="str">
        <f t="shared" si="6"/>
        <v>Medium</v>
      </c>
      <c r="R117" t="str">
        <f t="shared" si="7"/>
        <v>Senior</v>
      </c>
      <c r="S117" t="str">
        <f t="shared" si="8"/>
        <v>High Performer</v>
      </c>
      <c r="T117" s="4" t="str">
        <f t="shared" si="9"/>
        <v>Satisfied</v>
      </c>
    </row>
    <row r="118" spans="1:20" x14ac:dyDescent="0.3">
      <c r="A118" t="s">
        <v>250</v>
      </c>
      <c r="B118" t="s">
        <v>251</v>
      </c>
      <c r="C118" t="s">
        <v>17</v>
      </c>
      <c r="D118">
        <v>30</v>
      </c>
      <c r="E118" t="s">
        <v>18</v>
      </c>
      <c r="F118" t="s">
        <v>19</v>
      </c>
      <c r="G118" t="s">
        <v>20</v>
      </c>
      <c r="H118">
        <v>34000</v>
      </c>
      <c r="I118">
        <v>9</v>
      </c>
      <c r="J118">
        <v>4</v>
      </c>
      <c r="K118">
        <v>1</v>
      </c>
      <c r="L118" t="s">
        <v>29</v>
      </c>
      <c r="M118" t="s">
        <v>29</v>
      </c>
      <c r="N118" t="s">
        <v>34</v>
      </c>
      <c r="O118" t="s">
        <v>70</v>
      </c>
      <c r="P118" t="str">
        <f t="shared" si="5"/>
        <v>30-39</v>
      </c>
      <c r="Q118" t="str">
        <f t="shared" si="6"/>
        <v>Low</v>
      </c>
      <c r="R118" t="str">
        <f t="shared" si="7"/>
        <v>Senior</v>
      </c>
      <c r="S118" t="str">
        <f t="shared" si="8"/>
        <v>High Performer</v>
      </c>
      <c r="T118" s="4" t="str">
        <f t="shared" si="9"/>
        <v>Dissatisfied</v>
      </c>
    </row>
    <row r="119" spans="1:20" x14ac:dyDescent="0.3">
      <c r="A119" t="s">
        <v>252</v>
      </c>
      <c r="B119" t="s">
        <v>253</v>
      </c>
      <c r="C119" t="s">
        <v>17</v>
      </c>
      <c r="D119">
        <v>24</v>
      </c>
      <c r="E119" t="s">
        <v>18</v>
      </c>
      <c r="F119" t="s">
        <v>126</v>
      </c>
      <c r="G119" t="s">
        <v>33</v>
      </c>
      <c r="H119">
        <v>62000</v>
      </c>
      <c r="I119">
        <v>3</v>
      </c>
      <c r="J119">
        <v>2</v>
      </c>
      <c r="K119">
        <v>3</v>
      </c>
      <c r="L119" t="s">
        <v>29</v>
      </c>
      <c r="M119" t="s">
        <v>29</v>
      </c>
      <c r="N119" t="s">
        <v>34</v>
      </c>
      <c r="O119" t="s">
        <v>23</v>
      </c>
      <c r="P119" t="str">
        <f t="shared" si="5"/>
        <v>20-29</v>
      </c>
      <c r="Q119" t="str">
        <f t="shared" si="6"/>
        <v>Medium</v>
      </c>
      <c r="R119" t="str">
        <f t="shared" si="7"/>
        <v>Mid-Level</v>
      </c>
      <c r="S119" t="str">
        <f t="shared" si="8"/>
        <v>Needs Improvement</v>
      </c>
      <c r="T119" s="4" t="str">
        <f t="shared" si="9"/>
        <v>Neutral</v>
      </c>
    </row>
    <row r="120" spans="1:20" x14ac:dyDescent="0.3">
      <c r="A120" t="s">
        <v>254</v>
      </c>
      <c r="B120" t="s">
        <v>102</v>
      </c>
      <c r="C120" t="s">
        <v>17</v>
      </c>
      <c r="D120">
        <v>53</v>
      </c>
      <c r="E120" t="s">
        <v>57</v>
      </c>
      <c r="F120" t="s">
        <v>27</v>
      </c>
      <c r="G120" t="s">
        <v>28</v>
      </c>
      <c r="H120">
        <v>53000</v>
      </c>
      <c r="I120">
        <v>6</v>
      </c>
      <c r="J120">
        <v>2</v>
      </c>
      <c r="K120">
        <v>2</v>
      </c>
      <c r="L120" t="s">
        <v>29</v>
      </c>
      <c r="M120" t="s">
        <v>29</v>
      </c>
      <c r="N120" t="s">
        <v>22</v>
      </c>
      <c r="O120" t="s">
        <v>70</v>
      </c>
      <c r="P120" t="str">
        <f t="shared" si="5"/>
        <v>50+</v>
      </c>
      <c r="Q120" t="str">
        <f t="shared" si="6"/>
        <v>Medium</v>
      </c>
      <c r="R120" t="str">
        <f t="shared" si="7"/>
        <v>Mid-Level</v>
      </c>
      <c r="S120" t="str">
        <f t="shared" si="8"/>
        <v>Needs Improvement</v>
      </c>
      <c r="T120" s="4" t="str">
        <f t="shared" si="9"/>
        <v>Dissatisfied</v>
      </c>
    </row>
    <row r="121" spans="1:20" x14ac:dyDescent="0.3">
      <c r="A121" t="s">
        <v>255</v>
      </c>
      <c r="B121" t="s">
        <v>256</v>
      </c>
      <c r="C121" t="s">
        <v>37</v>
      </c>
      <c r="D121">
        <v>39</v>
      </c>
      <c r="E121" t="s">
        <v>49</v>
      </c>
      <c r="F121" t="s">
        <v>50</v>
      </c>
      <c r="G121" t="s">
        <v>33</v>
      </c>
      <c r="H121">
        <v>104000</v>
      </c>
      <c r="I121">
        <v>3</v>
      </c>
      <c r="J121">
        <v>3</v>
      </c>
      <c r="K121">
        <v>4</v>
      </c>
      <c r="L121" t="s">
        <v>21</v>
      </c>
      <c r="M121" t="s">
        <v>29</v>
      </c>
      <c r="N121" t="s">
        <v>22</v>
      </c>
      <c r="O121" t="s">
        <v>43</v>
      </c>
      <c r="P121" t="str">
        <f t="shared" si="5"/>
        <v>30-39</v>
      </c>
      <c r="Q121" t="str">
        <f t="shared" si="6"/>
        <v>High</v>
      </c>
      <c r="R121" t="str">
        <f t="shared" si="7"/>
        <v>Mid-Level</v>
      </c>
      <c r="S121" t="str">
        <f t="shared" si="8"/>
        <v>Needs Improvement</v>
      </c>
      <c r="T121" s="4" t="str">
        <f t="shared" si="9"/>
        <v>Satisfied</v>
      </c>
    </row>
    <row r="122" spans="1:20" x14ac:dyDescent="0.3">
      <c r="A122" t="s">
        <v>257</v>
      </c>
      <c r="B122" t="s">
        <v>56</v>
      </c>
      <c r="C122" t="s">
        <v>17</v>
      </c>
      <c r="D122">
        <v>47</v>
      </c>
      <c r="E122" t="s">
        <v>57</v>
      </c>
      <c r="F122" t="s">
        <v>27</v>
      </c>
      <c r="G122" t="s">
        <v>20</v>
      </c>
      <c r="H122">
        <v>94000</v>
      </c>
      <c r="I122">
        <v>0</v>
      </c>
      <c r="J122">
        <v>2</v>
      </c>
      <c r="K122">
        <v>1</v>
      </c>
      <c r="L122" t="s">
        <v>21</v>
      </c>
      <c r="M122" t="s">
        <v>21</v>
      </c>
      <c r="N122" t="s">
        <v>34</v>
      </c>
      <c r="O122" t="s">
        <v>38</v>
      </c>
      <c r="P122" t="str">
        <f t="shared" si="5"/>
        <v>40-49</v>
      </c>
      <c r="Q122" t="str">
        <f t="shared" si="6"/>
        <v>High</v>
      </c>
      <c r="R122" t="str">
        <f t="shared" si="7"/>
        <v>Junior</v>
      </c>
      <c r="S122" t="str">
        <f t="shared" si="8"/>
        <v>Needs Improvement</v>
      </c>
      <c r="T122" s="4" t="str">
        <f t="shared" si="9"/>
        <v>Dissatisfied</v>
      </c>
    </row>
    <row r="123" spans="1:20" x14ac:dyDescent="0.3">
      <c r="A123" t="s">
        <v>258</v>
      </c>
      <c r="B123" t="s">
        <v>259</v>
      </c>
      <c r="C123" t="s">
        <v>17</v>
      </c>
      <c r="D123">
        <v>29</v>
      </c>
      <c r="E123" t="s">
        <v>49</v>
      </c>
      <c r="F123" t="s">
        <v>50</v>
      </c>
      <c r="G123" t="s">
        <v>20</v>
      </c>
      <c r="H123">
        <v>41000</v>
      </c>
      <c r="I123">
        <v>8</v>
      </c>
      <c r="J123">
        <v>2</v>
      </c>
      <c r="K123">
        <v>2</v>
      </c>
      <c r="L123" t="s">
        <v>21</v>
      </c>
      <c r="M123" t="s">
        <v>29</v>
      </c>
      <c r="N123" t="s">
        <v>34</v>
      </c>
      <c r="O123" t="s">
        <v>43</v>
      </c>
      <c r="P123" t="str">
        <f t="shared" si="5"/>
        <v>20-29</v>
      </c>
      <c r="Q123" t="str">
        <f t="shared" si="6"/>
        <v>Medium</v>
      </c>
      <c r="R123" t="str">
        <f t="shared" si="7"/>
        <v>Senior</v>
      </c>
      <c r="S123" t="str">
        <f t="shared" si="8"/>
        <v>Needs Improvement</v>
      </c>
      <c r="T123" s="4" t="str">
        <f t="shared" si="9"/>
        <v>Dissatisfied</v>
      </c>
    </row>
    <row r="124" spans="1:20" x14ac:dyDescent="0.3">
      <c r="A124" t="s">
        <v>260</v>
      </c>
      <c r="B124" t="s">
        <v>261</v>
      </c>
      <c r="C124" t="s">
        <v>17</v>
      </c>
      <c r="D124">
        <v>34</v>
      </c>
      <c r="E124" t="s">
        <v>49</v>
      </c>
      <c r="F124" t="s">
        <v>50</v>
      </c>
      <c r="G124" t="s">
        <v>28</v>
      </c>
      <c r="H124">
        <v>67000</v>
      </c>
      <c r="I124">
        <v>9</v>
      </c>
      <c r="J124">
        <v>5</v>
      </c>
      <c r="K124">
        <v>3</v>
      </c>
      <c r="L124" t="s">
        <v>21</v>
      </c>
      <c r="M124" t="s">
        <v>29</v>
      </c>
      <c r="N124" t="s">
        <v>22</v>
      </c>
      <c r="O124" t="s">
        <v>54</v>
      </c>
      <c r="P124" t="str">
        <f t="shared" si="5"/>
        <v>30-39</v>
      </c>
      <c r="Q124" t="str">
        <f t="shared" si="6"/>
        <v>Medium</v>
      </c>
      <c r="R124" t="str">
        <f t="shared" si="7"/>
        <v>Senior</v>
      </c>
      <c r="S124" t="str">
        <f t="shared" si="8"/>
        <v>High Performer</v>
      </c>
      <c r="T124" s="4" t="str">
        <f t="shared" si="9"/>
        <v>Neutral</v>
      </c>
    </row>
    <row r="125" spans="1:20" x14ac:dyDescent="0.3">
      <c r="A125" t="s">
        <v>262</v>
      </c>
      <c r="B125" t="s">
        <v>263</v>
      </c>
      <c r="C125" t="s">
        <v>17</v>
      </c>
      <c r="D125">
        <v>48</v>
      </c>
      <c r="E125" t="s">
        <v>66</v>
      </c>
      <c r="F125" t="s">
        <v>67</v>
      </c>
      <c r="G125" t="s">
        <v>20</v>
      </c>
      <c r="H125">
        <v>76000</v>
      </c>
      <c r="I125">
        <v>16</v>
      </c>
      <c r="J125">
        <v>2</v>
      </c>
      <c r="K125">
        <v>4</v>
      </c>
      <c r="L125" t="s">
        <v>29</v>
      </c>
      <c r="M125" t="s">
        <v>29</v>
      </c>
      <c r="N125" t="s">
        <v>34</v>
      </c>
      <c r="O125" t="s">
        <v>23</v>
      </c>
      <c r="P125" t="str">
        <f t="shared" si="5"/>
        <v>40-49</v>
      </c>
      <c r="Q125" t="str">
        <f t="shared" si="6"/>
        <v>High</v>
      </c>
      <c r="R125" t="str">
        <f t="shared" si="7"/>
        <v>Senior</v>
      </c>
      <c r="S125" t="str">
        <f t="shared" si="8"/>
        <v>Needs Improvement</v>
      </c>
      <c r="T125" s="4" t="str">
        <f t="shared" si="9"/>
        <v>Satisfied</v>
      </c>
    </row>
    <row r="126" spans="1:20" x14ac:dyDescent="0.3">
      <c r="A126" t="s">
        <v>264</v>
      </c>
      <c r="B126" t="s">
        <v>265</v>
      </c>
      <c r="C126" t="s">
        <v>37</v>
      </c>
      <c r="D126">
        <v>40</v>
      </c>
      <c r="E126" t="s">
        <v>57</v>
      </c>
      <c r="F126" t="s">
        <v>27</v>
      </c>
      <c r="G126" t="s">
        <v>46</v>
      </c>
      <c r="H126">
        <v>75000</v>
      </c>
      <c r="I126">
        <v>18</v>
      </c>
      <c r="J126">
        <v>4</v>
      </c>
      <c r="K126">
        <v>2</v>
      </c>
      <c r="L126" t="s">
        <v>21</v>
      </c>
      <c r="M126" t="s">
        <v>29</v>
      </c>
      <c r="N126" t="s">
        <v>22</v>
      </c>
      <c r="O126" t="s">
        <v>54</v>
      </c>
      <c r="P126" t="str">
        <f t="shared" si="5"/>
        <v>40-49</v>
      </c>
      <c r="Q126" t="str">
        <f t="shared" si="6"/>
        <v>High</v>
      </c>
      <c r="R126" t="str">
        <f t="shared" si="7"/>
        <v>Senior</v>
      </c>
      <c r="S126" t="str">
        <f t="shared" si="8"/>
        <v>High Performer</v>
      </c>
      <c r="T126" s="4" t="str">
        <f t="shared" si="9"/>
        <v>Dissatisfied</v>
      </c>
    </row>
    <row r="127" spans="1:20" x14ac:dyDescent="0.3">
      <c r="A127" t="s">
        <v>266</v>
      </c>
      <c r="B127" t="s">
        <v>267</v>
      </c>
      <c r="C127" t="s">
        <v>17</v>
      </c>
      <c r="D127">
        <v>53</v>
      </c>
      <c r="E127" t="s">
        <v>26</v>
      </c>
      <c r="F127" t="s">
        <v>27</v>
      </c>
      <c r="G127" t="s">
        <v>46</v>
      </c>
      <c r="H127">
        <v>34000</v>
      </c>
      <c r="I127">
        <v>10</v>
      </c>
      <c r="J127">
        <v>3</v>
      </c>
      <c r="K127">
        <v>5</v>
      </c>
      <c r="L127" t="s">
        <v>21</v>
      </c>
      <c r="M127" t="s">
        <v>29</v>
      </c>
      <c r="N127" t="s">
        <v>22</v>
      </c>
      <c r="O127" t="s">
        <v>75</v>
      </c>
      <c r="P127" t="str">
        <f t="shared" si="5"/>
        <v>50+</v>
      </c>
      <c r="Q127" t="str">
        <f t="shared" si="6"/>
        <v>Low</v>
      </c>
      <c r="R127" t="str">
        <f t="shared" si="7"/>
        <v>Senior</v>
      </c>
      <c r="S127" t="str">
        <f t="shared" si="8"/>
        <v>Needs Improvement</v>
      </c>
      <c r="T127" s="4" t="str">
        <f t="shared" si="9"/>
        <v>Satisfied</v>
      </c>
    </row>
    <row r="128" spans="1:20" x14ac:dyDescent="0.3">
      <c r="A128" t="s">
        <v>268</v>
      </c>
      <c r="B128" t="s">
        <v>269</v>
      </c>
      <c r="C128" t="s">
        <v>17</v>
      </c>
      <c r="D128">
        <v>28</v>
      </c>
      <c r="E128" t="s">
        <v>26</v>
      </c>
      <c r="F128" t="s">
        <v>27</v>
      </c>
      <c r="G128" t="s">
        <v>28</v>
      </c>
      <c r="H128">
        <v>29000</v>
      </c>
      <c r="I128">
        <v>7</v>
      </c>
      <c r="J128">
        <v>3</v>
      </c>
      <c r="K128">
        <v>4</v>
      </c>
      <c r="L128" t="s">
        <v>29</v>
      </c>
      <c r="M128" t="s">
        <v>29</v>
      </c>
      <c r="N128" t="s">
        <v>22</v>
      </c>
      <c r="O128" t="s">
        <v>23</v>
      </c>
      <c r="P128" t="str">
        <f t="shared" si="5"/>
        <v>20-29</v>
      </c>
      <c r="Q128" t="str">
        <f t="shared" si="6"/>
        <v>Low</v>
      </c>
      <c r="R128" t="str">
        <f t="shared" si="7"/>
        <v>Senior</v>
      </c>
      <c r="S128" t="str">
        <f t="shared" si="8"/>
        <v>Needs Improvement</v>
      </c>
      <c r="T128" s="4" t="str">
        <f t="shared" si="9"/>
        <v>Satisfied</v>
      </c>
    </row>
    <row r="129" spans="1:20" x14ac:dyDescent="0.3">
      <c r="A129" t="s">
        <v>270</v>
      </c>
      <c r="B129" t="s">
        <v>118</v>
      </c>
      <c r="C129" t="s">
        <v>17</v>
      </c>
      <c r="D129">
        <v>31</v>
      </c>
      <c r="E129" t="s">
        <v>18</v>
      </c>
      <c r="F129" t="s">
        <v>19</v>
      </c>
      <c r="G129" t="s">
        <v>28</v>
      </c>
      <c r="H129">
        <v>49000</v>
      </c>
      <c r="I129">
        <v>4</v>
      </c>
      <c r="J129">
        <v>2</v>
      </c>
      <c r="K129">
        <v>4</v>
      </c>
      <c r="L129" t="s">
        <v>29</v>
      </c>
      <c r="M129" t="s">
        <v>29</v>
      </c>
      <c r="N129" t="s">
        <v>34</v>
      </c>
      <c r="O129" t="s">
        <v>75</v>
      </c>
      <c r="P129" t="str">
        <f t="shared" si="5"/>
        <v>30-39</v>
      </c>
      <c r="Q129" t="str">
        <f t="shared" si="6"/>
        <v>Medium</v>
      </c>
      <c r="R129" t="str">
        <f t="shared" si="7"/>
        <v>Mid-Level</v>
      </c>
      <c r="S129" t="str">
        <f t="shared" si="8"/>
        <v>Needs Improvement</v>
      </c>
      <c r="T129" s="4" t="str">
        <f t="shared" si="9"/>
        <v>Satisfied</v>
      </c>
    </row>
    <row r="130" spans="1:20" x14ac:dyDescent="0.3">
      <c r="A130" t="s">
        <v>271</v>
      </c>
      <c r="B130" t="s">
        <v>136</v>
      </c>
      <c r="C130" t="s">
        <v>17</v>
      </c>
      <c r="D130">
        <v>45</v>
      </c>
      <c r="E130" t="s">
        <v>18</v>
      </c>
      <c r="F130" t="s">
        <v>126</v>
      </c>
      <c r="G130" t="s">
        <v>28</v>
      </c>
      <c r="H130">
        <v>97000</v>
      </c>
      <c r="I130">
        <v>17</v>
      </c>
      <c r="J130">
        <v>4</v>
      </c>
      <c r="K130">
        <v>4</v>
      </c>
      <c r="L130" t="s">
        <v>21</v>
      </c>
      <c r="M130" t="s">
        <v>29</v>
      </c>
      <c r="N130" t="s">
        <v>34</v>
      </c>
      <c r="O130" t="s">
        <v>38</v>
      </c>
      <c r="P130" t="str">
        <f t="shared" ref="P130:P193" si="10">IF(D130&lt;30,"20-29",IF(D130&lt;40,"30-39",IF(D130&lt;50,"40-49","50+")))</f>
        <v>40-49</v>
      </c>
      <c r="Q130" t="str">
        <f t="shared" ref="Q130:Q193" si="11">IF(H130&lt;40000,"Low",IF(H130&lt;70000,"Medium","High"))</f>
        <v>High</v>
      </c>
      <c r="R130" t="str">
        <f t="shared" ref="R130:R193" si="12">IF(I130&lt;3,"Junior",IF(I130&lt;7,"Mid-Level","Senior"))</f>
        <v>Senior</v>
      </c>
      <c r="S130" t="str">
        <f t="shared" ref="S130:S193" si="13">IF(J130&gt;=4,"High Performer","Needs Improvement")</f>
        <v>High Performer</v>
      </c>
      <c r="T130" s="4" t="str">
        <f t="shared" ref="T130:T193" si="14">IF(K130&gt;=4,"Satisfied",IF(K130=3,"Neutral","Dissatisfied"))</f>
        <v>Satisfied</v>
      </c>
    </row>
    <row r="131" spans="1:20" x14ac:dyDescent="0.3">
      <c r="A131" t="s">
        <v>272</v>
      </c>
      <c r="B131" t="s">
        <v>273</v>
      </c>
      <c r="C131" t="s">
        <v>37</v>
      </c>
      <c r="D131">
        <v>51</v>
      </c>
      <c r="E131" t="s">
        <v>18</v>
      </c>
      <c r="F131" t="s">
        <v>19</v>
      </c>
      <c r="G131" t="s">
        <v>28</v>
      </c>
      <c r="H131">
        <v>35000</v>
      </c>
      <c r="I131">
        <v>5</v>
      </c>
      <c r="J131">
        <v>2</v>
      </c>
      <c r="K131">
        <v>2</v>
      </c>
      <c r="L131" t="s">
        <v>21</v>
      </c>
      <c r="M131" t="s">
        <v>21</v>
      </c>
      <c r="N131" t="s">
        <v>22</v>
      </c>
      <c r="O131" t="s">
        <v>75</v>
      </c>
      <c r="P131" t="str">
        <f t="shared" si="10"/>
        <v>50+</v>
      </c>
      <c r="Q131" t="str">
        <f t="shared" si="11"/>
        <v>Low</v>
      </c>
      <c r="R131" t="str">
        <f t="shared" si="12"/>
        <v>Mid-Level</v>
      </c>
      <c r="S131" t="str">
        <f t="shared" si="13"/>
        <v>Needs Improvement</v>
      </c>
      <c r="T131" s="4" t="str">
        <f t="shared" si="14"/>
        <v>Dissatisfied</v>
      </c>
    </row>
    <row r="132" spans="1:20" x14ac:dyDescent="0.3">
      <c r="A132" t="s">
        <v>274</v>
      </c>
      <c r="B132" t="s">
        <v>45</v>
      </c>
      <c r="C132" t="s">
        <v>37</v>
      </c>
      <c r="D132">
        <v>46</v>
      </c>
      <c r="E132" t="s">
        <v>26</v>
      </c>
      <c r="F132" t="s">
        <v>50</v>
      </c>
      <c r="G132" t="s">
        <v>20</v>
      </c>
      <c r="H132">
        <v>100000</v>
      </c>
      <c r="I132">
        <v>20</v>
      </c>
      <c r="J132">
        <v>4</v>
      </c>
      <c r="K132">
        <v>2</v>
      </c>
      <c r="L132" t="s">
        <v>21</v>
      </c>
      <c r="M132" t="s">
        <v>21</v>
      </c>
      <c r="N132" t="s">
        <v>22</v>
      </c>
      <c r="O132" t="s">
        <v>38</v>
      </c>
      <c r="P132" t="str">
        <f t="shared" si="10"/>
        <v>40-49</v>
      </c>
      <c r="Q132" t="str">
        <f t="shared" si="11"/>
        <v>High</v>
      </c>
      <c r="R132" t="str">
        <f t="shared" si="12"/>
        <v>Senior</v>
      </c>
      <c r="S132" t="str">
        <f t="shared" si="13"/>
        <v>High Performer</v>
      </c>
      <c r="T132" s="4" t="str">
        <f t="shared" si="14"/>
        <v>Dissatisfied</v>
      </c>
    </row>
    <row r="133" spans="1:20" x14ac:dyDescent="0.3">
      <c r="A133" t="s">
        <v>275</v>
      </c>
      <c r="B133" t="s">
        <v>201</v>
      </c>
      <c r="C133" t="s">
        <v>37</v>
      </c>
      <c r="D133">
        <v>27</v>
      </c>
      <c r="E133" t="s">
        <v>49</v>
      </c>
      <c r="F133" t="s">
        <v>27</v>
      </c>
      <c r="G133" t="s">
        <v>20</v>
      </c>
      <c r="H133">
        <v>73000</v>
      </c>
      <c r="I133">
        <v>2</v>
      </c>
      <c r="J133">
        <v>5</v>
      </c>
      <c r="K133">
        <v>5</v>
      </c>
      <c r="L133" t="s">
        <v>29</v>
      </c>
      <c r="M133" t="s">
        <v>29</v>
      </c>
      <c r="N133" t="s">
        <v>34</v>
      </c>
      <c r="O133" t="s">
        <v>51</v>
      </c>
      <c r="P133" t="str">
        <f t="shared" si="10"/>
        <v>20-29</v>
      </c>
      <c r="Q133" t="str">
        <f t="shared" si="11"/>
        <v>High</v>
      </c>
      <c r="R133" t="str">
        <f t="shared" si="12"/>
        <v>Junior</v>
      </c>
      <c r="S133" t="str">
        <f t="shared" si="13"/>
        <v>High Performer</v>
      </c>
      <c r="T133" s="4" t="str">
        <f t="shared" si="14"/>
        <v>Satisfied</v>
      </c>
    </row>
    <row r="134" spans="1:20" x14ac:dyDescent="0.3">
      <c r="A134" t="s">
        <v>276</v>
      </c>
      <c r="B134" t="s">
        <v>225</v>
      </c>
      <c r="C134" t="s">
        <v>17</v>
      </c>
      <c r="D134">
        <v>32</v>
      </c>
      <c r="E134" t="s">
        <v>57</v>
      </c>
      <c r="F134" t="s">
        <v>27</v>
      </c>
      <c r="G134" t="s">
        <v>33</v>
      </c>
      <c r="H134">
        <v>102000</v>
      </c>
      <c r="I134">
        <v>11</v>
      </c>
      <c r="J134">
        <v>3</v>
      </c>
      <c r="K134">
        <v>2</v>
      </c>
      <c r="L134" t="s">
        <v>29</v>
      </c>
      <c r="M134" t="s">
        <v>29</v>
      </c>
      <c r="N134" t="s">
        <v>34</v>
      </c>
      <c r="O134" t="s">
        <v>70</v>
      </c>
      <c r="P134" t="str">
        <f t="shared" si="10"/>
        <v>30-39</v>
      </c>
      <c r="Q134" t="str">
        <f t="shared" si="11"/>
        <v>High</v>
      </c>
      <c r="R134" t="str">
        <f t="shared" si="12"/>
        <v>Senior</v>
      </c>
      <c r="S134" t="str">
        <f t="shared" si="13"/>
        <v>Needs Improvement</v>
      </c>
      <c r="T134" s="4" t="str">
        <f t="shared" si="14"/>
        <v>Dissatisfied</v>
      </c>
    </row>
    <row r="135" spans="1:20" x14ac:dyDescent="0.3">
      <c r="A135" t="s">
        <v>277</v>
      </c>
      <c r="B135" t="s">
        <v>278</v>
      </c>
      <c r="C135" t="s">
        <v>37</v>
      </c>
      <c r="D135">
        <v>22</v>
      </c>
      <c r="E135" t="s">
        <v>49</v>
      </c>
      <c r="F135" t="s">
        <v>50</v>
      </c>
      <c r="G135" t="s">
        <v>33</v>
      </c>
      <c r="H135">
        <v>89000</v>
      </c>
      <c r="I135">
        <v>1</v>
      </c>
      <c r="J135">
        <v>2</v>
      </c>
      <c r="K135">
        <v>5</v>
      </c>
      <c r="L135" t="s">
        <v>21</v>
      </c>
      <c r="M135" t="s">
        <v>29</v>
      </c>
      <c r="N135" t="s">
        <v>22</v>
      </c>
      <c r="O135" t="s">
        <v>70</v>
      </c>
      <c r="P135" t="str">
        <f t="shared" si="10"/>
        <v>20-29</v>
      </c>
      <c r="Q135" t="str">
        <f t="shared" si="11"/>
        <v>High</v>
      </c>
      <c r="R135" t="str">
        <f t="shared" si="12"/>
        <v>Junior</v>
      </c>
      <c r="S135" t="str">
        <f t="shared" si="13"/>
        <v>Needs Improvement</v>
      </c>
      <c r="T135" s="4" t="str">
        <f t="shared" si="14"/>
        <v>Satisfied</v>
      </c>
    </row>
    <row r="136" spans="1:20" x14ac:dyDescent="0.3">
      <c r="A136" t="s">
        <v>279</v>
      </c>
      <c r="B136" t="s">
        <v>107</v>
      </c>
      <c r="C136" t="s">
        <v>37</v>
      </c>
      <c r="D136">
        <v>52</v>
      </c>
      <c r="E136" t="s">
        <v>66</v>
      </c>
      <c r="F136" t="s">
        <v>82</v>
      </c>
      <c r="G136" t="s">
        <v>28</v>
      </c>
      <c r="H136">
        <v>108000</v>
      </c>
      <c r="I136">
        <v>8</v>
      </c>
      <c r="J136">
        <v>2</v>
      </c>
      <c r="K136">
        <v>4</v>
      </c>
      <c r="L136" t="s">
        <v>29</v>
      </c>
      <c r="M136" t="s">
        <v>29</v>
      </c>
      <c r="N136" t="s">
        <v>22</v>
      </c>
      <c r="O136" t="s">
        <v>30</v>
      </c>
      <c r="P136" t="str">
        <f t="shared" si="10"/>
        <v>50+</v>
      </c>
      <c r="Q136" t="str">
        <f t="shared" si="11"/>
        <v>High</v>
      </c>
      <c r="R136" t="str">
        <f t="shared" si="12"/>
        <v>Senior</v>
      </c>
      <c r="S136" t="str">
        <f t="shared" si="13"/>
        <v>Needs Improvement</v>
      </c>
      <c r="T136" s="4" t="str">
        <f t="shared" si="14"/>
        <v>Satisfied</v>
      </c>
    </row>
    <row r="137" spans="1:20" x14ac:dyDescent="0.3">
      <c r="A137" t="s">
        <v>280</v>
      </c>
      <c r="B137" t="s">
        <v>217</v>
      </c>
      <c r="C137" t="s">
        <v>37</v>
      </c>
      <c r="D137">
        <v>36</v>
      </c>
      <c r="E137" t="s">
        <v>66</v>
      </c>
      <c r="F137" t="s">
        <v>67</v>
      </c>
      <c r="G137" t="s">
        <v>33</v>
      </c>
      <c r="H137">
        <v>108000</v>
      </c>
      <c r="I137">
        <v>15</v>
      </c>
      <c r="J137">
        <v>4</v>
      </c>
      <c r="K137">
        <v>4</v>
      </c>
      <c r="L137" t="s">
        <v>29</v>
      </c>
      <c r="M137" t="s">
        <v>29</v>
      </c>
      <c r="N137" t="s">
        <v>34</v>
      </c>
      <c r="O137" t="s">
        <v>23</v>
      </c>
      <c r="P137" t="str">
        <f t="shared" si="10"/>
        <v>30-39</v>
      </c>
      <c r="Q137" t="str">
        <f t="shared" si="11"/>
        <v>High</v>
      </c>
      <c r="R137" t="str">
        <f t="shared" si="12"/>
        <v>Senior</v>
      </c>
      <c r="S137" t="str">
        <f t="shared" si="13"/>
        <v>High Performer</v>
      </c>
      <c r="T137" s="4" t="str">
        <f t="shared" si="14"/>
        <v>Satisfied</v>
      </c>
    </row>
    <row r="138" spans="1:20" x14ac:dyDescent="0.3">
      <c r="A138" t="s">
        <v>281</v>
      </c>
      <c r="B138" t="s">
        <v>282</v>
      </c>
      <c r="C138" t="s">
        <v>17</v>
      </c>
      <c r="D138">
        <v>48</v>
      </c>
      <c r="E138" t="s">
        <v>49</v>
      </c>
      <c r="F138" t="s">
        <v>27</v>
      </c>
      <c r="G138" t="s">
        <v>46</v>
      </c>
      <c r="H138">
        <v>60000</v>
      </c>
      <c r="I138">
        <v>18</v>
      </c>
      <c r="J138">
        <v>5</v>
      </c>
      <c r="K138">
        <v>1</v>
      </c>
      <c r="L138" t="s">
        <v>29</v>
      </c>
      <c r="M138" t="s">
        <v>29</v>
      </c>
      <c r="N138" t="s">
        <v>34</v>
      </c>
      <c r="O138" t="s">
        <v>43</v>
      </c>
      <c r="P138" t="str">
        <f t="shared" si="10"/>
        <v>40-49</v>
      </c>
      <c r="Q138" t="str">
        <f t="shared" si="11"/>
        <v>Medium</v>
      </c>
      <c r="R138" t="str">
        <f t="shared" si="12"/>
        <v>Senior</v>
      </c>
      <c r="S138" t="str">
        <f t="shared" si="13"/>
        <v>High Performer</v>
      </c>
      <c r="T138" s="4" t="str">
        <f t="shared" si="14"/>
        <v>Dissatisfied</v>
      </c>
    </row>
    <row r="139" spans="1:20" x14ac:dyDescent="0.3">
      <c r="A139" t="s">
        <v>283</v>
      </c>
      <c r="B139" t="s">
        <v>284</v>
      </c>
      <c r="C139" t="s">
        <v>37</v>
      </c>
      <c r="D139">
        <v>55</v>
      </c>
      <c r="E139" t="s">
        <v>57</v>
      </c>
      <c r="F139" t="s">
        <v>50</v>
      </c>
      <c r="G139" t="s">
        <v>33</v>
      </c>
      <c r="H139">
        <v>39000</v>
      </c>
      <c r="I139">
        <v>14</v>
      </c>
      <c r="J139">
        <v>5</v>
      </c>
      <c r="K139">
        <v>5</v>
      </c>
      <c r="L139" t="s">
        <v>21</v>
      </c>
      <c r="M139" t="s">
        <v>29</v>
      </c>
      <c r="N139" t="s">
        <v>34</v>
      </c>
      <c r="O139" t="s">
        <v>43</v>
      </c>
      <c r="P139" t="str">
        <f t="shared" si="10"/>
        <v>50+</v>
      </c>
      <c r="Q139" t="str">
        <f t="shared" si="11"/>
        <v>Low</v>
      </c>
      <c r="R139" t="str">
        <f t="shared" si="12"/>
        <v>Senior</v>
      </c>
      <c r="S139" t="str">
        <f t="shared" si="13"/>
        <v>High Performer</v>
      </c>
      <c r="T139" s="4" t="str">
        <f t="shared" si="14"/>
        <v>Satisfied</v>
      </c>
    </row>
    <row r="140" spans="1:20" x14ac:dyDescent="0.3">
      <c r="A140" t="s">
        <v>285</v>
      </c>
      <c r="B140" t="s">
        <v>261</v>
      </c>
      <c r="C140" t="s">
        <v>37</v>
      </c>
      <c r="D140">
        <v>54</v>
      </c>
      <c r="E140" t="s">
        <v>26</v>
      </c>
      <c r="F140" t="s">
        <v>27</v>
      </c>
      <c r="G140" t="s">
        <v>20</v>
      </c>
      <c r="H140">
        <v>33000</v>
      </c>
      <c r="I140">
        <v>11</v>
      </c>
      <c r="J140">
        <v>5</v>
      </c>
      <c r="K140">
        <v>1</v>
      </c>
      <c r="L140" t="s">
        <v>21</v>
      </c>
      <c r="M140" t="s">
        <v>29</v>
      </c>
      <c r="N140" t="s">
        <v>34</v>
      </c>
      <c r="O140" t="s">
        <v>30</v>
      </c>
      <c r="P140" t="str">
        <f t="shared" si="10"/>
        <v>50+</v>
      </c>
      <c r="Q140" t="str">
        <f t="shared" si="11"/>
        <v>Low</v>
      </c>
      <c r="R140" t="str">
        <f t="shared" si="12"/>
        <v>Senior</v>
      </c>
      <c r="S140" t="str">
        <f t="shared" si="13"/>
        <v>High Performer</v>
      </c>
      <c r="T140" s="4" t="str">
        <f t="shared" si="14"/>
        <v>Dissatisfied</v>
      </c>
    </row>
    <row r="141" spans="1:20" x14ac:dyDescent="0.3">
      <c r="A141" t="s">
        <v>286</v>
      </c>
      <c r="B141" t="s">
        <v>194</v>
      </c>
      <c r="C141" t="s">
        <v>17</v>
      </c>
      <c r="D141">
        <v>24</v>
      </c>
      <c r="E141" t="s">
        <v>66</v>
      </c>
      <c r="F141" t="s">
        <v>82</v>
      </c>
      <c r="G141" t="s">
        <v>33</v>
      </c>
      <c r="H141">
        <v>96000</v>
      </c>
      <c r="I141">
        <v>3</v>
      </c>
      <c r="J141">
        <v>2</v>
      </c>
      <c r="K141">
        <v>4</v>
      </c>
      <c r="L141" t="s">
        <v>29</v>
      </c>
      <c r="M141" t="s">
        <v>29</v>
      </c>
      <c r="N141" t="s">
        <v>34</v>
      </c>
      <c r="O141" t="s">
        <v>23</v>
      </c>
      <c r="P141" t="str">
        <f t="shared" si="10"/>
        <v>20-29</v>
      </c>
      <c r="Q141" t="str">
        <f t="shared" si="11"/>
        <v>High</v>
      </c>
      <c r="R141" t="str">
        <f t="shared" si="12"/>
        <v>Mid-Level</v>
      </c>
      <c r="S141" t="str">
        <f t="shared" si="13"/>
        <v>Needs Improvement</v>
      </c>
      <c r="T141" s="4" t="str">
        <f t="shared" si="14"/>
        <v>Satisfied</v>
      </c>
    </row>
    <row r="142" spans="1:20" x14ac:dyDescent="0.3">
      <c r="A142" t="s">
        <v>287</v>
      </c>
      <c r="B142" t="s">
        <v>217</v>
      </c>
      <c r="C142" t="s">
        <v>17</v>
      </c>
      <c r="D142">
        <v>30</v>
      </c>
      <c r="E142" t="s">
        <v>26</v>
      </c>
      <c r="F142" t="s">
        <v>50</v>
      </c>
      <c r="G142" t="s">
        <v>20</v>
      </c>
      <c r="H142">
        <v>93000</v>
      </c>
      <c r="I142">
        <v>9</v>
      </c>
      <c r="J142">
        <v>2</v>
      </c>
      <c r="K142">
        <v>1</v>
      </c>
      <c r="L142" t="s">
        <v>21</v>
      </c>
      <c r="M142" t="s">
        <v>29</v>
      </c>
      <c r="N142" t="s">
        <v>34</v>
      </c>
      <c r="O142" t="s">
        <v>70</v>
      </c>
      <c r="P142" t="str">
        <f t="shared" si="10"/>
        <v>30-39</v>
      </c>
      <c r="Q142" t="str">
        <f t="shared" si="11"/>
        <v>High</v>
      </c>
      <c r="R142" t="str">
        <f t="shared" si="12"/>
        <v>Senior</v>
      </c>
      <c r="S142" t="str">
        <f t="shared" si="13"/>
        <v>Needs Improvement</v>
      </c>
      <c r="T142" s="4" t="str">
        <f t="shared" si="14"/>
        <v>Dissatisfied</v>
      </c>
    </row>
    <row r="143" spans="1:20" x14ac:dyDescent="0.3">
      <c r="A143" t="s">
        <v>288</v>
      </c>
      <c r="B143" t="s">
        <v>191</v>
      </c>
      <c r="C143" t="s">
        <v>17</v>
      </c>
      <c r="D143">
        <v>52</v>
      </c>
      <c r="E143" t="s">
        <v>26</v>
      </c>
      <c r="F143" t="s">
        <v>27</v>
      </c>
      <c r="G143" t="s">
        <v>33</v>
      </c>
      <c r="H143">
        <v>106000</v>
      </c>
      <c r="I143">
        <v>9</v>
      </c>
      <c r="J143">
        <v>2</v>
      </c>
      <c r="K143">
        <v>5</v>
      </c>
      <c r="L143" t="s">
        <v>29</v>
      </c>
      <c r="M143" t="s">
        <v>29</v>
      </c>
      <c r="N143" t="s">
        <v>22</v>
      </c>
      <c r="O143" t="s">
        <v>51</v>
      </c>
      <c r="P143" t="str">
        <f t="shared" si="10"/>
        <v>50+</v>
      </c>
      <c r="Q143" t="str">
        <f t="shared" si="11"/>
        <v>High</v>
      </c>
      <c r="R143" t="str">
        <f t="shared" si="12"/>
        <v>Senior</v>
      </c>
      <c r="S143" t="str">
        <f t="shared" si="13"/>
        <v>Needs Improvement</v>
      </c>
      <c r="T143" s="4" t="str">
        <f t="shared" si="14"/>
        <v>Satisfied</v>
      </c>
    </row>
    <row r="144" spans="1:20" x14ac:dyDescent="0.3">
      <c r="A144" t="s">
        <v>289</v>
      </c>
      <c r="B144" t="s">
        <v>210</v>
      </c>
      <c r="C144" t="s">
        <v>17</v>
      </c>
      <c r="D144">
        <v>34</v>
      </c>
      <c r="E144" t="s">
        <v>57</v>
      </c>
      <c r="F144" t="s">
        <v>27</v>
      </c>
      <c r="G144" t="s">
        <v>20</v>
      </c>
      <c r="H144">
        <v>40000</v>
      </c>
      <c r="I144">
        <v>2</v>
      </c>
      <c r="J144">
        <v>4</v>
      </c>
      <c r="K144">
        <v>1</v>
      </c>
      <c r="L144" t="s">
        <v>29</v>
      </c>
      <c r="M144" t="s">
        <v>29</v>
      </c>
      <c r="N144" t="s">
        <v>22</v>
      </c>
      <c r="O144" t="s">
        <v>30</v>
      </c>
      <c r="P144" t="str">
        <f t="shared" si="10"/>
        <v>30-39</v>
      </c>
      <c r="Q144" t="str">
        <f t="shared" si="11"/>
        <v>Medium</v>
      </c>
      <c r="R144" t="str">
        <f t="shared" si="12"/>
        <v>Junior</v>
      </c>
      <c r="S144" t="str">
        <f t="shared" si="13"/>
        <v>High Performer</v>
      </c>
      <c r="T144" s="4" t="str">
        <f t="shared" si="14"/>
        <v>Dissatisfied</v>
      </c>
    </row>
    <row r="145" spans="1:20" x14ac:dyDescent="0.3">
      <c r="A145" t="s">
        <v>290</v>
      </c>
      <c r="B145" t="s">
        <v>79</v>
      </c>
      <c r="C145" t="s">
        <v>17</v>
      </c>
      <c r="D145">
        <v>44</v>
      </c>
      <c r="E145" t="s">
        <v>49</v>
      </c>
      <c r="F145" t="s">
        <v>50</v>
      </c>
      <c r="G145" t="s">
        <v>20</v>
      </c>
      <c r="H145">
        <v>76000</v>
      </c>
      <c r="I145">
        <v>7</v>
      </c>
      <c r="J145">
        <v>3</v>
      </c>
      <c r="K145">
        <v>5</v>
      </c>
      <c r="L145" t="s">
        <v>29</v>
      </c>
      <c r="M145" t="s">
        <v>29</v>
      </c>
      <c r="N145" t="s">
        <v>22</v>
      </c>
      <c r="O145" t="s">
        <v>30</v>
      </c>
      <c r="P145" t="str">
        <f t="shared" si="10"/>
        <v>40-49</v>
      </c>
      <c r="Q145" t="str">
        <f t="shared" si="11"/>
        <v>High</v>
      </c>
      <c r="R145" t="str">
        <f t="shared" si="12"/>
        <v>Senior</v>
      </c>
      <c r="S145" t="str">
        <f t="shared" si="13"/>
        <v>Needs Improvement</v>
      </c>
      <c r="T145" s="4" t="str">
        <f t="shared" si="14"/>
        <v>Satisfied</v>
      </c>
    </row>
    <row r="146" spans="1:20" x14ac:dyDescent="0.3">
      <c r="A146" t="s">
        <v>291</v>
      </c>
      <c r="B146" t="s">
        <v>292</v>
      </c>
      <c r="C146" t="s">
        <v>17</v>
      </c>
      <c r="D146">
        <v>45</v>
      </c>
      <c r="E146" t="s">
        <v>26</v>
      </c>
      <c r="F146" t="s">
        <v>27</v>
      </c>
      <c r="G146" t="s">
        <v>28</v>
      </c>
      <c r="H146">
        <v>40000</v>
      </c>
      <c r="I146">
        <v>6</v>
      </c>
      <c r="J146">
        <v>4</v>
      </c>
      <c r="K146">
        <v>2</v>
      </c>
      <c r="L146" t="s">
        <v>29</v>
      </c>
      <c r="M146" t="s">
        <v>29</v>
      </c>
      <c r="N146" t="s">
        <v>34</v>
      </c>
      <c r="O146" t="s">
        <v>75</v>
      </c>
      <c r="P146" t="str">
        <f t="shared" si="10"/>
        <v>40-49</v>
      </c>
      <c r="Q146" t="str">
        <f t="shared" si="11"/>
        <v>Medium</v>
      </c>
      <c r="R146" t="str">
        <f t="shared" si="12"/>
        <v>Mid-Level</v>
      </c>
      <c r="S146" t="str">
        <f t="shared" si="13"/>
        <v>High Performer</v>
      </c>
      <c r="T146" s="4" t="str">
        <f t="shared" si="14"/>
        <v>Dissatisfied</v>
      </c>
    </row>
    <row r="147" spans="1:20" x14ac:dyDescent="0.3">
      <c r="A147" t="s">
        <v>293</v>
      </c>
      <c r="B147" t="s">
        <v>263</v>
      </c>
      <c r="C147" t="s">
        <v>37</v>
      </c>
      <c r="D147">
        <v>43</v>
      </c>
      <c r="E147" t="s">
        <v>57</v>
      </c>
      <c r="F147" t="s">
        <v>27</v>
      </c>
      <c r="G147" t="s">
        <v>46</v>
      </c>
      <c r="H147">
        <v>35000</v>
      </c>
      <c r="I147">
        <v>4</v>
      </c>
      <c r="J147">
        <v>3</v>
      </c>
      <c r="K147">
        <v>2</v>
      </c>
      <c r="L147" t="s">
        <v>21</v>
      </c>
      <c r="M147" t="s">
        <v>21</v>
      </c>
      <c r="N147" t="s">
        <v>34</v>
      </c>
      <c r="O147" t="s">
        <v>43</v>
      </c>
      <c r="P147" t="str">
        <f t="shared" si="10"/>
        <v>40-49</v>
      </c>
      <c r="Q147" t="str">
        <f t="shared" si="11"/>
        <v>Low</v>
      </c>
      <c r="R147" t="str">
        <f t="shared" si="12"/>
        <v>Mid-Level</v>
      </c>
      <c r="S147" t="str">
        <f t="shared" si="13"/>
        <v>Needs Improvement</v>
      </c>
      <c r="T147" s="4" t="str">
        <f t="shared" si="14"/>
        <v>Dissatisfied</v>
      </c>
    </row>
    <row r="148" spans="1:20" x14ac:dyDescent="0.3">
      <c r="A148" t="s">
        <v>294</v>
      </c>
      <c r="B148" t="s">
        <v>295</v>
      </c>
      <c r="C148" t="s">
        <v>37</v>
      </c>
      <c r="D148">
        <v>29</v>
      </c>
      <c r="E148" t="s">
        <v>26</v>
      </c>
      <c r="F148" t="s">
        <v>27</v>
      </c>
      <c r="G148" t="s">
        <v>20</v>
      </c>
      <c r="H148">
        <v>38000</v>
      </c>
      <c r="I148">
        <v>8</v>
      </c>
      <c r="J148">
        <v>3</v>
      </c>
      <c r="K148">
        <v>4</v>
      </c>
      <c r="L148" t="s">
        <v>21</v>
      </c>
      <c r="M148" t="s">
        <v>29</v>
      </c>
      <c r="N148" t="s">
        <v>34</v>
      </c>
      <c r="O148" t="s">
        <v>43</v>
      </c>
      <c r="P148" t="str">
        <f t="shared" si="10"/>
        <v>20-29</v>
      </c>
      <c r="Q148" t="str">
        <f t="shared" si="11"/>
        <v>Low</v>
      </c>
      <c r="R148" t="str">
        <f t="shared" si="12"/>
        <v>Senior</v>
      </c>
      <c r="S148" t="str">
        <f t="shared" si="13"/>
        <v>Needs Improvement</v>
      </c>
      <c r="T148" s="4" t="str">
        <f t="shared" si="14"/>
        <v>Satisfied</v>
      </c>
    </row>
    <row r="149" spans="1:20" x14ac:dyDescent="0.3">
      <c r="A149" t="s">
        <v>296</v>
      </c>
      <c r="B149" t="s">
        <v>297</v>
      </c>
      <c r="C149" t="s">
        <v>17</v>
      </c>
      <c r="D149">
        <v>26</v>
      </c>
      <c r="E149" t="s">
        <v>41</v>
      </c>
      <c r="F149" t="s">
        <v>73</v>
      </c>
      <c r="G149" t="s">
        <v>20</v>
      </c>
      <c r="H149">
        <v>28000</v>
      </c>
      <c r="I149">
        <v>5</v>
      </c>
      <c r="J149">
        <v>2</v>
      </c>
      <c r="K149">
        <v>1</v>
      </c>
      <c r="L149" t="s">
        <v>21</v>
      </c>
      <c r="M149" t="s">
        <v>29</v>
      </c>
      <c r="N149" t="s">
        <v>22</v>
      </c>
      <c r="O149" t="s">
        <v>38</v>
      </c>
      <c r="P149" t="str">
        <f t="shared" si="10"/>
        <v>20-29</v>
      </c>
      <c r="Q149" t="str">
        <f t="shared" si="11"/>
        <v>Low</v>
      </c>
      <c r="R149" t="str">
        <f t="shared" si="12"/>
        <v>Mid-Level</v>
      </c>
      <c r="S149" t="str">
        <f t="shared" si="13"/>
        <v>Needs Improvement</v>
      </c>
      <c r="T149" s="4" t="str">
        <f t="shared" si="14"/>
        <v>Dissatisfied</v>
      </c>
    </row>
    <row r="150" spans="1:20" x14ac:dyDescent="0.3">
      <c r="A150" t="s">
        <v>298</v>
      </c>
      <c r="B150" t="s">
        <v>263</v>
      </c>
      <c r="C150" t="s">
        <v>37</v>
      </c>
      <c r="D150">
        <v>36</v>
      </c>
      <c r="E150" t="s">
        <v>18</v>
      </c>
      <c r="F150" t="s">
        <v>19</v>
      </c>
      <c r="G150" t="s">
        <v>46</v>
      </c>
      <c r="H150">
        <v>86000</v>
      </c>
      <c r="I150">
        <v>13</v>
      </c>
      <c r="J150">
        <v>4</v>
      </c>
      <c r="K150">
        <v>1</v>
      </c>
      <c r="L150" t="s">
        <v>29</v>
      </c>
      <c r="M150" t="s">
        <v>29</v>
      </c>
      <c r="N150" t="s">
        <v>22</v>
      </c>
      <c r="O150" t="s">
        <v>23</v>
      </c>
      <c r="P150" t="str">
        <f t="shared" si="10"/>
        <v>30-39</v>
      </c>
      <c r="Q150" t="str">
        <f t="shared" si="11"/>
        <v>High</v>
      </c>
      <c r="R150" t="str">
        <f t="shared" si="12"/>
        <v>Senior</v>
      </c>
      <c r="S150" t="str">
        <f t="shared" si="13"/>
        <v>High Performer</v>
      </c>
      <c r="T150" s="4" t="str">
        <f t="shared" si="14"/>
        <v>Dissatisfied</v>
      </c>
    </row>
    <row r="151" spans="1:20" x14ac:dyDescent="0.3">
      <c r="A151" t="s">
        <v>299</v>
      </c>
      <c r="B151" t="s">
        <v>300</v>
      </c>
      <c r="C151" t="s">
        <v>37</v>
      </c>
      <c r="D151">
        <v>53</v>
      </c>
      <c r="E151" t="s">
        <v>26</v>
      </c>
      <c r="F151" t="s">
        <v>27</v>
      </c>
      <c r="G151" t="s">
        <v>28</v>
      </c>
      <c r="H151">
        <v>62000</v>
      </c>
      <c r="I151">
        <v>1</v>
      </c>
      <c r="J151">
        <v>4</v>
      </c>
      <c r="K151">
        <v>2</v>
      </c>
      <c r="L151" t="s">
        <v>29</v>
      </c>
      <c r="M151" t="s">
        <v>29</v>
      </c>
      <c r="N151" t="s">
        <v>34</v>
      </c>
      <c r="O151" t="s">
        <v>38</v>
      </c>
      <c r="P151" t="str">
        <f t="shared" si="10"/>
        <v>50+</v>
      </c>
      <c r="Q151" t="str">
        <f t="shared" si="11"/>
        <v>Medium</v>
      </c>
      <c r="R151" t="str">
        <f t="shared" si="12"/>
        <v>Junior</v>
      </c>
      <c r="S151" t="str">
        <f t="shared" si="13"/>
        <v>High Performer</v>
      </c>
      <c r="T151" s="4" t="str">
        <f t="shared" si="14"/>
        <v>Dissatisfied</v>
      </c>
    </row>
    <row r="152" spans="1:20" x14ac:dyDescent="0.3">
      <c r="A152" t="s">
        <v>301</v>
      </c>
      <c r="B152" t="s">
        <v>302</v>
      </c>
      <c r="C152" t="s">
        <v>17</v>
      </c>
      <c r="D152">
        <v>55</v>
      </c>
      <c r="E152" t="s">
        <v>49</v>
      </c>
      <c r="F152" t="s">
        <v>27</v>
      </c>
      <c r="G152" t="s">
        <v>28</v>
      </c>
      <c r="H152">
        <v>78000</v>
      </c>
      <c r="I152">
        <v>13</v>
      </c>
      <c r="J152">
        <v>3</v>
      </c>
      <c r="K152">
        <v>3</v>
      </c>
      <c r="L152" t="s">
        <v>29</v>
      </c>
      <c r="M152" t="s">
        <v>29</v>
      </c>
      <c r="N152" t="s">
        <v>22</v>
      </c>
      <c r="O152" t="s">
        <v>54</v>
      </c>
      <c r="P152" t="str">
        <f t="shared" si="10"/>
        <v>50+</v>
      </c>
      <c r="Q152" t="str">
        <f t="shared" si="11"/>
        <v>High</v>
      </c>
      <c r="R152" t="str">
        <f t="shared" si="12"/>
        <v>Senior</v>
      </c>
      <c r="S152" t="str">
        <f t="shared" si="13"/>
        <v>Needs Improvement</v>
      </c>
      <c r="T152" s="4" t="str">
        <f t="shared" si="14"/>
        <v>Neutral</v>
      </c>
    </row>
    <row r="153" spans="1:20" x14ac:dyDescent="0.3">
      <c r="A153" t="s">
        <v>303</v>
      </c>
      <c r="B153" t="s">
        <v>240</v>
      </c>
      <c r="C153" t="s">
        <v>17</v>
      </c>
      <c r="D153">
        <v>43</v>
      </c>
      <c r="E153" t="s">
        <v>26</v>
      </c>
      <c r="F153" t="s">
        <v>50</v>
      </c>
      <c r="G153" t="s">
        <v>46</v>
      </c>
      <c r="H153">
        <v>44000</v>
      </c>
      <c r="I153">
        <v>19</v>
      </c>
      <c r="J153">
        <v>2</v>
      </c>
      <c r="K153">
        <v>5</v>
      </c>
      <c r="L153" t="s">
        <v>29</v>
      </c>
      <c r="M153" t="s">
        <v>29</v>
      </c>
      <c r="N153" t="s">
        <v>34</v>
      </c>
      <c r="O153" t="s">
        <v>38</v>
      </c>
      <c r="P153" t="str">
        <f t="shared" si="10"/>
        <v>40-49</v>
      </c>
      <c r="Q153" t="str">
        <f t="shared" si="11"/>
        <v>Medium</v>
      </c>
      <c r="R153" t="str">
        <f t="shared" si="12"/>
        <v>Senior</v>
      </c>
      <c r="S153" t="str">
        <f t="shared" si="13"/>
        <v>Needs Improvement</v>
      </c>
      <c r="T153" s="4" t="str">
        <f t="shared" si="14"/>
        <v>Satisfied</v>
      </c>
    </row>
    <row r="154" spans="1:20" x14ac:dyDescent="0.3">
      <c r="A154" t="s">
        <v>304</v>
      </c>
      <c r="B154" t="s">
        <v>210</v>
      </c>
      <c r="C154" t="s">
        <v>37</v>
      </c>
      <c r="D154">
        <v>31</v>
      </c>
      <c r="E154" t="s">
        <v>26</v>
      </c>
      <c r="F154" t="s">
        <v>27</v>
      </c>
      <c r="G154" t="s">
        <v>20</v>
      </c>
      <c r="H154">
        <v>30000</v>
      </c>
      <c r="I154">
        <v>10</v>
      </c>
      <c r="J154">
        <v>2</v>
      </c>
      <c r="K154">
        <v>5</v>
      </c>
      <c r="L154" t="s">
        <v>29</v>
      </c>
      <c r="M154" t="s">
        <v>29</v>
      </c>
      <c r="N154" t="s">
        <v>34</v>
      </c>
      <c r="O154" t="s">
        <v>75</v>
      </c>
      <c r="P154" t="str">
        <f t="shared" si="10"/>
        <v>30-39</v>
      </c>
      <c r="Q154" t="str">
        <f t="shared" si="11"/>
        <v>Low</v>
      </c>
      <c r="R154" t="str">
        <f t="shared" si="12"/>
        <v>Senior</v>
      </c>
      <c r="S154" t="str">
        <f t="shared" si="13"/>
        <v>Needs Improvement</v>
      </c>
      <c r="T154" s="4" t="str">
        <f t="shared" si="14"/>
        <v>Satisfied</v>
      </c>
    </row>
    <row r="155" spans="1:20" x14ac:dyDescent="0.3">
      <c r="A155" t="s">
        <v>305</v>
      </c>
      <c r="B155" t="s">
        <v>306</v>
      </c>
      <c r="C155" t="s">
        <v>37</v>
      </c>
      <c r="D155">
        <v>35</v>
      </c>
      <c r="E155" t="s">
        <v>18</v>
      </c>
      <c r="F155" t="s">
        <v>126</v>
      </c>
      <c r="G155" t="s">
        <v>20</v>
      </c>
      <c r="H155">
        <v>114000</v>
      </c>
      <c r="I155">
        <v>4</v>
      </c>
      <c r="J155">
        <v>3</v>
      </c>
      <c r="K155">
        <v>1</v>
      </c>
      <c r="L155" t="s">
        <v>21</v>
      </c>
      <c r="M155" t="s">
        <v>21</v>
      </c>
      <c r="N155" t="s">
        <v>22</v>
      </c>
      <c r="O155" t="s">
        <v>54</v>
      </c>
      <c r="P155" t="str">
        <f t="shared" si="10"/>
        <v>30-39</v>
      </c>
      <c r="Q155" t="str">
        <f t="shared" si="11"/>
        <v>High</v>
      </c>
      <c r="R155" t="str">
        <f t="shared" si="12"/>
        <v>Mid-Level</v>
      </c>
      <c r="S155" t="str">
        <f t="shared" si="13"/>
        <v>Needs Improvement</v>
      </c>
      <c r="T155" s="4" t="str">
        <f t="shared" si="14"/>
        <v>Dissatisfied</v>
      </c>
    </row>
    <row r="156" spans="1:20" x14ac:dyDescent="0.3">
      <c r="A156" t="s">
        <v>307</v>
      </c>
      <c r="B156" t="s">
        <v>308</v>
      </c>
      <c r="C156" t="s">
        <v>37</v>
      </c>
      <c r="D156">
        <v>25</v>
      </c>
      <c r="E156" t="s">
        <v>18</v>
      </c>
      <c r="F156" t="s">
        <v>19</v>
      </c>
      <c r="G156" t="s">
        <v>33</v>
      </c>
      <c r="H156">
        <v>96000</v>
      </c>
      <c r="I156">
        <v>4</v>
      </c>
      <c r="J156">
        <v>4</v>
      </c>
      <c r="K156">
        <v>2</v>
      </c>
      <c r="L156" t="s">
        <v>21</v>
      </c>
      <c r="M156" t="s">
        <v>29</v>
      </c>
      <c r="N156" t="s">
        <v>22</v>
      </c>
      <c r="O156" t="s">
        <v>38</v>
      </c>
      <c r="P156" t="str">
        <f t="shared" si="10"/>
        <v>20-29</v>
      </c>
      <c r="Q156" t="str">
        <f t="shared" si="11"/>
        <v>High</v>
      </c>
      <c r="R156" t="str">
        <f t="shared" si="12"/>
        <v>Mid-Level</v>
      </c>
      <c r="S156" t="str">
        <f t="shared" si="13"/>
        <v>High Performer</v>
      </c>
      <c r="T156" s="4" t="str">
        <f t="shared" si="14"/>
        <v>Dissatisfied</v>
      </c>
    </row>
    <row r="157" spans="1:20" x14ac:dyDescent="0.3">
      <c r="A157" t="s">
        <v>309</v>
      </c>
      <c r="B157" t="s">
        <v>308</v>
      </c>
      <c r="C157" t="s">
        <v>37</v>
      </c>
      <c r="D157">
        <v>24</v>
      </c>
      <c r="E157" t="s">
        <v>26</v>
      </c>
      <c r="F157" t="s">
        <v>27</v>
      </c>
      <c r="G157" t="s">
        <v>33</v>
      </c>
      <c r="H157">
        <v>88000</v>
      </c>
      <c r="I157">
        <v>3</v>
      </c>
      <c r="J157">
        <v>5</v>
      </c>
      <c r="K157">
        <v>4</v>
      </c>
      <c r="L157" t="s">
        <v>29</v>
      </c>
      <c r="M157" t="s">
        <v>29</v>
      </c>
      <c r="N157" t="s">
        <v>34</v>
      </c>
      <c r="O157" t="s">
        <v>54</v>
      </c>
      <c r="P157" t="str">
        <f t="shared" si="10"/>
        <v>20-29</v>
      </c>
      <c r="Q157" t="str">
        <f t="shared" si="11"/>
        <v>High</v>
      </c>
      <c r="R157" t="str">
        <f t="shared" si="12"/>
        <v>Mid-Level</v>
      </c>
      <c r="S157" t="str">
        <f t="shared" si="13"/>
        <v>High Performer</v>
      </c>
      <c r="T157" s="4" t="str">
        <f t="shared" si="14"/>
        <v>Satisfied</v>
      </c>
    </row>
    <row r="158" spans="1:20" x14ac:dyDescent="0.3">
      <c r="A158" t="s">
        <v>310</v>
      </c>
      <c r="B158" t="s">
        <v>263</v>
      </c>
      <c r="C158" t="s">
        <v>17</v>
      </c>
      <c r="D158">
        <v>44</v>
      </c>
      <c r="E158" t="s">
        <v>57</v>
      </c>
      <c r="F158" t="s">
        <v>27</v>
      </c>
      <c r="G158" t="s">
        <v>46</v>
      </c>
      <c r="H158">
        <v>104000</v>
      </c>
      <c r="I158">
        <v>14</v>
      </c>
      <c r="J158">
        <v>5</v>
      </c>
      <c r="K158">
        <v>2</v>
      </c>
      <c r="L158" t="s">
        <v>21</v>
      </c>
      <c r="M158" t="s">
        <v>21</v>
      </c>
      <c r="N158" t="s">
        <v>22</v>
      </c>
      <c r="O158" t="s">
        <v>23</v>
      </c>
      <c r="P158" t="str">
        <f t="shared" si="10"/>
        <v>40-49</v>
      </c>
      <c r="Q158" t="str">
        <f t="shared" si="11"/>
        <v>High</v>
      </c>
      <c r="R158" t="str">
        <f t="shared" si="12"/>
        <v>Senior</v>
      </c>
      <c r="S158" t="str">
        <f t="shared" si="13"/>
        <v>High Performer</v>
      </c>
      <c r="T158" s="4" t="str">
        <f t="shared" si="14"/>
        <v>Dissatisfied</v>
      </c>
    </row>
    <row r="159" spans="1:20" x14ac:dyDescent="0.3">
      <c r="A159" t="s">
        <v>311</v>
      </c>
      <c r="B159" t="s">
        <v>172</v>
      </c>
      <c r="C159" t="s">
        <v>17</v>
      </c>
      <c r="D159">
        <v>45</v>
      </c>
      <c r="E159" t="s">
        <v>57</v>
      </c>
      <c r="F159" t="s">
        <v>27</v>
      </c>
      <c r="G159" t="s">
        <v>28</v>
      </c>
      <c r="H159">
        <v>82000</v>
      </c>
      <c r="I159">
        <v>9</v>
      </c>
      <c r="J159">
        <v>3</v>
      </c>
      <c r="K159">
        <v>4</v>
      </c>
      <c r="L159" t="s">
        <v>29</v>
      </c>
      <c r="M159" t="s">
        <v>29</v>
      </c>
      <c r="N159" t="s">
        <v>22</v>
      </c>
      <c r="O159" t="s">
        <v>43</v>
      </c>
      <c r="P159" t="str">
        <f t="shared" si="10"/>
        <v>40-49</v>
      </c>
      <c r="Q159" t="str">
        <f t="shared" si="11"/>
        <v>High</v>
      </c>
      <c r="R159" t="str">
        <f t="shared" si="12"/>
        <v>Senior</v>
      </c>
      <c r="S159" t="str">
        <f t="shared" si="13"/>
        <v>Needs Improvement</v>
      </c>
      <c r="T159" s="4" t="str">
        <f t="shared" si="14"/>
        <v>Satisfied</v>
      </c>
    </row>
    <row r="160" spans="1:20" x14ac:dyDescent="0.3">
      <c r="A160" t="s">
        <v>312</v>
      </c>
      <c r="B160" t="s">
        <v>92</v>
      </c>
      <c r="C160" t="s">
        <v>17</v>
      </c>
      <c r="D160">
        <v>25</v>
      </c>
      <c r="E160" t="s">
        <v>49</v>
      </c>
      <c r="F160" t="s">
        <v>50</v>
      </c>
      <c r="G160" t="s">
        <v>46</v>
      </c>
      <c r="H160">
        <v>120000</v>
      </c>
      <c r="I160">
        <v>4</v>
      </c>
      <c r="J160">
        <v>5</v>
      </c>
      <c r="K160">
        <v>5</v>
      </c>
      <c r="L160" t="s">
        <v>21</v>
      </c>
      <c r="M160" t="s">
        <v>29</v>
      </c>
      <c r="N160" t="s">
        <v>22</v>
      </c>
      <c r="O160" t="s">
        <v>38</v>
      </c>
      <c r="P160" t="str">
        <f t="shared" si="10"/>
        <v>20-29</v>
      </c>
      <c r="Q160" t="str">
        <f t="shared" si="11"/>
        <v>High</v>
      </c>
      <c r="R160" t="str">
        <f t="shared" si="12"/>
        <v>Mid-Level</v>
      </c>
      <c r="S160" t="str">
        <f t="shared" si="13"/>
        <v>High Performer</v>
      </c>
      <c r="T160" s="4" t="str">
        <f t="shared" si="14"/>
        <v>Satisfied</v>
      </c>
    </row>
    <row r="161" spans="1:20" x14ac:dyDescent="0.3">
      <c r="A161" t="s">
        <v>313</v>
      </c>
      <c r="B161" t="s">
        <v>314</v>
      </c>
      <c r="C161" t="s">
        <v>37</v>
      </c>
      <c r="D161">
        <v>35</v>
      </c>
      <c r="E161" t="s">
        <v>49</v>
      </c>
      <c r="F161" t="s">
        <v>50</v>
      </c>
      <c r="G161" t="s">
        <v>46</v>
      </c>
      <c r="H161">
        <v>56000</v>
      </c>
      <c r="I161">
        <v>14</v>
      </c>
      <c r="J161">
        <v>5</v>
      </c>
      <c r="K161">
        <v>3</v>
      </c>
      <c r="L161" t="s">
        <v>29</v>
      </c>
      <c r="M161" t="s">
        <v>29</v>
      </c>
      <c r="N161" t="s">
        <v>34</v>
      </c>
      <c r="O161" t="s">
        <v>23</v>
      </c>
      <c r="P161" t="str">
        <f t="shared" si="10"/>
        <v>30-39</v>
      </c>
      <c r="Q161" t="str">
        <f t="shared" si="11"/>
        <v>Medium</v>
      </c>
      <c r="R161" t="str">
        <f t="shared" si="12"/>
        <v>Senior</v>
      </c>
      <c r="S161" t="str">
        <f t="shared" si="13"/>
        <v>High Performer</v>
      </c>
      <c r="T161" s="4" t="str">
        <f t="shared" si="14"/>
        <v>Neutral</v>
      </c>
    </row>
    <row r="162" spans="1:20" x14ac:dyDescent="0.3">
      <c r="A162" t="s">
        <v>315</v>
      </c>
      <c r="B162" t="s">
        <v>229</v>
      </c>
      <c r="C162" t="s">
        <v>37</v>
      </c>
      <c r="D162">
        <v>44</v>
      </c>
      <c r="E162" t="s">
        <v>26</v>
      </c>
      <c r="F162" t="s">
        <v>27</v>
      </c>
      <c r="G162" t="s">
        <v>46</v>
      </c>
      <c r="H162">
        <v>115000</v>
      </c>
      <c r="I162">
        <v>19</v>
      </c>
      <c r="J162">
        <v>5</v>
      </c>
      <c r="K162">
        <v>2</v>
      </c>
      <c r="L162" t="s">
        <v>21</v>
      </c>
      <c r="M162" t="s">
        <v>21</v>
      </c>
      <c r="N162" t="s">
        <v>22</v>
      </c>
      <c r="O162" t="s">
        <v>75</v>
      </c>
      <c r="P162" t="str">
        <f t="shared" si="10"/>
        <v>40-49</v>
      </c>
      <c r="Q162" t="str">
        <f t="shared" si="11"/>
        <v>High</v>
      </c>
      <c r="R162" t="str">
        <f t="shared" si="12"/>
        <v>Senior</v>
      </c>
      <c r="S162" t="str">
        <f t="shared" si="13"/>
        <v>High Performer</v>
      </c>
      <c r="T162" s="4" t="str">
        <f t="shared" si="14"/>
        <v>Dissatisfied</v>
      </c>
    </row>
    <row r="163" spans="1:20" x14ac:dyDescent="0.3">
      <c r="A163" t="s">
        <v>316</v>
      </c>
      <c r="B163" t="s">
        <v>242</v>
      </c>
      <c r="C163" t="s">
        <v>37</v>
      </c>
      <c r="D163">
        <v>48</v>
      </c>
      <c r="E163" t="s">
        <v>18</v>
      </c>
      <c r="F163" t="s">
        <v>126</v>
      </c>
      <c r="G163" t="s">
        <v>20</v>
      </c>
      <c r="H163">
        <v>27000</v>
      </c>
      <c r="I163">
        <v>0</v>
      </c>
      <c r="J163">
        <v>4</v>
      </c>
      <c r="K163">
        <v>2</v>
      </c>
      <c r="L163" t="s">
        <v>29</v>
      </c>
      <c r="M163" t="s">
        <v>29</v>
      </c>
      <c r="N163" t="s">
        <v>22</v>
      </c>
      <c r="O163" t="s">
        <v>75</v>
      </c>
      <c r="P163" t="str">
        <f t="shared" si="10"/>
        <v>40-49</v>
      </c>
      <c r="Q163" t="str">
        <f t="shared" si="11"/>
        <v>Low</v>
      </c>
      <c r="R163" t="str">
        <f t="shared" si="12"/>
        <v>Junior</v>
      </c>
      <c r="S163" t="str">
        <f t="shared" si="13"/>
        <v>High Performer</v>
      </c>
      <c r="T163" s="4" t="str">
        <f t="shared" si="14"/>
        <v>Dissatisfied</v>
      </c>
    </row>
    <row r="164" spans="1:20" x14ac:dyDescent="0.3">
      <c r="A164" t="s">
        <v>317</v>
      </c>
      <c r="B164" t="s">
        <v>77</v>
      </c>
      <c r="C164" t="s">
        <v>17</v>
      </c>
      <c r="D164">
        <v>49</v>
      </c>
      <c r="E164" t="s">
        <v>18</v>
      </c>
      <c r="F164" t="s">
        <v>19</v>
      </c>
      <c r="G164" t="s">
        <v>28</v>
      </c>
      <c r="H164">
        <v>37000</v>
      </c>
      <c r="I164">
        <v>15</v>
      </c>
      <c r="J164">
        <v>4</v>
      </c>
      <c r="K164">
        <v>3</v>
      </c>
      <c r="L164" t="s">
        <v>21</v>
      </c>
      <c r="M164" t="s">
        <v>29</v>
      </c>
      <c r="N164" t="s">
        <v>22</v>
      </c>
      <c r="O164" t="s">
        <v>70</v>
      </c>
      <c r="P164" t="str">
        <f t="shared" si="10"/>
        <v>40-49</v>
      </c>
      <c r="Q164" t="str">
        <f t="shared" si="11"/>
        <v>Low</v>
      </c>
      <c r="R164" t="str">
        <f t="shared" si="12"/>
        <v>Senior</v>
      </c>
      <c r="S164" t="str">
        <f t="shared" si="13"/>
        <v>High Performer</v>
      </c>
      <c r="T164" s="4" t="str">
        <f t="shared" si="14"/>
        <v>Neutral</v>
      </c>
    </row>
    <row r="165" spans="1:20" x14ac:dyDescent="0.3">
      <c r="A165" t="s">
        <v>318</v>
      </c>
      <c r="B165" t="s">
        <v>102</v>
      </c>
      <c r="C165" t="s">
        <v>37</v>
      </c>
      <c r="D165">
        <v>49</v>
      </c>
      <c r="E165" t="s">
        <v>66</v>
      </c>
      <c r="F165" t="s">
        <v>67</v>
      </c>
      <c r="G165" t="s">
        <v>46</v>
      </c>
      <c r="H165">
        <v>53000</v>
      </c>
      <c r="I165">
        <v>12</v>
      </c>
      <c r="J165">
        <v>5</v>
      </c>
      <c r="K165">
        <v>3</v>
      </c>
      <c r="L165" t="s">
        <v>21</v>
      </c>
      <c r="M165" t="s">
        <v>29</v>
      </c>
      <c r="N165" t="s">
        <v>34</v>
      </c>
      <c r="O165" t="s">
        <v>54</v>
      </c>
      <c r="P165" t="str">
        <f t="shared" si="10"/>
        <v>40-49</v>
      </c>
      <c r="Q165" t="str">
        <f t="shared" si="11"/>
        <v>Medium</v>
      </c>
      <c r="R165" t="str">
        <f t="shared" si="12"/>
        <v>Senior</v>
      </c>
      <c r="S165" t="str">
        <f t="shared" si="13"/>
        <v>High Performer</v>
      </c>
      <c r="T165" s="4" t="str">
        <f t="shared" si="14"/>
        <v>Neutral</v>
      </c>
    </row>
    <row r="166" spans="1:20" x14ac:dyDescent="0.3">
      <c r="A166" t="s">
        <v>319</v>
      </c>
      <c r="B166" t="s">
        <v>320</v>
      </c>
      <c r="C166" t="s">
        <v>37</v>
      </c>
      <c r="D166">
        <v>43</v>
      </c>
      <c r="E166" t="s">
        <v>41</v>
      </c>
      <c r="F166" t="s">
        <v>73</v>
      </c>
      <c r="G166" t="s">
        <v>33</v>
      </c>
      <c r="H166">
        <v>28000</v>
      </c>
      <c r="I166">
        <v>4</v>
      </c>
      <c r="J166">
        <v>4</v>
      </c>
      <c r="K166">
        <v>2</v>
      </c>
      <c r="L166" t="s">
        <v>29</v>
      </c>
      <c r="M166" t="s">
        <v>29</v>
      </c>
      <c r="N166" t="s">
        <v>34</v>
      </c>
      <c r="O166" t="s">
        <v>54</v>
      </c>
      <c r="P166" t="str">
        <f t="shared" si="10"/>
        <v>40-49</v>
      </c>
      <c r="Q166" t="str">
        <f t="shared" si="11"/>
        <v>Low</v>
      </c>
      <c r="R166" t="str">
        <f t="shared" si="12"/>
        <v>Mid-Level</v>
      </c>
      <c r="S166" t="str">
        <f t="shared" si="13"/>
        <v>High Performer</v>
      </c>
      <c r="T166" s="4" t="str">
        <f t="shared" si="14"/>
        <v>Dissatisfied</v>
      </c>
    </row>
    <row r="167" spans="1:20" x14ac:dyDescent="0.3">
      <c r="A167" t="s">
        <v>321</v>
      </c>
      <c r="B167" t="s">
        <v>72</v>
      </c>
      <c r="C167" t="s">
        <v>37</v>
      </c>
      <c r="D167">
        <v>34</v>
      </c>
      <c r="E167" t="s">
        <v>18</v>
      </c>
      <c r="F167" t="s">
        <v>126</v>
      </c>
      <c r="G167" t="s">
        <v>28</v>
      </c>
      <c r="H167">
        <v>47000</v>
      </c>
      <c r="I167">
        <v>13</v>
      </c>
      <c r="J167">
        <v>5</v>
      </c>
      <c r="K167">
        <v>4</v>
      </c>
      <c r="L167" t="s">
        <v>29</v>
      </c>
      <c r="M167" t="s">
        <v>29</v>
      </c>
      <c r="N167" t="s">
        <v>22</v>
      </c>
      <c r="O167" t="s">
        <v>43</v>
      </c>
      <c r="P167" t="str">
        <f t="shared" si="10"/>
        <v>30-39</v>
      </c>
      <c r="Q167" t="str">
        <f t="shared" si="11"/>
        <v>Medium</v>
      </c>
      <c r="R167" t="str">
        <f t="shared" si="12"/>
        <v>Senior</v>
      </c>
      <c r="S167" t="str">
        <f t="shared" si="13"/>
        <v>High Performer</v>
      </c>
      <c r="T167" s="4" t="str">
        <f t="shared" si="14"/>
        <v>Satisfied</v>
      </c>
    </row>
    <row r="168" spans="1:20" x14ac:dyDescent="0.3">
      <c r="A168" t="s">
        <v>322</v>
      </c>
      <c r="B168" t="s">
        <v>154</v>
      </c>
      <c r="C168" t="s">
        <v>37</v>
      </c>
      <c r="D168">
        <v>40</v>
      </c>
      <c r="E168" t="s">
        <v>57</v>
      </c>
      <c r="F168" t="s">
        <v>27</v>
      </c>
      <c r="G168" t="s">
        <v>20</v>
      </c>
      <c r="H168">
        <v>79000</v>
      </c>
      <c r="I168">
        <v>0</v>
      </c>
      <c r="J168">
        <v>4</v>
      </c>
      <c r="K168">
        <v>3</v>
      </c>
      <c r="L168" t="s">
        <v>21</v>
      </c>
      <c r="M168" t="s">
        <v>29</v>
      </c>
      <c r="N168" t="s">
        <v>22</v>
      </c>
      <c r="O168" t="s">
        <v>70</v>
      </c>
      <c r="P168" t="str">
        <f t="shared" si="10"/>
        <v>40-49</v>
      </c>
      <c r="Q168" t="str">
        <f t="shared" si="11"/>
        <v>High</v>
      </c>
      <c r="R168" t="str">
        <f t="shared" si="12"/>
        <v>Junior</v>
      </c>
      <c r="S168" t="str">
        <f t="shared" si="13"/>
        <v>High Performer</v>
      </c>
      <c r="T168" s="4" t="str">
        <f t="shared" si="14"/>
        <v>Neutral</v>
      </c>
    </row>
    <row r="169" spans="1:20" x14ac:dyDescent="0.3">
      <c r="A169" t="s">
        <v>323</v>
      </c>
      <c r="B169" t="s">
        <v>246</v>
      </c>
      <c r="C169" t="s">
        <v>17</v>
      </c>
      <c r="D169">
        <v>45</v>
      </c>
      <c r="E169" t="s">
        <v>18</v>
      </c>
      <c r="F169" t="s">
        <v>126</v>
      </c>
      <c r="G169" t="s">
        <v>33</v>
      </c>
      <c r="H169">
        <v>92000</v>
      </c>
      <c r="I169">
        <v>17</v>
      </c>
      <c r="J169">
        <v>4</v>
      </c>
      <c r="K169">
        <v>2</v>
      </c>
      <c r="L169" t="s">
        <v>29</v>
      </c>
      <c r="M169" t="s">
        <v>29</v>
      </c>
      <c r="N169" t="s">
        <v>22</v>
      </c>
      <c r="O169" t="s">
        <v>38</v>
      </c>
      <c r="P169" t="str">
        <f t="shared" si="10"/>
        <v>40-49</v>
      </c>
      <c r="Q169" t="str">
        <f t="shared" si="11"/>
        <v>High</v>
      </c>
      <c r="R169" t="str">
        <f t="shared" si="12"/>
        <v>Senior</v>
      </c>
      <c r="S169" t="str">
        <f t="shared" si="13"/>
        <v>High Performer</v>
      </c>
      <c r="T169" s="4" t="str">
        <f t="shared" si="14"/>
        <v>Dissatisfied</v>
      </c>
    </row>
    <row r="170" spans="1:20" x14ac:dyDescent="0.3">
      <c r="A170" t="s">
        <v>324</v>
      </c>
      <c r="B170" t="s">
        <v>84</v>
      </c>
      <c r="C170" t="s">
        <v>37</v>
      </c>
      <c r="D170">
        <v>47</v>
      </c>
      <c r="E170" t="s">
        <v>49</v>
      </c>
      <c r="F170" t="s">
        <v>50</v>
      </c>
      <c r="G170" t="s">
        <v>46</v>
      </c>
      <c r="H170">
        <v>109000</v>
      </c>
      <c r="I170">
        <v>1</v>
      </c>
      <c r="J170">
        <v>4</v>
      </c>
      <c r="K170">
        <v>1</v>
      </c>
      <c r="L170" t="s">
        <v>21</v>
      </c>
      <c r="M170" t="s">
        <v>29</v>
      </c>
      <c r="N170" t="s">
        <v>34</v>
      </c>
      <c r="O170" t="s">
        <v>75</v>
      </c>
      <c r="P170" t="str">
        <f t="shared" si="10"/>
        <v>40-49</v>
      </c>
      <c r="Q170" t="str">
        <f t="shared" si="11"/>
        <v>High</v>
      </c>
      <c r="R170" t="str">
        <f t="shared" si="12"/>
        <v>Junior</v>
      </c>
      <c r="S170" t="str">
        <f t="shared" si="13"/>
        <v>High Performer</v>
      </c>
      <c r="T170" s="4" t="str">
        <f t="shared" si="14"/>
        <v>Dissatisfied</v>
      </c>
    </row>
    <row r="171" spans="1:20" x14ac:dyDescent="0.3">
      <c r="A171" t="s">
        <v>325</v>
      </c>
      <c r="B171" t="s">
        <v>326</v>
      </c>
      <c r="C171" t="s">
        <v>17</v>
      </c>
      <c r="D171">
        <v>28</v>
      </c>
      <c r="E171" t="s">
        <v>18</v>
      </c>
      <c r="F171" t="s">
        <v>126</v>
      </c>
      <c r="G171" t="s">
        <v>20</v>
      </c>
      <c r="H171">
        <v>97000</v>
      </c>
      <c r="I171">
        <v>3</v>
      </c>
      <c r="J171">
        <v>3</v>
      </c>
      <c r="K171">
        <v>4</v>
      </c>
      <c r="L171" t="s">
        <v>21</v>
      </c>
      <c r="M171" t="s">
        <v>29</v>
      </c>
      <c r="N171" t="s">
        <v>34</v>
      </c>
      <c r="O171" t="s">
        <v>51</v>
      </c>
      <c r="P171" t="str">
        <f t="shared" si="10"/>
        <v>20-29</v>
      </c>
      <c r="Q171" t="str">
        <f t="shared" si="11"/>
        <v>High</v>
      </c>
      <c r="R171" t="str">
        <f t="shared" si="12"/>
        <v>Mid-Level</v>
      </c>
      <c r="S171" t="str">
        <f t="shared" si="13"/>
        <v>Needs Improvement</v>
      </c>
      <c r="T171" s="4" t="str">
        <f t="shared" si="14"/>
        <v>Satisfied</v>
      </c>
    </row>
    <row r="172" spans="1:20" x14ac:dyDescent="0.3">
      <c r="A172" t="s">
        <v>327</v>
      </c>
      <c r="B172" t="s">
        <v>328</v>
      </c>
      <c r="C172" t="s">
        <v>37</v>
      </c>
      <c r="D172">
        <v>36</v>
      </c>
      <c r="E172" t="s">
        <v>66</v>
      </c>
      <c r="F172" t="s">
        <v>67</v>
      </c>
      <c r="G172" t="s">
        <v>28</v>
      </c>
      <c r="H172">
        <v>111000</v>
      </c>
      <c r="I172">
        <v>15</v>
      </c>
      <c r="J172">
        <v>2</v>
      </c>
      <c r="K172">
        <v>1</v>
      </c>
      <c r="L172" t="s">
        <v>29</v>
      </c>
      <c r="M172" t="s">
        <v>29</v>
      </c>
      <c r="N172" t="s">
        <v>34</v>
      </c>
      <c r="O172" t="s">
        <v>54</v>
      </c>
      <c r="P172" t="str">
        <f t="shared" si="10"/>
        <v>30-39</v>
      </c>
      <c r="Q172" t="str">
        <f t="shared" si="11"/>
        <v>High</v>
      </c>
      <c r="R172" t="str">
        <f t="shared" si="12"/>
        <v>Senior</v>
      </c>
      <c r="S172" t="str">
        <f t="shared" si="13"/>
        <v>Needs Improvement</v>
      </c>
      <c r="T172" s="4" t="str">
        <f t="shared" si="14"/>
        <v>Dissatisfied</v>
      </c>
    </row>
    <row r="173" spans="1:20" x14ac:dyDescent="0.3">
      <c r="A173" t="s">
        <v>329</v>
      </c>
      <c r="B173" t="s">
        <v>330</v>
      </c>
      <c r="C173" t="s">
        <v>37</v>
      </c>
      <c r="D173">
        <v>44</v>
      </c>
      <c r="E173" t="s">
        <v>66</v>
      </c>
      <c r="F173" t="s">
        <v>82</v>
      </c>
      <c r="G173" t="s">
        <v>28</v>
      </c>
      <c r="H173">
        <v>64000</v>
      </c>
      <c r="I173">
        <v>9</v>
      </c>
      <c r="J173">
        <v>2</v>
      </c>
      <c r="K173">
        <v>2</v>
      </c>
      <c r="L173" t="s">
        <v>21</v>
      </c>
      <c r="M173" t="s">
        <v>21</v>
      </c>
      <c r="N173" t="s">
        <v>34</v>
      </c>
      <c r="O173" t="s">
        <v>54</v>
      </c>
      <c r="P173" t="str">
        <f t="shared" si="10"/>
        <v>40-49</v>
      </c>
      <c r="Q173" t="str">
        <f t="shared" si="11"/>
        <v>Medium</v>
      </c>
      <c r="R173" t="str">
        <f t="shared" si="12"/>
        <v>Senior</v>
      </c>
      <c r="S173" t="str">
        <f t="shared" si="13"/>
        <v>Needs Improvement</v>
      </c>
      <c r="T173" s="4" t="str">
        <f t="shared" si="14"/>
        <v>Dissatisfied</v>
      </c>
    </row>
    <row r="174" spans="1:20" x14ac:dyDescent="0.3">
      <c r="A174" t="s">
        <v>331</v>
      </c>
      <c r="B174" t="s">
        <v>36</v>
      </c>
      <c r="C174" t="s">
        <v>37</v>
      </c>
      <c r="D174">
        <v>47</v>
      </c>
      <c r="E174" t="s">
        <v>41</v>
      </c>
      <c r="F174" t="s">
        <v>73</v>
      </c>
      <c r="G174" t="s">
        <v>46</v>
      </c>
      <c r="H174">
        <v>55000</v>
      </c>
      <c r="I174">
        <v>13</v>
      </c>
      <c r="J174">
        <v>4</v>
      </c>
      <c r="K174">
        <v>3</v>
      </c>
      <c r="L174" t="s">
        <v>21</v>
      </c>
      <c r="M174" t="s">
        <v>29</v>
      </c>
      <c r="N174" t="s">
        <v>34</v>
      </c>
      <c r="O174" t="s">
        <v>43</v>
      </c>
      <c r="P174" t="str">
        <f t="shared" si="10"/>
        <v>40-49</v>
      </c>
      <c r="Q174" t="str">
        <f t="shared" si="11"/>
        <v>Medium</v>
      </c>
      <c r="R174" t="str">
        <f t="shared" si="12"/>
        <v>Senior</v>
      </c>
      <c r="S174" t="str">
        <f t="shared" si="13"/>
        <v>High Performer</v>
      </c>
      <c r="T174" s="4" t="str">
        <f t="shared" si="14"/>
        <v>Neutral</v>
      </c>
    </row>
    <row r="175" spans="1:20" x14ac:dyDescent="0.3">
      <c r="A175" t="s">
        <v>332</v>
      </c>
      <c r="B175" t="s">
        <v>221</v>
      </c>
      <c r="C175" t="s">
        <v>17</v>
      </c>
      <c r="D175">
        <v>27</v>
      </c>
      <c r="E175" t="s">
        <v>41</v>
      </c>
      <c r="F175" t="s">
        <v>42</v>
      </c>
      <c r="G175" t="s">
        <v>20</v>
      </c>
      <c r="H175">
        <v>108000</v>
      </c>
      <c r="I175">
        <v>6</v>
      </c>
      <c r="J175">
        <v>5</v>
      </c>
      <c r="K175">
        <v>1</v>
      </c>
      <c r="L175" t="s">
        <v>21</v>
      </c>
      <c r="M175" t="s">
        <v>21</v>
      </c>
      <c r="N175" t="s">
        <v>34</v>
      </c>
      <c r="O175" t="s">
        <v>75</v>
      </c>
      <c r="P175" t="str">
        <f t="shared" si="10"/>
        <v>20-29</v>
      </c>
      <c r="Q175" t="str">
        <f t="shared" si="11"/>
        <v>High</v>
      </c>
      <c r="R175" t="str">
        <f t="shared" si="12"/>
        <v>Mid-Level</v>
      </c>
      <c r="S175" t="str">
        <f t="shared" si="13"/>
        <v>High Performer</v>
      </c>
      <c r="T175" s="4" t="str">
        <f t="shared" si="14"/>
        <v>Dissatisfied</v>
      </c>
    </row>
    <row r="176" spans="1:20" x14ac:dyDescent="0.3">
      <c r="A176" t="s">
        <v>333</v>
      </c>
      <c r="B176" t="s">
        <v>308</v>
      </c>
      <c r="C176" t="s">
        <v>17</v>
      </c>
      <c r="D176">
        <v>34</v>
      </c>
      <c r="E176" t="s">
        <v>49</v>
      </c>
      <c r="F176" t="s">
        <v>50</v>
      </c>
      <c r="G176" t="s">
        <v>33</v>
      </c>
      <c r="H176">
        <v>42000</v>
      </c>
      <c r="I176">
        <v>13</v>
      </c>
      <c r="J176">
        <v>3</v>
      </c>
      <c r="K176">
        <v>3</v>
      </c>
      <c r="L176" t="s">
        <v>29</v>
      </c>
      <c r="M176" t="s">
        <v>29</v>
      </c>
      <c r="N176" t="s">
        <v>22</v>
      </c>
      <c r="O176" t="s">
        <v>30</v>
      </c>
      <c r="P176" t="str">
        <f t="shared" si="10"/>
        <v>30-39</v>
      </c>
      <c r="Q176" t="str">
        <f t="shared" si="11"/>
        <v>Medium</v>
      </c>
      <c r="R176" t="str">
        <f t="shared" si="12"/>
        <v>Senior</v>
      </c>
      <c r="S176" t="str">
        <f t="shared" si="13"/>
        <v>Needs Improvement</v>
      </c>
      <c r="T176" s="4" t="str">
        <f t="shared" si="14"/>
        <v>Neutral</v>
      </c>
    </row>
    <row r="177" spans="1:20" x14ac:dyDescent="0.3">
      <c r="A177" t="s">
        <v>334</v>
      </c>
      <c r="B177" t="s">
        <v>335</v>
      </c>
      <c r="C177" t="s">
        <v>37</v>
      </c>
      <c r="D177">
        <v>22</v>
      </c>
      <c r="E177" t="s">
        <v>26</v>
      </c>
      <c r="F177" t="s">
        <v>27</v>
      </c>
      <c r="G177" t="s">
        <v>33</v>
      </c>
      <c r="H177">
        <v>80000</v>
      </c>
      <c r="I177">
        <v>1</v>
      </c>
      <c r="J177">
        <v>5</v>
      </c>
      <c r="K177">
        <v>1</v>
      </c>
      <c r="L177" t="s">
        <v>21</v>
      </c>
      <c r="M177" t="s">
        <v>29</v>
      </c>
      <c r="N177" t="s">
        <v>34</v>
      </c>
      <c r="O177" t="s">
        <v>70</v>
      </c>
      <c r="P177" t="str">
        <f t="shared" si="10"/>
        <v>20-29</v>
      </c>
      <c r="Q177" t="str">
        <f t="shared" si="11"/>
        <v>High</v>
      </c>
      <c r="R177" t="str">
        <f t="shared" si="12"/>
        <v>Junior</v>
      </c>
      <c r="S177" t="str">
        <f t="shared" si="13"/>
        <v>High Performer</v>
      </c>
      <c r="T177" s="4" t="str">
        <f t="shared" si="14"/>
        <v>Dissatisfied</v>
      </c>
    </row>
    <row r="178" spans="1:20" x14ac:dyDescent="0.3">
      <c r="A178" t="s">
        <v>336</v>
      </c>
      <c r="B178" t="s">
        <v>194</v>
      </c>
      <c r="C178" t="s">
        <v>17</v>
      </c>
      <c r="D178">
        <v>33</v>
      </c>
      <c r="E178" t="s">
        <v>18</v>
      </c>
      <c r="F178" t="s">
        <v>19</v>
      </c>
      <c r="G178" t="s">
        <v>46</v>
      </c>
      <c r="H178">
        <v>101000</v>
      </c>
      <c r="I178">
        <v>12</v>
      </c>
      <c r="J178">
        <v>2</v>
      </c>
      <c r="K178">
        <v>4</v>
      </c>
      <c r="L178" t="s">
        <v>29</v>
      </c>
      <c r="M178" t="s">
        <v>29</v>
      </c>
      <c r="N178" t="s">
        <v>22</v>
      </c>
      <c r="O178" t="s">
        <v>30</v>
      </c>
      <c r="P178" t="str">
        <f t="shared" si="10"/>
        <v>30-39</v>
      </c>
      <c r="Q178" t="str">
        <f t="shared" si="11"/>
        <v>High</v>
      </c>
      <c r="R178" t="str">
        <f t="shared" si="12"/>
        <v>Senior</v>
      </c>
      <c r="S178" t="str">
        <f t="shared" si="13"/>
        <v>Needs Improvement</v>
      </c>
      <c r="T178" s="4" t="str">
        <f t="shared" si="14"/>
        <v>Satisfied</v>
      </c>
    </row>
    <row r="179" spans="1:20" x14ac:dyDescent="0.3">
      <c r="A179" t="s">
        <v>337</v>
      </c>
      <c r="B179" t="s">
        <v>69</v>
      </c>
      <c r="C179" t="s">
        <v>37</v>
      </c>
      <c r="D179">
        <v>50</v>
      </c>
      <c r="E179" t="s">
        <v>41</v>
      </c>
      <c r="F179" t="s">
        <v>73</v>
      </c>
      <c r="G179" t="s">
        <v>20</v>
      </c>
      <c r="H179">
        <v>83000</v>
      </c>
      <c r="I179">
        <v>8</v>
      </c>
      <c r="J179">
        <v>3</v>
      </c>
      <c r="K179">
        <v>3</v>
      </c>
      <c r="L179" t="s">
        <v>29</v>
      </c>
      <c r="M179" t="s">
        <v>29</v>
      </c>
      <c r="N179" t="s">
        <v>22</v>
      </c>
      <c r="O179" t="s">
        <v>30</v>
      </c>
      <c r="P179" t="str">
        <f t="shared" si="10"/>
        <v>50+</v>
      </c>
      <c r="Q179" t="str">
        <f t="shared" si="11"/>
        <v>High</v>
      </c>
      <c r="R179" t="str">
        <f t="shared" si="12"/>
        <v>Senior</v>
      </c>
      <c r="S179" t="str">
        <f t="shared" si="13"/>
        <v>Needs Improvement</v>
      </c>
      <c r="T179" s="4" t="str">
        <f t="shared" si="14"/>
        <v>Neutral</v>
      </c>
    </row>
    <row r="180" spans="1:20" x14ac:dyDescent="0.3">
      <c r="A180" t="s">
        <v>338</v>
      </c>
      <c r="B180" t="s">
        <v>205</v>
      </c>
      <c r="C180" t="s">
        <v>17</v>
      </c>
      <c r="D180">
        <v>24</v>
      </c>
      <c r="E180" t="s">
        <v>66</v>
      </c>
      <c r="F180" t="s">
        <v>67</v>
      </c>
      <c r="G180" t="s">
        <v>28</v>
      </c>
      <c r="H180">
        <v>88000</v>
      </c>
      <c r="I180">
        <v>3</v>
      </c>
      <c r="J180">
        <v>5</v>
      </c>
      <c r="K180">
        <v>2</v>
      </c>
      <c r="L180" t="s">
        <v>21</v>
      </c>
      <c r="M180" t="s">
        <v>21</v>
      </c>
      <c r="N180" t="s">
        <v>22</v>
      </c>
      <c r="O180" t="s">
        <v>23</v>
      </c>
      <c r="P180" t="str">
        <f t="shared" si="10"/>
        <v>20-29</v>
      </c>
      <c r="Q180" t="str">
        <f t="shared" si="11"/>
        <v>High</v>
      </c>
      <c r="R180" t="str">
        <f t="shared" si="12"/>
        <v>Mid-Level</v>
      </c>
      <c r="S180" t="str">
        <f t="shared" si="13"/>
        <v>High Performer</v>
      </c>
      <c r="T180" s="4" t="str">
        <f t="shared" si="14"/>
        <v>Dissatisfied</v>
      </c>
    </row>
    <row r="181" spans="1:20" x14ac:dyDescent="0.3">
      <c r="A181" t="s">
        <v>339</v>
      </c>
      <c r="B181" t="s">
        <v>308</v>
      </c>
      <c r="C181" t="s">
        <v>37</v>
      </c>
      <c r="D181">
        <v>42</v>
      </c>
      <c r="E181" t="s">
        <v>18</v>
      </c>
      <c r="F181" t="s">
        <v>126</v>
      </c>
      <c r="G181" t="s">
        <v>20</v>
      </c>
      <c r="H181">
        <v>103000</v>
      </c>
      <c r="I181">
        <v>17</v>
      </c>
      <c r="J181">
        <v>2</v>
      </c>
      <c r="K181">
        <v>2</v>
      </c>
      <c r="L181" t="s">
        <v>21</v>
      </c>
      <c r="M181" t="s">
        <v>21</v>
      </c>
      <c r="N181" t="s">
        <v>34</v>
      </c>
      <c r="O181" t="s">
        <v>54</v>
      </c>
      <c r="P181" t="str">
        <f t="shared" si="10"/>
        <v>40-49</v>
      </c>
      <c r="Q181" t="str">
        <f t="shared" si="11"/>
        <v>High</v>
      </c>
      <c r="R181" t="str">
        <f t="shared" si="12"/>
        <v>Senior</v>
      </c>
      <c r="S181" t="str">
        <f t="shared" si="13"/>
        <v>Needs Improvement</v>
      </c>
      <c r="T181" s="4" t="str">
        <f t="shared" si="14"/>
        <v>Dissatisfied</v>
      </c>
    </row>
    <row r="182" spans="1:20" x14ac:dyDescent="0.3">
      <c r="A182" t="s">
        <v>340</v>
      </c>
      <c r="B182" t="s">
        <v>69</v>
      </c>
      <c r="C182" t="s">
        <v>17</v>
      </c>
      <c r="D182">
        <v>27</v>
      </c>
      <c r="E182" t="s">
        <v>26</v>
      </c>
      <c r="F182" t="s">
        <v>50</v>
      </c>
      <c r="G182" t="s">
        <v>46</v>
      </c>
      <c r="H182">
        <v>104000</v>
      </c>
      <c r="I182">
        <v>6</v>
      </c>
      <c r="J182">
        <v>4</v>
      </c>
      <c r="K182">
        <v>2</v>
      </c>
      <c r="L182" t="s">
        <v>29</v>
      </c>
      <c r="M182" t="s">
        <v>29</v>
      </c>
      <c r="N182" t="s">
        <v>22</v>
      </c>
      <c r="O182" t="s">
        <v>54</v>
      </c>
      <c r="P182" t="str">
        <f t="shared" si="10"/>
        <v>20-29</v>
      </c>
      <c r="Q182" t="str">
        <f t="shared" si="11"/>
        <v>High</v>
      </c>
      <c r="R182" t="str">
        <f t="shared" si="12"/>
        <v>Mid-Level</v>
      </c>
      <c r="S182" t="str">
        <f t="shared" si="13"/>
        <v>High Performer</v>
      </c>
      <c r="T182" s="4" t="str">
        <f t="shared" si="14"/>
        <v>Dissatisfied</v>
      </c>
    </row>
    <row r="183" spans="1:20" x14ac:dyDescent="0.3">
      <c r="A183" t="s">
        <v>341</v>
      </c>
      <c r="B183" t="s">
        <v>188</v>
      </c>
      <c r="C183" t="s">
        <v>37</v>
      </c>
      <c r="D183">
        <v>50</v>
      </c>
      <c r="E183" t="s">
        <v>41</v>
      </c>
      <c r="F183" t="s">
        <v>42</v>
      </c>
      <c r="G183" t="s">
        <v>46</v>
      </c>
      <c r="H183">
        <v>90000</v>
      </c>
      <c r="I183">
        <v>19</v>
      </c>
      <c r="J183">
        <v>4</v>
      </c>
      <c r="K183">
        <v>4</v>
      </c>
      <c r="L183" t="s">
        <v>21</v>
      </c>
      <c r="M183" t="s">
        <v>29</v>
      </c>
      <c r="N183" t="s">
        <v>34</v>
      </c>
      <c r="O183" t="s">
        <v>30</v>
      </c>
      <c r="P183" t="str">
        <f t="shared" si="10"/>
        <v>50+</v>
      </c>
      <c r="Q183" t="str">
        <f t="shared" si="11"/>
        <v>High</v>
      </c>
      <c r="R183" t="str">
        <f t="shared" si="12"/>
        <v>Senior</v>
      </c>
      <c r="S183" t="str">
        <f t="shared" si="13"/>
        <v>High Performer</v>
      </c>
      <c r="T183" s="4" t="str">
        <f t="shared" si="14"/>
        <v>Satisfied</v>
      </c>
    </row>
    <row r="184" spans="1:20" x14ac:dyDescent="0.3">
      <c r="A184" t="s">
        <v>342</v>
      </c>
      <c r="B184" t="s">
        <v>328</v>
      </c>
      <c r="C184" t="s">
        <v>17</v>
      </c>
      <c r="D184">
        <v>49</v>
      </c>
      <c r="E184" t="s">
        <v>49</v>
      </c>
      <c r="F184" t="s">
        <v>50</v>
      </c>
      <c r="G184" t="s">
        <v>28</v>
      </c>
      <c r="H184">
        <v>42000</v>
      </c>
      <c r="I184">
        <v>14</v>
      </c>
      <c r="J184">
        <v>4</v>
      </c>
      <c r="K184">
        <v>4</v>
      </c>
      <c r="L184" t="s">
        <v>21</v>
      </c>
      <c r="M184" t="s">
        <v>29</v>
      </c>
      <c r="N184" t="s">
        <v>22</v>
      </c>
      <c r="O184" t="s">
        <v>23</v>
      </c>
      <c r="P184" t="str">
        <f t="shared" si="10"/>
        <v>40-49</v>
      </c>
      <c r="Q184" t="str">
        <f t="shared" si="11"/>
        <v>Medium</v>
      </c>
      <c r="R184" t="str">
        <f t="shared" si="12"/>
        <v>Senior</v>
      </c>
      <c r="S184" t="str">
        <f t="shared" si="13"/>
        <v>High Performer</v>
      </c>
      <c r="T184" s="4" t="str">
        <f t="shared" si="14"/>
        <v>Satisfied</v>
      </c>
    </row>
    <row r="185" spans="1:20" x14ac:dyDescent="0.3">
      <c r="A185" t="s">
        <v>343</v>
      </c>
      <c r="B185" t="s">
        <v>162</v>
      </c>
      <c r="C185" t="s">
        <v>37</v>
      </c>
      <c r="D185">
        <v>31</v>
      </c>
      <c r="E185" t="s">
        <v>26</v>
      </c>
      <c r="F185" t="s">
        <v>50</v>
      </c>
      <c r="G185" t="s">
        <v>46</v>
      </c>
      <c r="H185">
        <v>36000</v>
      </c>
      <c r="I185">
        <v>10</v>
      </c>
      <c r="J185">
        <v>4</v>
      </c>
      <c r="K185">
        <v>3</v>
      </c>
      <c r="L185" t="s">
        <v>29</v>
      </c>
      <c r="M185" t="s">
        <v>29</v>
      </c>
      <c r="N185" t="s">
        <v>22</v>
      </c>
      <c r="O185" t="s">
        <v>43</v>
      </c>
      <c r="P185" t="str">
        <f t="shared" si="10"/>
        <v>30-39</v>
      </c>
      <c r="Q185" t="str">
        <f t="shared" si="11"/>
        <v>Low</v>
      </c>
      <c r="R185" t="str">
        <f t="shared" si="12"/>
        <v>Senior</v>
      </c>
      <c r="S185" t="str">
        <f t="shared" si="13"/>
        <v>High Performer</v>
      </c>
      <c r="T185" s="4" t="str">
        <f t="shared" si="14"/>
        <v>Neutral</v>
      </c>
    </row>
    <row r="186" spans="1:20" x14ac:dyDescent="0.3">
      <c r="A186" t="s">
        <v>344</v>
      </c>
      <c r="B186" t="s">
        <v>225</v>
      </c>
      <c r="C186" t="s">
        <v>17</v>
      </c>
      <c r="D186">
        <v>55</v>
      </c>
      <c r="E186" t="s">
        <v>49</v>
      </c>
      <c r="F186" t="s">
        <v>50</v>
      </c>
      <c r="G186" t="s">
        <v>46</v>
      </c>
      <c r="H186">
        <v>69000</v>
      </c>
      <c r="I186">
        <v>1</v>
      </c>
      <c r="J186">
        <v>2</v>
      </c>
      <c r="K186">
        <v>4</v>
      </c>
      <c r="L186" t="s">
        <v>21</v>
      </c>
      <c r="M186" t="s">
        <v>29</v>
      </c>
      <c r="N186" t="s">
        <v>34</v>
      </c>
      <c r="O186" t="s">
        <v>70</v>
      </c>
      <c r="P186" t="str">
        <f t="shared" si="10"/>
        <v>50+</v>
      </c>
      <c r="Q186" t="str">
        <f t="shared" si="11"/>
        <v>Medium</v>
      </c>
      <c r="R186" t="str">
        <f t="shared" si="12"/>
        <v>Junior</v>
      </c>
      <c r="S186" t="str">
        <f t="shared" si="13"/>
        <v>Needs Improvement</v>
      </c>
      <c r="T186" s="4" t="str">
        <f t="shared" si="14"/>
        <v>Satisfied</v>
      </c>
    </row>
    <row r="187" spans="1:20" x14ac:dyDescent="0.3">
      <c r="A187" t="s">
        <v>345</v>
      </c>
      <c r="B187" t="s">
        <v>240</v>
      </c>
      <c r="C187" t="s">
        <v>17</v>
      </c>
      <c r="D187">
        <v>54</v>
      </c>
      <c r="E187" t="s">
        <v>66</v>
      </c>
      <c r="F187" t="s">
        <v>67</v>
      </c>
      <c r="G187" t="s">
        <v>46</v>
      </c>
      <c r="H187">
        <v>79000</v>
      </c>
      <c r="I187">
        <v>5</v>
      </c>
      <c r="J187">
        <v>3</v>
      </c>
      <c r="K187">
        <v>2</v>
      </c>
      <c r="L187" t="s">
        <v>21</v>
      </c>
      <c r="M187" t="s">
        <v>29</v>
      </c>
      <c r="N187" t="s">
        <v>34</v>
      </c>
      <c r="O187" t="s">
        <v>75</v>
      </c>
      <c r="P187" t="str">
        <f t="shared" si="10"/>
        <v>50+</v>
      </c>
      <c r="Q187" t="str">
        <f t="shared" si="11"/>
        <v>High</v>
      </c>
      <c r="R187" t="str">
        <f t="shared" si="12"/>
        <v>Mid-Level</v>
      </c>
      <c r="S187" t="str">
        <f t="shared" si="13"/>
        <v>Needs Improvement</v>
      </c>
      <c r="T187" s="4" t="str">
        <f t="shared" si="14"/>
        <v>Dissatisfied</v>
      </c>
    </row>
    <row r="188" spans="1:20" x14ac:dyDescent="0.3">
      <c r="A188" t="s">
        <v>346</v>
      </c>
      <c r="B188" t="s">
        <v>347</v>
      </c>
      <c r="C188" t="s">
        <v>37</v>
      </c>
      <c r="D188">
        <v>33</v>
      </c>
      <c r="E188" t="s">
        <v>57</v>
      </c>
      <c r="F188" t="s">
        <v>50</v>
      </c>
      <c r="G188" t="s">
        <v>33</v>
      </c>
      <c r="H188">
        <v>105000</v>
      </c>
      <c r="I188">
        <v>2</v>
      </c>
      <c r="J188">
        <v>2</v>
      </c>
      <c r="K188">
        <v>5</v>
      </c>
      <c r="L188" t="s">
        <v>29</v>
      </c>
      <c r="M188" t="s">
        <v>29</v>
      </c>
      <c r="N188" t="s">
        <v>34</v>
      </c>
      <c r="O188" t="s">
        <v>30</v>
      </c>
      <c r="P188" t="str">
        <f t="shared" si="10"/>
        <v>30-39</v>
      </c>
      <c r="Q188" t="str">
        <f t="shared" si="11"/>
        <v>High</v>
      </c>
      <c r="R188" t="str">
        <f t="shared" si="12"/>
        <v>Junior</v>
      </c>
      <c r="S188" t="str">
        <f t="shared" si="13"/>
        <v>Needs Improvement</v>
      </c>
      <c r="T188" s="4" t="str">
        <f t="shared" si="14"/>
        <v>Satisfied</v>
      </c>
    </row>
    <row r="189" spans="1:20" x14ac:dyDescent="0.3">
      <c r="A189" t="s">
        <v>348</v>
      </c>
      <c r="B189" t="s">
        <v>253</v>
      </c>
      <c r="C189" t="s">
        <v>37</v>
      </c>
      <c r="D189">
        <v>43</v>
      </c>
      <c r="E189" t="s">
        <v>66</v>
      </c>
      <c r="F189" t="s">
        <v>67</v>
      </c>
      <c r="G189" t="s">
        <v>28</v>
      </c>
      <c r="H189">
        <v>79000</v>
      </c>
      <c r="I189">
        <v>20</v>
      </c>
      <c r="J189">
        <v>2</v>
      </c>
      <c r="K189">
        <v>2</v>
      </c>
      <c r="L189" t="s">
        <v>21</v>
      </c>
      <c r="M189" t="s">
        <v>29</v>
      </c>
      <c r="N189" t="s">
        <v>22</v>
      </c>
      <c r="O189" t="s">
        <v>75</v>
      </c>
      <c r="P189" t="str">
        <f t="shared" si="10"/>
        <v>40-49</v>
      </c>
      <c r="Q189" t="str">
        <f t="shared" si="11"/>
        <v>High</v>
      </c>
      <c r="R189" t="str">
        <f t="shared" si="12"/>
        <v>Senior</v>
      </c>
      <c r="S189" t="str">
        <f t="shared" si="13"/>
        <v>Needs Improvement</v>
      </c>
      <c r="T189" s="4" t="str">
        <f t="shared" si="14"/>
        <v>Dissatisfied</v>
      </c>
    </row>
    <row r="190" spans="1:20" x14ac:dyDescent="0.3">
      <c r="A190" t="s">
        <v>349</v>
      </c>
      <c r="B190" t="s">
        <v>350</v>
      </c>
      <c r="C190" t="s">
        <v>37</v>
      </c>
      <c r="D190">
        <v>39</v>
      </c>
      <c r="E190" t="s">
        <v>49</v>
      </c>
      <c r="F190" t="s">
        <v>50</v>
      </c>
      <c r="G190" t="s">
        <v>28</v>
      </c>
      <c r="H190">
        <v>31000</v>
      </c>
      <c r="I190">
        <v>13</v>
      </c>
      <c r="J190">
        <v>3</v>
      </c>
      <c r="K190">
        <v>5</v>
      </c>
      <c r="L190" t="s">
        <v>21</v>
      </c>
      <c r="M190" t="s">
        <v>29</v>
      </c>
      <c r="N190" t="s">
        <v>34</v>
      </c>
      <c r="O190" t="s">
        <v>51</v>
      </c>
      <c r="P190" t="str">
        <f t="shared" si="10"/>
        <v>30-39</v>
      </c>
      <c r="Q190" t="str">
        <f t="shared" si="11"/>
        <v>Low</v>
      </c>
      <c r="R190" t="str">
        <f t="shared" si="12"/>
        <v>Senior</v>
      </c>
      <c r="S190" t="str">
        <f t="shared" si="13"/>
        <v>Needs Improvement</v>
      </c>
      <c r="T190" s="4" t="str">
        <f t="shared" si="14"/>
        <v>Satisfied</v>
      </c>
    </row>
    <row r="191" spans="1:20" x14ac:dyDescent="0.3">
      <c r="A191" t="s">
        <v>351</v>
      </c>
      <c r="B191" t="s">
        <v>223</v>
      </c>
      <c r="C191" t="s">
        <v>37</v>
      </c>
      <c r="D191">
        <v>46</v>
      </c>
      <c r="E191" t="s">
        <v>26</v>
      </c>
      <c r="F191" t="s">
        <v>27</v>
      </c>
      <c r="G191" t="s">
        <v>46</v>
      </c>
      <c r="H191">
        <v>65000</v>
      </c>
      <c r="I191">
        <v>12</v>
      </c>
      <c r="J191">
        <v>3</v>
      </c>
      <c r="K191">
        <v>1</v>
      </c>
      <c r="L191" t="s">
        <v>21</v>
      </c>
      <c r="M191" t="s">
        <v>29</v>
      </c>
      <c r="N191" t="s">
        <v>34</v>
      </c>
      <c r="O191" t="s">
        <v>23</v>
      </c>
      <c r="P191" t="str">
        <f t="shared" si="10"/>
        <v>40-49</v>
      </c>
      <c r="Q191" t="str">
        <f t="shared" si="11"/>
        <v>Medium</v>
      </c>
      <c r="R191" t="str">
        <f t="shared" si="12"/>
        <v>Senior</v>
      </c>
      <c r="S191" t="str">
        <f t="shared" si="13"/>
        <v>Needs Improvement</v>
      </c>
      <c r="T191" s="4" t="str">
        <f t="shared" si="14"/>
        <v>Dissatisfied</v>
      </c>
    </row>
    <row r="192" spans="1:20" x14ac:dyDescent="0.3">
      <c r="A192" t="s">
        <v>352</v>
      </c>
      <c r="B192" t="s">
        <v>149</v>
      </c>
      <c r="C192" t="s">
        <v>17</v>
      </c>
      <c r="D192">
        <v>41</v>
      </c>
      <c r="E192" t="s">
        <v>66</v>
      </c>
      <c r="F192" t="s">
        <v>67</v>
      </c>
      <c r="G192" t="s">
        <v>33</v>
      </c>
      <c r="H192">
        <v>45000</v>
      </c>
      <c r="I192">
        <v>1</v>
      </c>
      <c r="J192">
        <v>5</v>
      </c>
      <c r="K192">
        <v>4</v>
      </c>
      <c r="L192" t="s">
        <v>29</v>
      </c>
      <c r="M192" t="s">
        <v>29</v>
      </c>
      <c r="N192" t="s">
        <v>34</v>
      </c>
      <c r="O192" t="s">
        <v>38</v>
      </c>
      <c r="P192" t="str">
        <f t="shared" si="10"/>
        <v>40-49</v>
      </c>
      <c r="Q192" t="str">
        <f t="shared" si="11"/>
        <v>Medium</v>
      </c>
      <c r="R192" t="str">
        <f t="shared" si="12"/>
        <v>Junior</v>
      </c>
      <c r="S192" t="str">
        <f t="shared" si="13"/>
        <v>High Performer</v>
      </c>
      <c r="T192" s="4" t="str">
        <f t="shared" si="14"/>
        <v>Satisfied</v>
      </c>
    </row>
    <row r="193" spans="1:20" x14ac:dyDescent="0.3">
      <c r="A193" t="s">
        <v>353</v>
      </c>
      <c r="B193" t="s">
        <v>354</v>
      </c>
      <c r="C193" t="s">
        <v>37</v>
      </c>
      <c r="D193">
        <v>46</v>
      </c>
      <c r="E193" t="s">
        <v>18</v>
      </c>
      <c r="F193" t="s">
        <v>126</v>
      </c>
      <c r="G193" t="s">
        <v>33</v>
      </c>
      <c r="H193">
        <v>54000</v>
      </c>
      <c r="I193">
        <v>6</v>
      </c>
      <c r="J193">
        <v>5</v>
      </c>
      <c r="K193">
        <v>3</v>
      </c>
      <c r="L193" t="s">
        <v>29</v>
      </c>
      <c r="M193" t="s">
        <v>29</v>
      </c>
      <c r="N193" t="s">
        <v>34</v>
      </c>
      <c r="O193" t="s">
        <v>54</v>
      </c>
      <c r="P193" t="str">
        <f t="shared" si="10"/>
        <v>40-49</v>
      </c>
      <c r="Q193" t="str">
        <f t="shared" si="11"/>
        <v>Medium</v>
      </c>
      <c r="R193" t="str">
        <f t="shared" si="12"/>
        <v>Mid-Level</v>
      </c>
      <c r="S193" t="str">
        <f t="shared" si="13"/>
        <v>High Performer</v>
      </c>
      <c r="T193" s="4" t="str">
        <f t="shared" si="14"/>
        <v>Neutral</v>
      </c>
    </row>
    <row r="194" spans="1:20" x14ac:dyDescent="0.3">
      <c r="A194" t="s">
        <v>355</v>
      </c>
      <c r="B194" t="s">
        <v>84</v>
      </c>
      <c r="C194" t="s">
        <v>37</v>
      </c>
      <c r="D194">
        <v>29</v>
      </c>
      <c r="E194" t="s">
        <v>26</v>
      </c>
      <c r="F194" t="s">
        <v>27</v>
      </c>
      <c r="G194" t="s">
        <v>20</v>
      </c>
      <c r="H194">
        <v>73000</v>
      </c>
      <c r="I194">
        <v>8</v>
      </c>
      <c r="J194">
        <v>5</v>
      </c>
      <c r="K194">
        <v>5</v>
      </c>
      <c r="L194" t="s">
        <v>21</v>
      </c>
      <c r="M194" t="s">
        <v>29</v>
      </c>
      <c r="N194" t="s">
        <v>22</v>
      </c>
      <c r="O194" t="s">
        <v>54</v>
      </c>
      <c r="P194" t="str">
        <f t="shared" ref="P194:P257" si="15">IF(D194&lt;30,"20-29",IF(D194&lt;40,"30-39",IF(D194&lt;50,"40-49","50+")))</f>
        <v>20-29</v>
      </c>
      <c r="Q194" t="str">
        <f t="shared" ref="Q194:Q257" si="16">IF(H194&lt;40000,"Low",IF(H194&lt;70000,"Medium","High"))</f>
        <v>High</v>
      </c>
      <c r="R194" t="str">
        <f t="shared" ref="R194:R257" si="17">IF(I194&lt;3,"Junior",IF(I194&lt;7,"Mid-Level","Senior"))</f>
        <v>Senior</v>
      </c>
      <c r="S194" t="str">
        <f t="shared" ref="S194:S257" si="18">IF(J194&gt;=4,"High Performer","Needs Improvement")</f>
        <v>High Performer</v>
      </c>
      <c r="T194" s="4" t="str">
        <f t="shared" ref="T194:T257" si="19">IF(K194&gt;=4,"Satisfied",IF(K194=3,"Neutral","Dissatisfied"))</f>
        <v>Satisfied</v>
      </c>
    </row>
    <row r="195" spans="1:20" x14ac:dyDescent="0.3">
      <c r="A195" t="s">
        <v>356</v>
      </c>
      <c r="B195" t="s">
        <v>357</v>
      </c>
      <c r="C195" t="s">
        <v>37</v>
      </c>
      <c r="D195">
        <v>51</v>
      </c>
      <c r="E195" t="s">
        <v>57</v>
      </c>
      <c r="F195" t="s">
        <v>27</v>
      </c>
      <c r="G195" t="s">
        <v>46</v>
      </c>
      <c r="H195">
        <v>110000</v>
      </c>
      <c r="I195">
        <v>17</v>
      </c>
      <c r="J195">
        <v>2</v>
      </c>
      <c r="K195">
        <v>2</v>
      </c>
      <c r="L195" t="s">
        <v>21</v>
      </c>
      <c r="M195" t="s">
        <v>21</v>
      </c>
      <c r="N195" t="s">
        <v>22</v>
      </c>
      <c r="O195" t="s">
        <v>38</v>
      </c>
      <c r="P195" t="str">
        <f t="shared" si="15"/>
        <v>50+</v>
      </c>
      <c r="Q195" t="str">
        <f t="shared" si="16"/>
        <v>High</v>
      </c>
      <c r="R195" t="str">
        <f t="shared" si="17"/>
        <v>Senior</v>
      </c>
      <c r="S195" t="str">
        <f t="shared" si="18"/>
        <v>Needs Improvement</v>
      </c>
      <c r="T195" s="4" t="str">
        <f t="shared" si="19"/>
        <v>Dissatisfied</v>
      </c>
    </row>
    <row r="196" spans="1:20" x14ac:dyDescent="0.3">
      <c r="A196" t="s">
        <v>358</v>
      </c>
      <c r="B196" t="s">
        <v>326</v>
      </c>
      <c r="C196" t="s">
        <v>37</v>
      </c>
      <c r="D196">
        <v>41</v>
      </c>
      <c r="E196" t="s">
        <v>41</v>
      </c>
      <c r="F196" t="s">
        <v>42</v>
      </c>
      <c r="G196" t="s">
        <v>28</v>
      </c>
      <c r="H196">
        <v>38000</v>
      </c>
      <c r="I196">
        <v>5</v>
      </c>
      <c r="J196">
        <v>3</v>
      </c>
      <c r="K196">
        <v>1</v>
      </c>
      <c r="L196" t="s">
        <v>29</v>
      </c>
      <c r="M196" t="s">
        <v>21</v>
      </c>
      <c r="N196" t="s">
        <v>34</v>
      </c>
      <c r="O196" t="s">
        <v>70</v>
      </c>
      <c r="P196" t="str">
        <f t="shared" si="15"/>
        <v>40-49</v>
      </c>
      <c r="Q196" t="str">
        <f t="shared" si="16"/>
        <v>Low</v>
      </c>
      <c r="R196" t="str">
        <f t="shared" si="17"/>
        <v>Mid-Level</v>
      </c>
      <c r="S196" t="str">
        <f t="shared" si="18"/>
        <v>Needs Improvement</v>
      </c>
      <c r="T196" s="4" t="str">
        <f t="shared" si="19"/>
        <v>Dissatisfied</v>
      </c>
    </row>
    <row r="197" spans="1:20" x14ac:dyDescent="0.3">
      <c r="A197" t="s">
        <v>359</v>
      </c>
      <c r="B197" t="s">
        <v>360</v>
      </c>
      <c r="C197" t="s">
        <v>17</v>
      </c>
      <c r="D197">
        <v>40</v>
      </c>
      <c r="E197" t="s">
        <v>26</v>
      </c>
      <c r="F197" t="s">
        <v>27</v>
      </c>
      <c r="G197" t="s">
        <v>20</v>
      </c>
      <c r="H197">
        <v>58000</v>
      </c>
      <c r="I197">
        <v>19</v>
      </c>
      <c r="J197">
        <v>2</v>
      </c>
      <c r="K197">
        <v>2</v>
      </c>
      <c r="L197" t="s">
        <v>29</v>
      </c>
      <c r="M197" t="s">
        <v>29</v>
      </c>
      <c r="N197" t="s">
        <v>34</v>
      </c>
      <c r="O197" t="s">
        <v>51</v>
      </c>
      <c r="P197" t="str">
        <f t="shared" si="15"/>
        <v>40-49</v>
      </c>
      <c r="Q197" t="str">
        <f t="shared" si="16"/>
        <v>Medium</v>
      </c>
      <c r="R197" t="str">
        <f t="shared" si="17"/>
        <v>Senior</v>
      </c>
      <c r="S197" t="str">
        <f t="shared" si="18"/>
        <v>Needs Improvement</v>
      </c>
      <c r="T197" s="4" t="str">
        <f t="shared" si="19"/>
        <v>Dissatisfied</v>
      </c>
    </row>
    <row r="198" spans="1:20" x14ac:dyDescent="0.3">
      <c r="A198" t="s">
        <v>361</v>
      </c>
      <c r="B198" t="s">
        <v>362</v>
      </c>
      <c r="C198" t="s">
        <v>17</v>
      </c>
      <c r="D198">
        <v>50</v>
      </c>
      <c r="E198" t="s">
        <v>66</v>
      </c>
      <c r="F198" t="s">
        <v>82</v>
      </c>
      <c r="G198" t="s">
        <v>33</v>
      </c>
      <c r="H198">
        <v>97000</v>
      </c>
      <c r="I198">
        <v>8</v>
      </c>
      <c r="J198">
        <v>5</v>
      </c>
      <c r="K198">
        <v>2</v>
      </c>
      <c r="L198" t="s">
        <v>29</v>
      </c>
      <c r="M198" t="s">
        <v>29</v>
      </c>
      <c r="N198" t="s">
        <v>22</v>
      </c>
      <c r="O198" t="s">
        <v>30</v>
      </c>
      <c r="P198" t="str">
        <f t="shared" si="15"/>
        <v>50+</v>
      </c>
      <c r="Q198" t="str">
        <f t="shared" si="16"/>
        <v>High</v>
      </c>
      <c r="R198" t="str">
        <f t="shared" si="17"/>
        <v>Senior</v>
      </c>
      <c r="S198" t="str">
        <f t="shared" si="18"/>
        <v>High Performer</v>
      </c>
      <c r="T198" s="4" t="str">
        <f t="shared" si="19"/>
        <v>Dissatisfied</v>
      </c>
    </row>
    <row r="199" spans="1:20" x14ac:dyDescent="0.3">
      <c r="A199" t="s">
        <v>363</v>
      </c>
      <c r="B199" t="s">
        <v>191</v>
      </c>
      <c r="C199" t="s">
        <v>37</v>
      </c>
      <c r="D199">
        <v>37</v>
      </c>
      <c r="E199" t="s">
        <v>41</v>
      </c>
      <c r="F199" t="s">
        <v>42</v>
      </c>
      <c r="G199" t="s">
        <v>28</v>
      </c>
      <c r="H199">
        <v>96000</v>
      </c>
      <c r="I199">
        <v>6</v>
      </c>
      <c r="J199">
        <v>5</v>
      </c>
      <c r="K199">
        <v>4</v>
      </c>
      <c r="L199" t="s">
        <v>29</v>
      </c>
      <c r="M199" t="s">
        <v>29</v>
      </c>
      <c r="N199" t="s">
        <v>22</v>
      </c>
      <c r="O199" t="s">
        <v>70</v>
      </c>
      <c r="P199" t="str">
        <f t="shared" si="15"/>
        <v>30-39</v>
      </c>
      <c r="Q199" t="str">
        <f t="shared" si="16"/>
        <v>High</v>
      </c>
      <c r="R199" t="str">
        <f t="shared" si="17"/>
        <v>Mid-Level</v>
      </c>
      <c r="S199" t="str">
        <f t="shared" si="18"/>
        <v>High Performer</v>
      </c>
      <c r="T199" s="4" t="str">
        <f t="shared" si="19"/>
        <v>Satisfied</v>
      </c>
    </row>
    <row r="200" spans="1:20" x14ac:dyDescent="0.3">
      <c r="A200" t="s">
        <v>364</v>
      </c>
      <c r="B200" t="s">
        <v>79</v>
      </c>
      <c r="C200" t="s">
        <v>17</v>
      </c>
      <c r="D200">
        <v>32</v>
      </c>
      <c r="E200" t="s">
        <v>57</v>
      </c>
      <c r="F200" t="s">
        <v>27</v>
      </c>
      <c r="G200" t="s">
        <v>20</v>
      </c>
      <c r="H200">
        <v>76000</v>
      </c>
      <c r="I200">
        <v>11</v>
      </c>
      <c r="J200">
        <v>4</v>
      </c>
      <c r="K200">
        <v>4</v>
      </c>
      <c r="L200" t="s">
        <v>29</v>
      </c>
      <c r="M200" t="s">
        <v>29</v>
      </c>
      <c r="N200" t="s">
        <v>34</v>
      </c>
      <c r="O200" t="s">
        <v>75</v>
      </c>
      <c r="P200" t="str">
        <f t="shared" si="15"/>
        <v>30-39</v>
      </c>
      <c r="Q200" t="str">
        <f t="shared" si="16"/>
        <v>High</v>
      </c>
      <c r="R200" t="str">
        <f t="shared" si="17"/>
        <v>Senior</v>
      </c>
      <c r="S200" t="str">
        <f t="shared" si="18"/>
        <v>High Performer</v>
      </c>
      <c r="T200" s="4" t="str">
        <f t="shared" si="19"/>
        <v>Satisfied</v>
      </c>
    </row>
    <row r="201" spans="1:20" x14ac:dyDescent="0.3">
      <c r="A201" t="s">
        <v>365</v>
      </c>
      <c r="B201" t="s">
        <v>366</v>
      </c>
      <c r="C201" t="s">
        <v>37</v>
      </c>
      <c r="D201">
        <v>37</v>
      </c>
      <c r="E201" t="s">
        <v>66</v>
      </c>
      <c r="F201" t="s">
        <v>67</v>
      </c>
      <c r="G201" t="s">
        <v>46</v>
      </c>
      <c r="H201">
        <v>49000</v>
      </c>
      <c r="I201">
        <v>6</v>
      </c>
      <c r="J201">
        <v>4</v>
      </c>
      <c r="K201">
        <v>3</v>
      </c>
      <c r="L201" t="s">
        <v>29</v>
      </c>
      <c r="M201" t="s">
        <v>29</v>
      </c>
      <c r="N201" t="s">
        <v>22</v>
      </c>
      <c r="O201" t="s">
        <v>38</v>
      </c>
      <c r="P201" t="str">
        <f t="shared" si="15"/>
        <v>30-39</v>
      </c>
      <c r="Q201" t="str">
        <f t="shared" si="16"/>
        <v>Medium</v>
      </c>
      <c r="R201" t="str">
        <f t="shared" si="17"/>
        <v>Mid-Level</v>
      </c>
      <c r="S201" t="str">
        <f t="shared" si="18"/>
        <v>High Performer</v>
      </c>
      <c r="T201" s="4" t="str">
        <f t="shared" si="19"/>
        <v>Neutral</v>
      </c>
    </row>
    <row r="202" spans="1:20" x14ac:dyDescent="0.3">
      <c r="A202" t="s">
        <v>367</v>
      </c>
      <c r="B202" t="s">
        <v>45</v>
      </c>
      <c r="C202" t="s">
        <v>17</v>
      </c>
      <c r="D202">
        <v>24</v>
      </c>
      <c r="E202" t="s">
        <v>18</v>
      </c>
      <c r="F202" t="s">
        <v>126</v>
      </c>
      <c r="G202" t="s">
        <v>33</v>
      </c>
      <c r="H202">
        <v>108000</v>
      </c>
      <c r="I202">
        <v>3</v>
      </c>
      <c r="J202">
        <v>4</v>
      </c>
      <c r="K202">
        <v>5</v>
      </c>
      <c r="L202" t="s">
        <v>29</v>
      </c>
      <c r="M202" t="s">
        <v>29</v>
      </c>
      <c r="N202" t="s">
        <v>22</v>
      </c>
      <c r="O202" t="s">
        <v>30</v>
      </c>
      <c r="P202" t="str">
        <f t="shared" si="15"/>
        <v>20-29</v>
      </c>
      <c r="Q202" t="str">
        <f t="shared" si="16"/>
        <v>High</v>
      </c>
      <c r="R202" t="str">
        <f t="shared" si="17"/>
        <v>Mid-Level</v>
      </c>
      <c r="S202" t="str">
        <f t="shared" si="18"/>
        <v>High Performer</v>
      </c>
      <c r="T202" s="4" t="str">
        <f t="shared" si="19"/>
        <v>Satisfied</v>
      </c>
    </row>
    <row r="203" spans="1:20" x14ac:dyDescent="0.3">
      <c r="A203" t="s">
        <v>368</v>
      </c>
      <c r="B203" t="s">
        <v>98</v>
      </c>
      <c r="C203" t="s">
        <v>37</v>
      </c>
      <c r="D203">
        <v>26</v>
      </c>
      <c r="E203" t="s">
        <v>26</v>
      </c>
      <c r="F203" t="s">
        <v>27</v>
      </c>
      <c r="G203" t="s">
        <v>46</v>
      </c>
      <c r="H203">
        <v>105000</v>
      </c>
      <c r="I203">
        <v>5</v>
      </c>
      <c r="J203">
        <v>5</v>
      </c>
      <c r="K203">
        <v>3</v>
      </c>
      <c r="L203" t="s">
        <v>29</v>
      </c>
      <c r="M203" t="s">
        <v>29</v>
      </c>
      <c r="N203" t="s">
        <v>22</v>
      </c>
      <c r="O203" t="s">
        <v>75</v>
      </c>
      <c r="P203" t="str">
        <f t="shared" si="15"/>
        <v>20-29</v>
      </c>
      <c r="Q203" t="str">
        <f t="shared" si="16"/>
        <v>High</v>
      </c>
      <c r="R203" t="str">
        <f t="shared" si="17"/>
        <v>Mid-Level</v>
      </c>
      <c r="S203" t="str">
        <f t="shared" si="18"/>
        <v>High Performer</v>
      </c>
      <c r="T203" s="4" t="str">
        <f t="shared" si="19"/>
        <v>Neutral</v>
      </c>
    </row>
    <row r="204" spans="1:20" x14ac:dyDescent="0.3">
      <c r="A204" t="s">
        <v>369</v>
      </c>
      <c r="B204" t="s">
        <v>370</v>
      </c>
      <c r="C204" t="s">
        <v>17</v>
      </c>
      <c r="D204">
        <v>51</v>
      </c>
      <c r="E204" t="s">
        <v>49</v>
      </c>
      <c r="F204" t="s">
        <v>50</v>
      </c>
      <c r="G204" t="s">
        <v>28</v>
      </c>
      <c r="H204">
        <v>43000</v>
      </c>
      <c r="I204">
        <v>3</v>
      </c>
      <c r="J204">
        <v>5</v>
      </c>
      <c r="K204">
        <v>4</v>
      </c>
      <c r="L204" t="s">
        <v>29</v>
      </c>
      <c r="M204" t="s">
        <v>29</v>
      </c>
      <c r="N204" t="s">
        <v>34</v>
      </c>
      <c r="O204" t="s">
        <v>51</v>
      </c>
      <c r="P204" t="str">
        <f t="shared" si="15"/>
        <v>50+</v>
      </c>
      <c r="Q204" t="str">
        <f t="shared" si="16"/>
        <v>Medium</v>
      </c>
      <c r="R204" t="str">
        <f t="shared" si="17"/>
        <v>Mid-Level</v>
      </c>
      <c r="S204" t="str">
        <f t="shared" si="18"/>
        <v>High Performer</v>
      </c>
      <c r="T204" s="4" t="str">
        <f t="shared" si="19"/>
        <v>Satisfied</v>
      </c>
    </row>
    <row r="205" spans="1:20" x14ac:dyDescent="0.3">
      <c r="A205" t="s">
        <v>371</v>
      </c>
      <c r="B205" t="s">
        <v>372</v>
      </c>
      <c r="C205" t="s">
        <v>37</v>
      </c>
      <c r="D205">
        <v>39</v>
      </c>
      <c r="E205" t="s">
        <v>66</v>
      </c>
      <c r="F205" t="s">
        <v>67</v>
      </c>
      <c r="G205" t="s">
        <v>46</v>
      </c>
      <c r="H205">
        <v>75000</v>
      </c>
      <c r="I205">
        <v>15</v>
      </c>
      <c r="J205">
        <v>4</v>
      </c>
      <c r="K205">
        <v>5</v>
      </c>
      <c r="L205" t="s">
        <v>29</v>
      </c>
      <c r="M205" t="s">
        <v>29</v>
      </c>
      <c r="N205" t="s">
        <v>34</v>
      </c>
      <c r="O205" t="s">
        <v>38</v>
      </c>
      <c r="P205" t="str">
        <f t="shared" si="15"/>
        <v>30-39</v>
      </c>
      <c r="Q205" t="str">
        <f t="shared" si="16"/>
        <v>High</v>
      </c>
      <c r="R205" t="str">
        <f t="shared" si="17"/>
        <v>Senior</v>
      </c>
      <c r="S205" t="str">
        <f t="shared" si="18"/>
        <v>High Performer</v>
      </c>
      <c r="T205" s="4" t="str">
        <f t="shared" si="19"/>
        <v>Satisfied</v>
      </c>
    </row>
    <row r="206" spans="1:20" x14ac:dyDescent="0.3">
      <c r="A206" t="s">
        <v>373</v>
      </c>
      <c r="B206" t="s">
        <v>63</v>
      </c>
      <c r="C206" t="s">
        <v>37</v>
      </c>
      <c r="D206">
        <v>33</v>
      </c>
      <c r="E206" t="s">
        <v>49</v>
      </c>
      <c r="F206" t="s">
        <v>27</v>
      </c>
      <c r="G206" t="s">
        <v>46</v>
      </c>
      <c r="H206">
        <v>105000</v>
      </c>
      <c r="I206">
        <v>4</v>
      </c>
      <c r="J206">
        <v>4</v>
      </c>
      <c r="K206">
        <v>1</v>
      </c>
      <c r="L206" t="s">
        <v>29</v>
      </c>
      <c r="M206" t="s">
        <v>29</v>
      </c>
      <c r="N206" t="s">
        <v>34</v>
      </c>
      <c r="O206" t="s">
        <v>51</v>
      </c>
      <c r="P206" t="str">
        <f t="shared" si="15"/>
        <v>30-39</v>
      </c>
      <c r="Q206" t="str">
        <f t="shared" si="16"/>
        <v>High</v>
      </c>
      <c r="R206" t="str">
        <f t="shared" si="17"/>
        <v>Mid-Level</v>
      </c>
      <c r="S206" t="str">
        <f t="shared" si="18"/>
        <v>High Performer</v>
      </c>
      <c r="T206" s="4" t="str">
        <f t="shared" si="19"/>
        <v>Dissatisfied</v>
      </c>
    </row>
    <row r="207" spans="1:20" x14ac:dyDescent="0.3">
      <c r="A207" t="s">
        <v>374</v>
      </c>
      <c r="B207" t="s">
        <v>45</v>
      </c>
      <c r="C207" t="s">
        <v>17</v>
      </c>
      <c r="D207">
        <v>51</v>
      </c>
      <c r="E207" t="s">
        <v>18</v>
      </c>
      <c r="F207" t="s">
        <v>19</v>
      </c>
      <c r="G207" t="s">
        <v>46</v>
      </c>
      <c r="H207">
        <v>120000</v>
      </c>
      <c r="I207">
        <v>17</v>
      </c>
      <c r="J207">
        <v>5</v>
      </c>
      <c r="K207">
        <v>4</v>
      </c>
      <c r="L207" t="s">
        <v>29</v>
      </c>
      <c r="M207" t="s">
        <v>29</v>
      </c>
      <c r="N207" t="s">
        <v>22</v>
      </c>
      <c r="O207" t="s">
        <v>43</v>
      </c>
      <c r="P207" t="str">
        <f t="shared" si="15"/>
        <v>50+</v>
      </c>
      <c r="Q207" t="str">
        <f t="shared" si="16"/>
        <v>High</v>
      </c>
      <c r="R207" t="str">
        <f t="shared" si="17"/>
        <v>Senior</v>
      </c>
      <c r="S207" t="str">
        <f t="shared" si="18"/>
        <v>High Performer</v>
      </c>
      <c r="T207" s="4" t="str">
        <f t="shared" si="19"/>
        <v>Satisfied</v>
      </c>
    </row>
    <row r="208" spans="1:20" x14ac:dyDescent="0.3">
      <c r="A208" t="s">
        <v>375</v>
      </c>
      <c r="B208" t="s">
        <v>376</v>
      </c>
      <c r="C208" t="s">
        <v>17</v>
      </c>
      <c r="D208">
        <v>31</v>
      </c>
      <c r="E208" t="s">
        <v>57</v>
      </c>
      <c r="F208" t="s">
        <v>50</v>
      </c>
      <c r="G208" t="s">
        <v>28</v>
      </c>
      <c r="H208">
        <v>113000</v>
      </c>
      <c r="I208">
        <v>10</v>
      </c>
      <c r="J208">
        <v>4</v>
      </c>
      <c r="K208">
        <v>3</v>
      </c>
      <c r="L208" t="s">
        <v>29</v>
      </c>
      <c r="M208" t="s">
        <v>29</v>
      </c>
      <c r="N208" t="s">
        <v>22</v>
      </c>
      <c r="O208" t="s">
        <v>23</v>
      </c>
      <c r="P208" t="str">
        <f t="shared" si="15"/>
        <v>30-39</v>
      </c>
      <c r="Q208" t="str">
        <f t="shared" si="16"/>
        <v>High</v>
      </c>
      <c r="R208" t="str">
        <f t="shared" si="17"/>
        <v>Senior</v>
      </c>
      <c r="S208" t="str">
        <f t="shared" si="18"/>
        <v>High Performer</v>
      </c>
      <c r="T208" s="4" t="str">
        <f t="shared" si="19"/>
        <v>Neutral</v>
      </c>
    </row>
    <row r="209" spans="1:20" x14ac:dyDescent="0.3">
      <c r="A209" t="s">
        <v>377</v>
      </c>
      <c r="B209" t="s">
        <v>166</v>
      </c>
      <c r="C209" t="s">
        <v>37</v>
      </c>
      <c r="D209">
        <v>27</v>
      </c>
      <c r="E209" t="s">
        <v>66</v>
      </c>
      <c r="F209" t="s">
        <v>82</v>
      </c>
      <c r="G209" t="s">
        <v>20</v>
      </c>
      <c r="H209">
        <v>31000</v>
      </c>
      <c r="I209">
        <v>0</v>
      </c>
      <c r="J209">
        <v>5</v>
      </c>
      <c r="K209">
        <v>1</v>
      </c>
      <c r="L209" t="s">
        <v>21</v>
      </c>
      <c r="M209" t="s">
        <v>21</v>
      </c>
      <c r="N209" t="s">
        <v>34</v>
      </c>
      <c r="O209" t="s">
        <v>54</v>
      </c>
      <c r="P209" t="str">
        <f t="shared" si="15"/>
        <v>20-29</v>
      </c>
      <c r="Q209" t="str">
        <f t="shared" si="16"/>
        <v>Low</v>
      </c>
      <c r="R209" t="str">
        <f t="shared" si="17"/>
        <v>Junior</v>
      </c>
      <c r="S209" t="str">
        <f t="shared" si="18"/>
        <v>High Performer</v>
      </c>
      <c r="T209" s="4" t="str">
        <f t="shared" si="19"/>
        <v>Dissatisfied</v>
      </c>
    </row>
    <row r="210" spans="1:20" x14ac:dyDescent="0.3">
      <c r="A210" t="s">
        <v>378</v>
      </c>
      <c r="B210" t="s">
        <v>379</v>
      </c>
      <c r="C210" t="s">
        <v>17</v>
      </c>
      <c r="D210">
        <v>25</v>
      </c>
      <c r="E210" t="s">
        <v>66</v>
      </c>
      <c r="F210" t="s">
        <v>67</v>
      </c>
      <c r="G210" t="s">
        <v>28</v>
      </c>
      <c r="H210">
        <v>50000</v>
      </c>
      <c r="I210">
        <v>2</v>
      </c>
      <c r="J210">
        <v>5</v>
      </c>
      <c r="K210">
        <v>5</v>
      </c>
      <c r="L210" t="s">
        <v>21</v>
      </c>
      <c r="M210" t="s">
        <v>29</v>
      </c>
      <c r="N210" t="s">
        <v>34</v>
      </c>
      <c r="O210" t="s">
        <v>54</v>
      </c>
      <c r="P210" t="str">
        <f t="shared" si="15"/>
        <v>20-29</v>
      </c>
      <c r="Q210" t="str">
        <f t="shared" si="16"/>
        <v>Medium</v>
      </c>
      <c r="R210" t="str">
        <f t="shared" si="17"/>
        <v>Junior</v>
      </c>
      <c r="S210" t="str">
        <f t="shared" si="18"/>
        <v>High Performer</v>
      </c>
      <c r="T210" s="4" t="str">
        <f t="shared" si="19"/>
        <v>Satisfied</v>
      </c>
    </row>
    <row r="211" spans="1:20" x14ac:dyDescent="0.3">
      <c r="A211" t="s">
        <v>380</v>
      </c>
      <c r="B211" t="s">
        <v>381</v>
      </c>
      <c r="C211" t="s">
        <v>37</v>
      </c>
      <c r="D211">
        <v>51</v>
      </c>
      <c r="E211" t="s">
        <v>66</v>
      </c>
      <c r="F211" t="s">
        <v>67</v>
      </c>
      <c r="G211" t="s">
        <v>46</v>
      </c>
      <c r="H211">
        <v>37000</v>
      </c>
      <c r="I211">
        <v>18</v>
      </c>
      <c r="J211">
        <v>5</v>
      </c>
      <c r="K211">
        <v>4</v>
      </c>
      <c r="L211" t="s">
        <v>21</v>
      </c>
      <c r="M211" t="s">
        <v>29</v>
      </c>
      <c r="N211" t="s">
        <v>22</v>
      </c>
      <c r="O211" t="s">
        <v>54</v>
      </c>
      <c r="P211" t="str">
        <f t="shared" si="15"/>
        <v>50+</v>
      </c>
      <c r="Q211" t="str">
        <f t="shared" si="16"/>
        <v>Low</v>
      </c>
      <c r="R211" t="str">
        <f t="shared" si="17"/>
        <v>Senior</v>
      </c>
      <c r="S211" t="str">
        <f t="shared" si="18"/>
        <v>High Performer</v>
      </c>
      <c r="T211" s="4" t="str">
        <f t="shared" si="19"/>
        <v>Satisfied</v>
      </c>
    </row>
    <row r="212" spans="1:20" x14ac:dyDescent="0.3">
      <c r="A212" t="s">
        <v>382</v>
      </c>
      <c r="B212" t="s">
        <v>203</v>
      </c>
      <c r="C212" t="s">
        <v>37</v>
      </c>
      <c r="D212">
        <v>44</v>
      </c>
      <c r="E212" t="s">
        <v>26</v>
      </c>
      <c r="F212" t="s">
        <v>50</v>
      </c>
      <c r="G212" t="s">
        <v>20</v>
      </c>
      <c r="H212">
        <v>92000</v>
      </c>
      <c r="I212">
        <v>8</v>
      </c>
      <c r="J212">
        <v>4</v>
      </c>
      <c r="K212">
        <v>2</v>
      </c>
      <c r="L212" t="s">
        <v>21</v>
      </c>
      <c r="M212" t="s">
        <v>21</v>
      </c>
      <c r="N212" t="s">
        <v>34</v>
      </c>
      <c r="O212" t="s">
        <v>30</v>
      </c>
      <c r="P212" t="str">
        <f t="shared" si="15"/>
        <v>40-49</v>
      </c>
      <c r="Q212" t="str">
        <f t="shared" si="16"/>
        <v>High</v>
      </c>
      <c r="R212" t="str">
        <f t="shared" si="17"/>
        <v>Senior</v>
      </c>
      <c r="S212" t="str">
        <f t="shared" si="18"/>
        <v>High Performer</v>
      </c>
      <c r="T212" s="4" t="str">
        <f t="shared" si="19"/>
        <v>Dissatisfied</v>
      </c>
    </row>
    <row r="213" spans="1:20" x14ac:dyDescent="0.3">
      <c r="A213" t="s">
        <v>383</v>
      </c>
      <c r="B213" t="s">
        <v>384</v>
      </c>
      <c r="C213" t="s">
        <v>37</v>
      </c>
      <c r="D213">
        <v>26</v>
      </c>
      <c r="E213" t="s">
        <v>57</v>
      </c>
      <c r="F213" t="s">
        <v>27</v>
      </c>
      <c r="G213" t="s">
        <v>33</v>
      </c>
      <c r="H213">
        <v>97000</v>
      </c>
      <c r="I213">
        <v>1</v>
      </c>
      <c r="J213">
        <v>4</v>
      </c>
      <c r="K213">
        <v>4</v>
      </c>
      <c r="L213" t="s">
        <v>21</v>
      </c>
      <c r="M213" t="s">
        <v>29</v>
      </c>
      <c r="N213" t="s">
        <v>34</v>
      </c>
      <c r="O213" t="s">
        <v>43</v>
      </c>
      <c r="P213" t="str">
        <f t="shared" si="15"/>
        <v>20-29</v>
      </c>
      <c r="Q213" t="str">
        <f t="shared" si="16"/>
        <v>High</v>
      </c>
      <c r="R213" t="str">
        <f t="shared" si="17"/>
        <v>Junior</v>
      </c>
      <c r="S213" t="str">
        <f t="shared" si="18"/>
        <v>High Performer</v>
      </c>
      <c r="T213" s="4" t="str">
        <f t="shared" si="19"/>
        <v>Satisfied</v>
      </c>
    </row>
    <row r="214" spans="1:20" x14ac:dyDescent="0.3">
      <c r="A214" t="s">
        <v>385</v>
      </c>
      <c r="B214" t="s">
        <v>370</v>
      </c>
      <c r="C214" t="s">
        <v>17</v>
      </c>
      <c r="D214">
        <v>38</v>
      </c>
      <c r="E214" t="s">
        <v>66</v>
      </c>
      <c r="F214" t="s">
        <v>82</v>
      </c>
      <c r="G214" t="s">
        <v>28</v>
      </c>
      <c r="H214">
        <v>64000</v>
      </c>
      <c r="I214">
        <v>15</v>
      </c>
      <c r="J214">
        <v>4</v>
      </c>
      <c r="K214">
        <v>3</v>
      </c>
      <c r="L214" t="s">
        <v>21</v>
      </c>
      <c r="M214" t="s">
        <v>29</v>
      </c>
      <c r="N214" t="s">
        <v>34</v>
      </c>
      <c r="O214" t="s">
        <v>30</v>
      </c>
      <c r="P214" t="str">
        <f t="shared" si="15"/>
        <v>30-39</v>
      </c>
      <c r="Q214" t="str">
        <f t="shared" si="16"/>
        <v>Medium</v>
      </c>
      <c r="R214" t="str">
        <f t="shared" si="17"/>
        <v>Senior</v>
      </c>
      <c r="S214" t="str">
        <f t="shared" si="18"/>
        <v>High Performer</v>
      </c>
      <c r="T214" s="4" t="str">
        <f t="shared" si="19"/>
        <v>Neutral</v>
      </c>
    </row>
    <row r="215" spans="1:20" x14ac:dyDescent="0.3">
      <c r="A215" t="s">
        <v>386</v>
      </c>
      <c r="B215" t="s">
        <v>205</v>
      </c>
      <c r="C215" t="s">
        <v>37</v>
      </c>
      <c r="D215">
        <v>33</v>
      </c>
      <c r="E215" t="s">
        <v>49</v>
      </c>
      <c r="F215" t="s">
        <v>27</v>
      </c>
      <c r="G215" t="s">
        <v>28</v>
      </c>
      <c r="H215">
        <v>93000</v>
      </c>
      <c r="I215">
        <v>3</v>
      </c>
      <c r="J215">
        <v>5</v>
      </c>
      <c r="K215">
        <v>2</v>
      </c>
      <c r="L215" t="s">
        <v>21</v>
      </c>
      <c r="M215" t="s">
        <v>21</v>
      </c>
      <c r="N215" t="s">
        <v>34</v>
      </c>
      <c r="O215" t="s">
        <v>70</v>
      </c>
      <c r="P215" t="str">
        <f t="shared" si="15"/>
        <v>30-39</v>
      </c>
      <c r="Q215" t="str">
        <f t="shared" si="16"/>
        <v>High</v>
      </c>
      <c r="R215" t="str">
        <f t="shared" si="17"/>
        <v>Mid-Level</v>
      </c>
      <c r="S215" t="str">
        <f t="shared" si="18"/>
        <v>High Performer</v>
      </c>
      <c r="T215" s="4" t="str">
        <f t="shared" si="19"/>
        <v>Dissatisfied</v>
      </c>
    </row>
    <row r="216" spans="1:20" x14ac:dyDescent="0.3">
      <c r="A216" t="s">
        <v>387</v>
      </c>
      <c r="B216" t="s">
        <v>320</v>
      </c>
      <c r="C216" t="s">
        <v>37</v>
      </c>
      <c r="D216">
        <v>23</v>
      </c>
      <c r="E216" t="s">
        <v>66</v>
      </c>
      <c r="F216" t="s">
        <v>82</v>
      </c>
      <c r="G216" t="s">
        <v>20</v>
      </c>
      <c r="H216">
        <v>86000</v>
      </c>
      <c r="I216">
        <v>2</v>
      </c>
      <c r="J216">
        <v>3</v>
      </c>
      <c r="K216">
        <v>1</v>
      </c>
      <c r="L216" t="s">
        <v>21</v>
      </c>
      <c r="M216" t="s">
        <v>29</v>
      </c>
      <c r="N216" t="s">
        <v>22</v>
      </c>
      <c r="O216" t="s">
        <v>54</v>
      </c>
      <c r="P216" t="str">
        <f t="shared" si="15"/>
        <v>20-29</v>
      </c>
      <c r="Q216" t="str">
        <f t="shared" si="16"/>
        <v>High</v>
      </c>
      <c r="R216" t="str">
        <f t="shared" si="17"/>
        <v>Junior</v>
      </c>
      <c r="S216" t="str">
        <f t="shared" si="18"/>
        <v>Needs Improvement</v>
      </c>
      <c r="T216" s="4" t="str">
        <f t="shared" si="19"/>
        <v>Dissatisfied</v>
      </c>
    </row>
    <row r="217" spans="1:20" x14ac:dyDescent="0.3">
      <c r="A217" t="s">
        <v>388</v>
      </c>
      <c r="B217" t="s">
        <v>188</v>
      </c>
      <c r="C217" t="s">
        <v>17</v>
      </c>
      <c r="D217">
        <v>39</v>
      </c>
      <c r="E217" t="s">
        <v>18</v>
      </c>
      <c r="F217" t="s">
        <v>126</v>
      </c>
      <c r="G217" t="s">
        <v>28</v>
      </c>
      <c r="H217">
        <v>71000</v>
      </c>
      <c r="I217">
        <v>12</v>
      </c>
      <c r="J217">
        <v>3</v>
      </c>
      <c r="K217">
        <v>2</v>
      </c>
      <c r="L217" t="s">
        <v>21</v>
      </c>
      <c r="M217" t="s">
        <v>21</v>
      </c>
      <c r="N217" t="s">
        <v>34</v>
      </c>
      <c r="O217" t="s">
        <v>54</v>
      </c>
      <c r="P217" t="str">
        <f t="shared" si="15"/>
        <v>30-39</v>
      </c>
      <c r="Q217" t="str">
        <f t="shared" si="16"/>
        <v>High</v>
      </c>
      <c r="R217" t="str">
        <f t="shared" si="17"/>
        <v>Senior</v>
      </c>
      <c r="S217" t="str">
        <f t="shared" si="18"/>
        <v>Needs Improvement</v>
      </c>
      <c r="T217" s="4" t="str">
        <f t="shared" si="19"/>
        <v>Dissatisfied</v>
      </c>
    </row>
    <row r="218" spans="1:20" x14ac:dyDescent="0.3">
      <c r="A218" t="s">
        <v>389</v>
      </c>
      <c r="B218" t="s">
        <v>390</v>
      </c>
      <c r="C218" t="s">
        <v>17</v>
      </c>
      <c r="D218">
        <v>40</v>
      </c>
      <c r="E218" t="s">
        <v>18</v>
      </c>
      <c r="F218" t="s">
        <v>19</v>
      </c>
      <c r="G218" t="s">
        <v>20</v>
      </c>
      <c r="H218">
        <v>35000</v>
      </c>
      <c r="I218">
        <v>13</v>
      </c>
      <c r="J218">
        <v>4</v>
      </c>
      <c r="K218">
        <v>4</v>
      </c>
      <c r="L218" t="s">
        <v>29</v>
      </c>
      <c r="M218" t="s">
        <v>29</v>
      </c>
      <c r="N218" t="s">
        <v>22</v>
      </c>
      <c r="O218" t="s">
        <v>70</v>
      </c>
      <c r="P218" t="str">
        <f t="shared" si="15"/>
        <v>40-49</v>
      </c>
      <c r="Q218" t="str">
        <f t="shared" si="16"/>
        <v>Low</v>
      </c>
      <c r="R218" t="str">
        <f t="shared" si="17"/>
        <v>Senior</v>
      </c>
      <c r="S218" t="str">
        <f t="shared" si="18"/>
        <v>High Performer</v>
      </c>
      <c r="T218" s="4" t="str">
        <f t="shared" si="19"/>
        <v>Satisfied</v>
      </c>
    </row>
    <row r="219" spans="1:20" x14ac:dyDescent="0.3">
      <c r="A219" t="s">
        <v>391</v>
      </c>
      <c r="B219" t="s">
        <v>128</v>
      </c>
      <c r="C219" t="s">
        <v>17</v>
      </c>
      <c r="D219">
        <v>40</v>
      </c>
      <c r="E219" t="s">
        <v>41</v>
      </c>
      <c r="F219" t="s">
        <v>42</v>
      </c>
      <c r="G219" t="s">
        <v>46</v>
      </c>
      <c r="H219">
        <v>72000</v>
      </c>
      <c r="I219">
        <v>5</v>
      </c>
      <c r="J219">
        <v>2</v>
      </c>
      <c r="K219">
        <v>2</v>
      </c>
      <c r="L219" t="s">
        <v>29</v>
      </c>
      <c r="M219" t="s">
        <v>29</v>
      </c>
      <c r="N219" t="s">
        <v>34</v>
      </c>
      <c r="O219" t="s">
        <v>23</v>
      </c>
      <c r="P219" t="str">
        <f t="shared" si="15"/>
        <v>40-49</v>
      </c>
      <c r="Q219" t="str">
        <f t="shared" si="16"/>
        <v>High</v>
      </c>
      <c r="R219" t="str">
        <f t="shared" si="17"/>
        <v>Mid-Level</v>
      </c>
      <c r="S219" t="str">
        <f t="shared" si="18"/>
        <v>Needs Improvement</v>
      </c>
      <c r="T219" s="4" t="str">
        <f t="shared" si="19"/>
        <v>Dissatisfied</v>
      </c>
    </row>
    <row r="220" spans="1:20" x14ac:dyDescent="0.3">
      <c r="A220" t="s">
        <v>392</v>
      </c>
      <c r="B220" t="s">
        <v>164</v>
      </c>
      <c r="C220" t="s">
        <v>37</v>
      </c>
      <c r="D220">
        <v>26</v>
      </c>
      <c r="E220" t="s">
        <v>57</v>
      </c>
      <c r="F220" t="s">
        <v>27</v>
      </c>
      <c r="G220" t="s">
        <v>46</v>
      </c>
      <c r="H220">
        <v>55000</v>
      </c>
      <c r="I220">
        <v>5</v>
      </c>
      <c r="J220">
        <v>2</v>
      </c>
      <c r="K220">
        <v>4</v>
      </c>
      <c r="L220" t="s">
        <v>29</v>
      </c>
      <c r="M220" t="s">
        <v>29</v>
      </c>
      <c r="N220" t="s">
        <v>22</v>
      </c>
      <c r="O220" t="s">
        <v>38</v>
      </c>
      <c r="P220" t="str">
        <f t="shared" si="15"/>
        <v>20-29</v>
      </c>
      <c r="Q220" t="str">
        <f t="shared" si="16"/>
        <v>Medium</v>
      </c>
      <c r="R220" t="str">
        <f t="shared" si="17"/>
        <v>Mid-Level</v>
      </c>
      <c r="S220" t="str">
        <f t="shared" si="18"/>
        <v>Needs Improvement</v>
      </c>
      <c r="T220" s="4" t="str">
        <f t="shared" si="19"/>
        <v>Satisfied</v>
      </c>
    </row>
    <row r="221" spans="1:20" x14ac:dyDescent="0.3">
      <c r="A221" t="s">
        <v>393</v>
      </c>
      <c r="B221" t="s">
        <v>394</v>
      </c>
      <c r="C221" t="s">
        <v>17</v>
      </c>
      <c r="D221">
        <v>29</v>
      </c>
      <c r="E221" t="s">
        <v>18</v>
      </c>
      <c r="F221" t="s">
        <v>19</v>
      </c>
      <c r="G221" t="s">
        <v>28</v>
      </c>
      <c r="H221">
        <v>73000</v>
      </c>
      <c r="I221">
        <v>5</v>
      </c>
      <c r="J221">
        <v>4</v>
      </c>
      <c r="K221">
        <v>5</v>
      </c>
      <c r="L221" t="s">
        <v>29</v>
      </c>
      <c r="M221" t="s">
        <v>29</v>
      </c>
      <c r="N221" t="s">
        <v>34</v>
      </c>
      <c r="O221" t="s">
        <v>51</v>
      </c>
      <c r="P221" t="str">
        <f t="shared" si="15"/>
        <v>20-29</v>
      </c>
      <c r="Q221" t="str">
        <f t="shared" si="16"/>
        <v>High</v>
      </c>
      <c r="R221" t="str">
        <f t="shared" si="17"/>
        <v>Mid-Level</v>
      </c>
      <c r="S221" t="str">
        <f t="shared" si="18"/>
        <v>High Performer</v>
      </c>
      <c r="T221" s="4" t="str">
        <f t="shared" si="19"/>
        <v>Satisfied</v>
      </c>
    </row>
    <row r="222" spans="1:20" x14ac:dyDescent="0.3">
      <c r="A222" t="s">
        <v>395</v>
      </c>
      <c r="B222" t="s">
        <v>233</v>
      </c>
      <c r="C222" t="s">
        <v>37</v>
      </c>
      <c r="D222">
        <v>49</v>
      </c>
      <c r="E222" t="s">
        <v>18</v>
      </c>
      <c r="F222" t="s">
        <v>126</v>
      </c>
      <c r="G222" t="s">
        <v>46</v>
      </c>
      <c r="H222">
        <v>118000</v>
      </c>
      <c r="I222">
        <v>7</v>
      </c>
      <c r="J222">
        <v>2</v>
      </c>
      <c r="K222">
        <v>4</v>
      </c>
      <c r="L222" t="s">
        <v>29</v>
      </c>
      <c r="M222" t="s">
        <v>29</v>
      </c>
      <c r="N222" t="s">
        <v>22</v>
      </c>
      <c r="O222" t="s">
        <v>70</v>
      </c>
      <c r="P222" t="str">
        <f t="shared" si="15"/>
        <v>40-49</v>
      </c>
      <c r="Q222" t="str">
        <f t="shared" si="16"/>
        <v>High</v>
      </c>
      <c r="R222" t="str">
        <f t="shared" si="17"/>
        <v>Senior</v>
      </c>
      <c r="S222" t="str">
        <f t="shared" si="18"/>
        <v>Needs Improvement</v>
      </c>
      <c r="T222" s="4" t="str">
        <f t="shared" si="19"/>
        <v>Satisfied</v>
      </c>
    </row>
    <row r="223" spans="1:20" x14ac:dyDescent="0.3">
      <c r="A223" t="s">
        <v>396</v>
      </c>
      <c r="B223" t="s">
        <v>397</v>
      </c>
      <c r="C223" t="s">
        <v>17</v>
      </c>
      <c r="D223">
        <v>32</v>
      </c>
      <c r="E223" t="s">
        <v>18</v>
      </c>
      <c r="F223" t="s">
        <v>19</v>
      </c>
      <c r="G223" t="s">
        <v>33</v>
      </c>
      <c r="H223">
        <v>112000</v>
      </c>
      <c r="I223">
        <v>11</v>
      </c>
      <c r="J223">
        <v>4</v>
      </c>
      <c r="K223">
        <v>4</v>
      </c>
      <c r="L223" t="s">
        <v>21</v>
      </c>
      <c r="M223" t="s">
        <v>21</v>
      </c>
      <c r="N223" t="s">
        <v>34</v>
      </c>
      <c r="O223" t="s">
        <v>54</v>
      </c>
      <c r="P223" t="str">
        <f t="shared" si="15"/>
        <v>30-39</v>
      </c>
      <c r="Q223" t="str">
        <f t="shared" si="16"/>
        <v>High</v>
      </c>
      <c r="R223" t="str">
        <f t="shared" si="17"/>
        <v>Senior</v>
      </c>
      <c r="S223" t="str">
        <f t="shared" si="18"/>
        <v>High Performer</v>
      </c>
      <c r="T223" s="4" t="str">
        <f t="shared" si="19"/>
        <v>Satisfied</v>
      </c>
    </row>
    <row r="224" spans="1:20" x14ac:dyDescent="0.3">
      <c r="A224" t="s">
        <v>398</v>
      </c>
      <c r="B224" t="s">
        <v>100</v>
      </c>
      <c r="C224" t="s">
        <v>37</v>
      </c>
      <c r="D224">
        <v>55</v>
      </c>
      <c r="E224" t="s">
        <v>18</v>
      </c>
      <c r="F224" t="s">
        <v>126</v>
      </c>
      <c r="G224" t="s">
        <v>33</v>
      </c>
      <c r="H224">
        <v>50000</v>
      </c>
      <c r="I224">
        <v>19</v>
      </c>
      <c r="J224">
        <v>3</v>
      </c>
      <c r="K224">
        <v>3</v>
      </c>
      <c r="L224" t="s">
        <v>21</v>
      </c>
      <c r="M224" t="s">
        <v>29</v>
      </c>
      <c r="N224" t="s">
        <v>34</v>
      </c>
      <c r="O224" t="s">
        <v>38</v>
      </c>
      <c r="P224" t="str">
        <f t="shared" si="15"/>
        <v>50+</v>
      </c>
      <c r="Q224" t="str">
        <f t="shared" si="16"/>
        <v>Medium</v>
      </c>
      <c r="R224" t="str">
        <f t="shared" si="17"/>
        <v>Senior</v>
      </c>
      <c r="S224" t="str">
        <f t="shared" si="18"/>
        <v>Needs Improvement</v>
      </c>
      <c r="T224" s="4" t="str">
        <f t="shared" si="19"/>
        <v>Neutral</v>
      </c>
    </row>
    <row r="225" spans="1:20" x14ac:dyDescent="0.3">
      <c r="A225" t="s">
        <v>399</v>
      </c>
      <c r="B225" t="s">
        <v>238</v>
      </c>
      <c r="C225" t="s">
        <v>17</v>
      </c>
      <c r="D225">
        <v>25</v>
      </c>
      <c r="E225" t="s">
        <v>18</v>
      </c>
      <c r="F225" t="s">
        <v>19</v>
      </c>
      <c r="G225" t="s">
        <v>46</v>
      </c>
      <c r="H225">
        <v>71000</v>
      </c>
      <c r="I225">
        <v>4</v>
      </c>
      <c r="J225">
        <v>3</v>
      </c>
      <c r="K225">
        <v>4</v>
      </c>
      <c r="L225" t="s">
        <v>21</v>
      </c>
      <c r="M225" t="s">
        <v>29</v>
      </c>
      <c r="N225" t="s">
        <v>22</v>
      </c>
      <c r="O225" t="s">
        <v>30</v>
      </c>
      <c r="P225" t="str">
        <f t="shared" si="15"/>
        <v>20-29</v>
      </c>
      <c r="Q225" t="str">
        <f t="shared" si="16"/>
        <v>High</v>
      </c>
      <c r="R225" t="str">
        <f t="shared" si="17"/>
        <v>Mid-Level</v>
      </c>
      <c r="S225" t="str">
        <f t="shared" si="18"/>
        <v>Needs Improvement</v>
      </c>
      <c r="T225" s="4" t="str">
        <f t="shared" si="19"/>
        <v>Satisfied</v>
      </c>
    </row>
    <row r="226" spans="1:20" x14ac:dyDescent="0.3">
      <c r="A226" t="s">
        <v>400</v>
      </c>
      <c r="B226" t="s">
        <v>45</v>
      </c>
      <c r="C226" t="s">
        <v>37</v>
      </c>
      <c r="D226">
        <v>51</v>
      </c>
      <c r="E226" t="s">
        <v>18</v>
      </c>
      <c r="F226" t="s">
        <v>126</v>
      </c>
      <c r="G226" t="s">
        <v>46</v>
      </c>
      <c r="H226">
        <v>107000</v>
      </c>
      <c r="I226">
        <v>5</v>
      </c>
      <c r="J226">
        <v>3</v>
      </c>
      <c r="K226">
        <v>1</v>
      </c>
      <c r="L226" t="s">
        <v>29</v>
      </c>
      <c r="M226" t="s">
        <v>29</v>
      </c>
      <c r="N226" t="s">
        <v>34</v>
      </c>
      <c r="O226" t="s">
        <v>75</v>
      </c>
      <c r="P226" t="str">
        <f t="shared" si="15"/>
        <v>50+</v>
      </c>
      <c r="Q226" t="str">
        <f t="shared" si="16"/>
        <v>High</v>
      </c>
      <c r="R226" t="str">
        <f t="shared" si="17"/>
        <v>Mid-Level</v>
      </c>
      <c r="S226" t="str">
        <f t="shared" si="18"/>
        <v>Needs Improvement</v>
      </c>
      <c r="T226" s="4" t="str">
        <f t="shared" si="19"/>
        <v>Dissatisfied</v>
      </c>
    </row>
    <row r="227" spans="1:20" x14ac:dyDescent="0.3">
      <c r="A227" t="s">
        <v>401</v>
      </c>
      <c r="B227" t="s">
        <v>330</v>
      </c>
      <c r="C227" t="s">
        <v>37</v>
      </c>
      <c r="D227">
        <v>49</v>
      </c>
      <c r="E227" t="s">
        <v>57</v>
      </c>
      <c r="F227" t="s">
        <v>27</v>
      </c>
      <c r="G227" t="s">
        <v>46</v>
      </c>
      <c r="H227">
        <v>55000</v>
      </c>
      <c r="I227">
        <v>19</v>
      </c>
      <c r="J227">
        <v>4</v>
      </c>
      <c r="K227">
        <v>2</v>
      </c>
      <c r="L227" t="s">
        <v>21</v>
      </c>
      <c r="M227" t="s">
        <v>21</v>
      </c>
      <c r="N227" t="s">
        <v>34</v>
      </c>
      <c r="O227" t="s">
        <v>30</v>
      </c>
      <c r="P227" t="str">
        <f t="shared" si="15"/>
        <v>40-49</v>
      </c>
      <c r="Q227" t="str">
        <f t="shared" si="16"/>
        <v>Medium</v>
      </c>
      <c r="R227" t="str">
        <f t="shared" si="17"/>
        <v>Senior</v>
      </c>
      <c r="S227" t="str">
        <f t="shared" si="18"/>
        <v>High Performer</v>
      </c>
      <c r="T227" s="4" t="str">
        <f t="shared" si="19"/>
        <v>Dissatisfied</v>
      </c>
    </row>
    <row r="228" spans="1:20" x14ac:dyDescent="0.3">
      <c r="A228" t="s">
        <v>402</v>
      </c>
      <c r="B228" t="s">
        <v>77</v>
      </c>
      <c r="C228" t="s">
        <v>37</v>
      </c>
      <c r="D228">
        <v>26</v>
      </c>
      <c r="E228" t="s">
        <v>41</v>
      </c>
      <c r="F228" t="s">
        <v>42</v>
      </c>
      <c r="G228" t="s">
        <v>46</v>
      </c>
      <c r="H228">
        <v>64000</v>
      </c>
      <c r="I228">
        <v>2</v>
      </c>
      <c r="J228">
        <v>5</v>
      </c>
      <c r="K228">
        <v>3</v>
      </c>
      <c r="L228" t="s">
        <v>29</v>
      </c>
      <c r="M228" t="s">
        <v>29</v>
      </c>
      <c r="N228" t="s">
        <v>22</v>
      </c>
      <c r="O228" t="s">
        <v>70</v>
      </c>
      <c r="P228" t="str">
        <f t="shared" si="15"/>
        <v>20-29</v>
      </c>
      <c r="Q228" t="str">
        <f t="shared" si="16"/>
        <v>Medium</v>
      </c>
      <c r="R228" t="str">
        <f t="shared" si="17"/>
        <v>Junior</v>
      </c>
      <c r="S228" t="str">
        <f t="shared" si="18"/>
        <v>High Performer</v>
      </c>
      <c r="T228" s="4" t="str">
        <f t="shared" si="19"/>
        <v>Neutral</v>
      </c>
    </row>
    <row r="229" spans="1:20" x14ac:dyDescent="0.3">
      <c r="A229" t="s">
        <v>403</v>
      </c>
      <c r="B229" t="s">
        <v>354</v>
      </c>
      <c r="C229" t="s">
        <v>37</v>
      </c>
      <c r="D229">
        <v>44</v>
      </c>
      <c r="E229" t="s">
        <v>49</v>
      </c>
      <c r="F229" t="s">
        <v>50</v>
      </c>
      <c r="G229" t="s">
        <v>46</v>
      </c>
      <c r="H229">
        <v>94000</v>
      </c>
      <c r="I229">
        <v>10</v>
      </c>
      <c r="J229">
        <v>4</v>
      </c>
      <c r="K229">
        <v>4</v>
      </c>
      <c r="L229" t="s">
        <v>29</v>
      </c>
      <c r="M229" t="s">
        <v>29</v>
      </c>
      <c r="N229" t="s">
        <v>34</v>
      </c>
      <c r="O229" t="s">
        <v>75</v>
      </c>
      <c r="P229" t="str">
        <f t="shared" si="15"/>
        <v>40-49</v>
      </c>
      <c r="Q229" t="str">
        <f t="shared" si="16"/>
        <v>High</v>
      </c>
      <c r="R229" t="str">
        <f t="shared" si="17"/>
        <v>Senior</v>
      </c>
      <c r="S229" t="str">
        <f t="shared" si="18"/>
        <v>High Performer</v>
      </c>
      <c r="T229" s="4" t="str">
        <f t="shared" si="19"/>
        <v>Satisfied</v>
      </c>
    </row>
    <row r="230" spans="1:20" x14ac:dyDescent="0.3">
      <c r="A230" t="s">
        <v>404</v>
      </c>
      <c r="B230" t="s">
        <v>335</v>
      </c>
      <c r="C230" t="s">
        <v>17</v>
      </c>
      <c r="D230">
        <v>38</v>
      </c>
      <c r="E230" t="s">
        <v>18</v>
      </c>
      <c r="F230" t="s">
        <v>126</v>
      </c>
      <c r="G230" t="s">
        <v>33</v>
      </c>
      <c r="H230">
        <v>84000</v>
      </c>
      <c r="I230">
        <v>4</v>
      </c>
      <c r="J230">
        <v>3</v>
      </c>
      <c r="K230">
        <v>1</v>
      </c>
      <c r="L230" t="s">
        <v>21</v>
      </c>
      <c r="M230" t="s">
        <v>21</v>
      </c>
      <c r="N230" t="s">
        <v>34</v>
      </c>
      <c r="O230" t="s">
        <v>70</v>
      </c>
      <c r="P230" t="str">
        <f t="shared" si="15"/>
        <v>30-39</v>
      </c>
      <c r="Q230" t="str">
        <f t="shared" si="16"/>
        <v>High</v>
      </c>
      <c r="R230" t="str">
        <f t="shared" si="17"/>
        <v>Mid-Level</v>
      </c>
      <c r="S230" t="str">
        <f t="shared" si="18"/>
        <v>Needs Improvement</v>
      </c>
      <c r="T230" s="4" t="str">
        <f t="shared" si="19"/>
        <v>Dissatisfied</v>
      </c>
    </row>
    <row r="231" spans="1:20" x14ac:dyDescent="0.3">
      <c r="A231" t="s">
        <v>405</v>
      </c>
      <c r="B231" t="s">
        <v>96</v>
      </c>
      <c r="C231" t="s">
        <v>37</v>
      </c>
      <c r="D231">
        <v>38</v>
      </c>
      <c r="E231" t="s">
        <v>26</v>
      </c>
      <c r="F231" t="s">
        <v>50</v>
      </c>
      <c r="G231" t="s">
        <v>28</v>
      </c>
      <c r="H231">
        <v>75000</v>
      </c>
      <c r="I231">
        <v>3</v>
      </c>
      <c r="J231">
        <v>3</v>
      </c>
      <c r="K231">
        <v>4</v>
      </c>
      <c r="L231" t="s">
        <v>21</v>
      </c>
      <c r="M231" t="s">
        <v>29</v>
      </c>
      <c r="N231" t="s">
        <v>34</v>
      </c>
      <c r="O231" t="s">
        <v>43</v>
      </c>
      <c r="P231" t="str">
        <f t="shared" si="15"/>
        <v>30-39</v>
      </c>
      <c r="Q231" t="str">
        <f t="shared" si="16"/>
        <v>High</v>
      </c>
      <c r="R231" t="str">
        <f t="shared" si="17"/>
        <v>Mid-Level</v>
      </c>
      <c r="S231" t="str">
        <f t="shared" si="18"/>
        <v>Needs Improvement</v>
      </c>
      <c r="T231" s="4" t="str">
        <f t="shared" si="19"/>
        <v>Satisfied</v>
      </c>
    </row>
    <row r="232" spans="1:20" x14ac:dyDescent="0.3">
      <c r="A232" t="s">
        <v>406</v>
      </c>
      <c r="B232" t="s">
        <v>151</v>
      </c>
      <c r="C232" t="s">
        <v>37</v>
      </c>
      <c r="D232">
        <v>48</v>
      </c>
      <c r="E232" t="s">
        <v>57</v>
      </c>
      <c r="F232" t="s">
        <v>27</v>
      </c>
      <c r="G232" t="s">
        <v>46</v>
      </c>
      <c r="H232">
        <v>72000</v>
      </c>
      <c r="I232">
        <v>9</v>
      </c>
      <c r="J232">
        <v>3</v>
      </c>
      <c r="K232">
        <v>3</v>
      </c>
      <c r="L232" t="s">
        <v>29</v>
      </c>
      <c r="M232" t="s">
        <v>29</v>
      </c>
      <c r="N232" t="s">
        <v>34</v>
      </c>
      <c r="O232" t="s">
        <v>70</v>
      </c>
      <c r="P232" t="str">
        <f t="shared" si="15"/>
        <v>40-49</v>
      </c>
      <c r="Q232" t="str">
        <f t="shared" si="16"/>
        <v>High</v>
      </c>
      <c r="R232" t="str">
        <f t="shared" si="17"/>
        <v>Senior</v>
      </c>
      <c r="S232" t="str">
        <f t="shared" si="18"/>
        <v>Needs Improvement</v>
      </c>
      <c r="T232" s="4" t="str">
        <f t="shared" si="19"/>
        <v>Neutral</v>
      </c>
    </row>
    <row r="233" spans="1:20" x14ac:dyDescent="0.3">
      <c r="A233" t="s">
        <v>407</v>
      </c>
      <c r="B233" t="s">
        <v>104</v>
      </c>
      <c r="C233" t="s">
        <v>17</v>
      </c>
      <c r="D233">
        <v>30</v>
      </c>
      <c r="E233" t="s">
        <v>26</v>
      </c>
      <c r="F233" t="s">
        <v>50</v>
      </c>
      <c r="G233" t="s">
        <v>28</v>
      </c>
      <c r="H233">
        <v>31000</v>
      </c>
      <c r="I233">
        <v>6</v>
      </c>
      <c r="J233">
        <v>3</v>
      </c>
      <c r="K233">
        <v>4</v>
      </c>
      <c r="L233" t="s">
        <v>29</v>
      </c>
      <c r="M233" t="s">
        <v>29</v>
      </c>
      <c r="N233" t="s">
        <v>22</v>
      </c>
      <c r="O233" t="s">
        <v>38</v>
      </c>
      <c r="P233" t="str">
        <f t="shared" si="15"/>
        <v>30-39</v>
      </c>
      <c r="Q233" t="str">
        <f t="shared" si="16"/>
        <v>Low</v>
      </c>
      <c r="R233" t="str">
        <f t="shared" si="17"/>
        <v>Mid-Level</v>
      </c>
      <c r="S233" t="str">
        <f t="shared" si="18"/>
        <v>Needs Improvement</v>
      </c>
      <c r="T233" s="4" t="str">
        <f t="shared" si="19"/>
        <v>Satisfied</v>
      </c>
    </row>
    <row r="234" spans="1:20" x14ac:dyDescent="0.3">
      <c r="A234" t="s">
        <v>408</v>
      </c>
      <c r="B234" t="s">
        <v>219</v>
      </c>
      <c r="C234" t="s">
        <v>17</v>
      </c>
      <c r="D234">
        <v>48</v>
      </c>
      <c r="E234" t="s">
        <v>66</v>
      </c>
      <c r="F234" t="s">
        <v>82</v>
      </c>
      <c r="G234" t="s">
        <v>46</v>
      </c>
      <c r="H234">
        <v>27000</v>
      </c>
      <c r="I234">
        <v>9</v>
      </c>
      <c r="J234">
        <v>2</v>
      </c>
      <c r="K234">
        <v>1</v>
      </c>
      <c r="L234" t="s">
        <v>29</v>
      </c>
      <c r="M234" t="s">
        <v>29</v>
      </c>
      <c r="N234" t="s">
        <v>22</v>
      </c>
      <c r="O234" t="s">
        <v>30</v>
      </c>
      <c r="P234" t="str">
        <f t="shared" si="15"/>
        <v>40-49</v>
      </c>
      <c r="Q234" t="str">
        <f t="shared" si="16"/>
        <v>Low</v>
      </c>
      <c r="R234" t="str">
        <f t="shared" si="17"/>
        <v>Senior</v>
      </c>
      <c r="S234" t="str">
        <f t="shared" si="18"/>
        <v>Needs Improvement</v>
      </c>
      <c r="T234" s="4" t="str">
        <f t="shared" si="19"/>
        <v>Dissatisfied</v>
      </c>
    </row>
    <row r="235" spans="1:20" x14ac:dyDescent="0.3">
      <c r="A235" t="s">
        <v>409</v>
      </c>
      <c r="B235" t="s">
        <v>384</v>
      </c>
      <c r="C235" t="s">
        <v>37</v>
      </c>
      <c r="D235">
        <v>31</v>
      </c>
      <c r="E235" t="s">
        <v>49</v>
      </c>
      <c r="F235" t="s">
        <v>27</v>
      </c>
      <c r="G235" t="s">
        <v>33</v>
      </c>
      <c r="H235">
        <v>79000</v>
      </c>
      <c r="I235">
        <v>9</v>
      </c>
      <c r="J235">
        <v>5</v>
      </c>
      <c r="K235">
        <v>4</v>
      </c>
      <c r="L235" t="s">
        <v>21</v>
      </c>
      <c r="M235" t="s">
        <v>29</v>
      </c>
      <c r="N235" t="s">
        <v>22</v>
      </c>
      <c r="O235" t="s">
        <v>51</v>
      </c>
      <c r="P235" t="str">
        <f t="shared" si="15"/>
        <v>30-39</v>
      </c>
      <c r="Q235" t="str">
        <f t="shared" si="16"/>
        <v>High</v>
      </c>
      <c r="R235" t="str">
        <f t="shared" si="17"/>
        <v>Senior</v>
      </c>
      <c r="S235" t="str">
        <f t="shared" si="18"/>
        <v>High Performer</v>
      </c>
      <c r="T235" s="4" t="str">
        <f t="shared" si="19"/>
        <v>Satisfied</v>
      </c>
    </row>
    <row r="236" spans="1:20" x14ac:dyDescent="0.3">
      <c r="A236" t="s">
        <v>410</v>
      </c>
      <c r="B236" t="s">
        <v>136</v>
      </c>
      <c r="C236" t="s">
        <v>17</v>
      </c>
      <c r="D236">
        <v>28</v>
      </c>
      <c r="E236" t="s">
        <v>66</v>
      </c>
      <c r="F236" t="s">
        <v>67</v>
      </c>
      <c r="G236" t="s">
        <v>33</v>
      </c>
      <c r="H236">
        <v>83000</v>
      </c>
      <c r="I236">
        <v>2</v>
      </c>
      <c r="J236">
        <v>2</v>
      </c>
      <c r="K236">
        <v>4</v>
      </c>
      <c r="L236" t="s">
        <v>21</v>
      </c>
      <c r="M236" t="s">
        <v>29</v>
      </c>
      <c r="N236" t="s">
        <v>22</v>
      </c>
      <c r="O236" t="s">
        <v>70</v>
      </c>
      <c r="P236" t="str">
        <f t="shared" si="15"/>
        <v>20-29</v>
      </c>
      <c r="Q236" t="str">
        <f t="shared" si="16"/>
        <v>High</v>
      </c>
      <c r="R236" t="str">
        <f t="shared" si="17"/>
        <v>Junior</v>
      </c>
      <c r="S236" t="str">
        <f t="shared" si="18"/>
        <v>Needs Improvement</v>
      </c>
      <c r="T236" s="4" t="str">
        <f t="shared" si="19"/>
        <v>Satisfied</v>
      </c>
    </row>
    <row r="237" spans="1:20" x14ac:dyDescent="0.3">
      <c r="A237" t="s">
        <v>411</v>
      </c>
      <c r="B237" t="s">
        <v>297</v>
      </c>
      <c r="C237" t="s">
        <v>17</v>
      </c>
      <c r="D237">
        <v>23</v>
      </c>
      <c r="E237" t="s">
        <v>26</v>
      </c>
      <c r="F237" t="s">
        <v>27</v>
      </c>
      <c r="G237" t="s">
        <v>28</v>
      </c>
      <c r="H237">
        <v>104000</v>
      </c>
      <c r="I237">
        <v>2</v>
      </c>
      <c r="J237">
        <v>4</v>
      </c>
      <c r="K237">
        <v>5</v>
      </c>
      <c r="L237" t="s">
        <v>21</v>
      </c>
      <c r="M237" t="s">
        <v>21</v>
      </c>
      <c r="N237" t="s">
        <v>34</v>
      </c>
      <c r="O237" t="s">
        <v>70</v>
      </c>
      <c r="P237" t="str">
        <f t="shared" si="15"/>
        <v>20-29</v>
      </c>
      <c r="Q237" t="str">
        <f t="shared" si="16"/>
        <v>High</v>
      </c>
      <c r="R237" t="str">
        <f t="shared" si="17"/>
        <v>Junior</v>
      </c>
      <c r="S237" t="str">
        <f t="shared" si="18"/>
        <v>High Performer</v>
      </c>
      <c r="T237" s="4" t="str">
        <f t="shared" si="19"/>
        <v>Satisfied</v>
      </c>
    </row>
    <row r="238" spans="1:20" x14ac:dyDescent="0.3">
      <c r="A238" t="s">
        <v>412</v>
      </c>
      <c r="B238" t="s">
        <v>194</v>
      </c>
      <c r="C238" t="s">
        <v>37</v>
      </c>
      <c r="D238">
        <v>55</v>
      </c>
      <c r="E238" t="s">
        <v>41</v>
      </c>
      <c r="F238" t="s">
        <v>42</v>
      </c>
      <c r="G238" t="s">
        <v>20</v>
      </c>
      <c r="H238">
        <v>57000</v>
      </c>
      <c r="I238">
        <v>15</v>
      </c>
      <c r="J238">
        <v>2</v>
      </c>
      <c r="K238">
        <v>1</v>
      </c>
      <c r="L238" t="s">
        <v>21</v>
      </c>
      <c r="M238" t="s">
        <v>21</v>
      </c>
      <c r="N238" t="s">
        <v>34</v>
      </c>
      <c r="O238" t="s">
        <v>70</v>
      </c>
      <c r="P238" t="str">
        <f t="shared" si="15"/>
        <v>50+</v>
      </c>
      <c r="Q238" t="str">
        <f t="shared" si="16"/>
        <v>Medium</v>
      </c>
      <c r="R238" t="str">
        <f t="shared" si="17"/>
        <v>Senior</v>
      </c>
      <c r="S238" t="str">
        <f t="shared" si="18"/>
        <v>Needs Improvement</v>
      </c>
      <c r="T238" s="4" t="str">
        <f t="shared" si="19"/>
        <v>Dissatisfied</v>
      </c>
    </row>
    <row r="239" spans="1:20" x14ac:dyDescent="0.3">
      <c r="A239" t="s">
        <v>413</v>
      </c>
      <c r="B239" t="s">
        <v>414</v>
      </c>
      <c r="C239" t="s">
        <v>37</v>
      </c>
      <c r="D239">
        <v>38</v>
      </c>
      <c r="E239" t="s">
        <v>57</v>
      </c>
      <c r="F239" t="s">
        <v>27</v>
      </c>
      <c r="G239" t="s">
        <v>28</v>
      </c>
      <c r="H239">
        <v>109000</v>
      </c>
      <c r="I239">
        <v>11</v>
      </c>
      <c r="J239">
        <v>3</v>
      </c>
      <c r="K239">
        <v>1</v>
      </c>
      <c r="L239" t="s">
        <v>21</v>
      </c>
      <c r="M239" t="s">
        <v>29</v>
      </c>
      <c r="N239" t="s">
        <v>22</v>
      </c>
      <c r="O239" t="s">
        <v>51</v>
      </c>
      <c r="P239" t="str">
        <f t="shared" si="15"/>
        <v>30-39</v>
      </c>
      <c r="Q239" t="str">
        <f t="shared" si="16"/>
        <v>High</v>
      </c>
      <c r="R239" t="str">
        <f t="shared" si="17"/>
        <v>Senior</v>
      </c>
      <c r="S239" t="str">
        <f t="shared" si="18"/>
        <v>Needs Improvement</v>
      </c>
      <c r="T239" s="4" t="str">
        <f t="shared" si="19"/>
        <v>Dissatisfied</v>
      </c>
    </row>
    <row r="240" spans="1:20" x14ac:dyDescent="0.3">
      <c r="A240" t="s">
        <v>415</v>
      </c>
      <c r="B240" t="s">
        <v>186</v>
      </c>
      <c r="C240" t="s">
        <v>17</v>
      </c>
      <c r="D240">
        <v>31</v>
      </c>
      <c r="E240" t="s">
        <v>49</v>
      </c>
      <c r="F240" t="s">
        <v>27</v>
      </c>
      <c r="G240" t="s">
        <v>28</v>
      </c>
      <c r="H240">
        <v>119000</v>
      </c>
      <c r="I240">
        <v>2</v>
      </c>
      <c r="J240">
        <v>5</v>
      </c>
      <c r="K240">
        <v>5</v>
      </c>
      <c r="L240" t="s">
        <v>29</v>
      </c>
      <c r="M240" t="s">
        <v>29</v>
      </c>
      <c r="N240" t="s">
        <v>22</v>
      </c>
      <c r="O240" t="s">
        <v>43</v>
      </c>
      <c r="P240" t="str">
        <f t="shared" si="15"/>
        <v>30-39</v>
      </c>
      <c r="Q240" t="str">
        <f t="shared" si="16"/>
        <v>High</v>
      </c>
      <c r="R240" t="str">
        <f t="shared" si="17"/>
        <v>Junior</v>
      </c>
      <c r="S240" t="str">
        <f t="shared" si="18"/>
        <v>High Performer</v>
      </c>
      <c r="T240" s="4" t="str">
        <f t="shared" si="19"/>
        <v>Satisfied</v>
      </c>
    </row>
    <row r="241" spans="1:20" x14ac:dyDescent="0.3">
      <c r="A241" t="s">
        <v>416</v>
      </c>
      <c r="B241" t="s">
        <v>282</v>
      </c>
      <c r="C241" t="s">
        <v>17</v>
      </c>
      <c r="D241">
        <v>23</v>
      </c>
      <c r="E241" t="s">
        <v>41</v>
      </c>
      <c r="F241" t="s">
        <v>42</v>
      </c>
      <c r="G241" t="s">
        <v>46</v>
      </c>
      <c r="H241">
        <v>120000</v>
      </c>
      <c r="I241">
        <v>2</v>
      </c>
      <c r="J241">
        <v>5</v>
      </c>
      <c r="K241">
        <v>5</v>
      </c>
      <c r="L241" t="s">
        <v>29</v>
      </c>
      <c r="M241" t="s">
        <v>29</v>
      </c>
      <c r="N241" t="s">
        <v>34</v>
      </c>
      <c r="O241" t="s">
        <v>38</v>
      </c>
      <c r="P241" t="str">
        <f t="shared" si="15"/>
        <v>20-29</v>
      </c>
      <c r="Q241" t="str">
        <f t="shared" si="16"/>
        <v>High</v>
      </c>
      <c r="R241" t="str">
        <f t="shared" si="17"/>
        <v>Junior</v>
      </c>
      <c r="S241" t="str">
        <f t="shared" si="18"/>
        <v>High Performer</v>
      </c>
      <c r="T241" s="4" t="str">
        <f t="shared" si="19"/>
        <v>Satisfied</v>
      </c>
    </row>
    <row r="242" spans="1:20" x14ac:dyDescent="0.3">
      <c r="A242" t="s">
        <v>417</v>
      </c>
      <c r="B242" t="s">
        <v>418</v>
      </c>
      <c r="C242" t="s">
        <v>17</v>
      </c>
      <c r="D242">
        <v>55</v>
      </c>
      <c r="E242" t="s">
        <v>41</v>
      </c>
      <c r="F242" t="s">
        <v>73</v>
      </c>
      <c r="G242" t="s">
        <v>33</v>
      </c>
      <c r="H242">
        <v>67000</v>
      </c>
      <c r="I242">
        <v>11</v>
      </c>
      <c r="J242">
        <v>5</v>
      </c>
      <c r="K242">
        <v>2</v>
      </c>
      <c r="L242" t="s">
        <v>21</v>
      </c>
      <c r="M242" t="s">
        <v>21</v>
      </c>
      <c r="N242" t="s">
        <v>22</v>
      </c>
      <c r="O242" t="s">
        <v>51</v>
      </c>
      <c r="P242" t="str">
        <f t="shared" si="15"/>
        <v>50+</v>
      </c>
      <c r="Q242" t="str">
        <f t="shared" si="16"/>
        <v>Medium</v>
      </c>
      <c r="R242" t="str">
        <f t="shared" si="17"/>
        <v>Senior</v>
      </c>
      <c r="S242" t="str">
        <f t="shared" si="18"/>
        <v>High Performer</v>
      </c>
      <c r="T242" s="4" t="str">
        <f t="shared" si="19"/>
        <v>Dissatisfied</v>
      </c>
    </row>
    <row r="243" spans="1:20" x14ac:dyDescent="0.3">
      <c r="A243" t="s">
        <v>419</v>
      </c>
      <c r="B243" t="s">
        <v>265</v>
      </c>
      <c r="C243" t="s">
        <v>17</v>
      </c>
      <c r="D243">
        <v>52</v>
      </c>
      <c r="E243" t="s">
        <v>49</v>
      </c>
      <c r="F243" t="s">
        <v>50</v>
      </c>
      <c r="G243" t="s">
        <v>33</v>
      </c>
      <c r="H243">
        <v>77000</v>
      </c>
      <c r="I243">
        <v>20</v>
      </c>
      <c r="J243">
        <v>2</v>
      </c>
      <c r="K243">
        <v>5</v>
      </c>
      <c r="L243" t="s">
        <v>21</v>
      </c>
      <c r="M243" t="s">
        <v>29</v>
      </c>
      <c r="N243" t="s">
        <v>34</v>
      </c>
      <c r="O243" t="s">
        <v>54</v>
      </c>
      <c r="P243" t="str">
        <f t="shared" si="15"/>
        <v>50+</v>
      </c>
      <c r="Q243" t="str">
        <f t="shared" si="16"/>
        <v>High</v>
      </c>
      <c r="R243" t="str">
        <f t="shared" si="17"/>
        <v>Senior</v>
      </c>
      <c r="S243" t="str">
        <f t="shared" si="18"/>
        <v>Needs Improvement</v>
      </c>
      <c r="T243" s="4" t="str">
        <f t="shared" si="19"/>
        <v>Satisfied</v>
      </c>
    </row>
    <row r="244" spans="1:20" x14ac:dyDescent="0.3">
      <c r="A244" t="s">
        <v>420</v>
      </c>
      <c r="B244" t="s">
        <v>320</v>
      </c>
      <c r="C244" t="s">
        <v>17</v>
      </c>
      <c r="D244">
        <v>26</v>
      </c>
      <c r="E244" t="s">
        <v>66</v>
      </c>
      <c r="F244" t="s">
        <v>82</v>
      </c>
      <c r="G244" t="s">
        <v>33</v>
      </c>
      <c r="H244">
        <v>65000</v>
      </c>
      <c r="I244">
        <v>5</v>
      </c>
      <c r="J244">
        <v>4</v>
      </c>
      <c r="K244">
        <v>5</v>
      </c>
      <c r="L244" t="s">
        <v>21</v>
      </c>
      <c r="M244" t="s">
        <v>29</v>
      </c>
      <c r="N244" t="s">
        <v>22</v>
      </c>
      <c r="O244" t="s">
        <v>70</v>
      </c>
      <c r="P244" t="str">
        <f t="shared" si="15"/>
        <v>20-29</v>
      </c>
      <c r="Q244" t="str">
        <f t="shared" si="16"/>
        <v>Medium</v>
      </c>
      <c r="R244" t="str">
        <f t="shared" si="17"/>
        <v>Mid-Level</v>
      </c>
      <c r="S244" t="str">
        <f t="shared" si="18"/>
        <v>High Performer</v>
      </c>
      <c r="T244" s="4" t="str">
        <f t="shared" si="19"/>
        <v>Satisfied</v>
      </c>
    </row>
    <row r="245" spans="1:20" x14ac:dyDescent="0.3">
      <c r="A245" t="s">
        <v>421</v>
      </c>
      <c r="B245" t="s">
        <v>138</v>
      </c>
      <c r="C245" t="s">
        <v>37</v>
      </c>
      <c r="D245">
        <v>42</v>
      </c>
      <c r="E245" t="s">
        <v>41</v>
      </c>
      <c r="F245" t="s">
        <v>73</v>
      </c>
      <c r="G245" t="s">
        <v>33</v>
      </c>
      <c r="H245">
        <v>68000</v>
      </c>
      <c r="I245">
        <v>15</v>
      </c>
      <c r="J245">
        <v>3</v>
      </c>
      <c r="K245">
        <v>3</v>
      </c>
      <c r="L245" t="s">
        <v>29</v>
      </c>
      <c r="M245" t="s">
        <v>29</v>
      </c>
      <c r="N245" t="s">
        <v>22</v>
      </c>
      <c r="O245" t="s">
        <v>38</v>
      </c>
      <c r="P245" t="str">
        <f t="shared" si="15"/>
        <v>40-49</v>
      </c>
      <c r="Q245" t="str">
        <f t="shared" si="16"/>
        <v>Medium</v>
      </c>
      <c r="R245" t="str">
        <f t="shared" si="17"/>
        <v>Senior</v>
      </c>
      <c r="S245" t="str">
        <f t="shared" si="18"/>
        <v>Needs Improvement</v>
      </c>
      <c r="T245" s="4" t="str">
        <f t="shared" si="19"/>
        <v>Neutral</v>
      </c>
    </row>
    <row r="246" spans="1:20" x14ac:dyDescent="0.3">
      <c r="A246" t="s">
        <v>422</v>
      </c>
      <c r="B246" t="s">
        <v>210</v>
      </c>
      <c r="C246" t="s">
        <v>17</v>
      </c>
      <c r="D246">
        <v>41</v>
      </c>
      <c r="E246" t="s">
        <v>66</v>
      </c>
      <c r="F246" t="s">
        <v>82</v>
      </c>
      <c r="G246" t="s">
        <v>33</v>
      </c>
      <c r="H246">
        <v>94000</v>
      </c>
      <c r="I246">
        <v>11</v>
      </c>
      <c r="J246">
        <v>4</v>
      </c>
      <c r="K246">
        <v>4</v>
      </c>
      <c r="L246" t="s">
        <v>21</v>
      </c>
      <c r="M246" t="s">
        <v>29</v>
      </c>
      <c r="N246" t="s">
        <v>34</v>
      </c>
      <c r="O246" t="s">
        <v>51</v>
      </c>
      <c r="P246" t="str">
        <f t="shared" si="15"/>
        <v>40-49</v>
      </c>
      <c r="Q246" t="str">
        <f t="shared" si="16"/>
        <v>High</v>
      </c>
      <c r="R246" t="str">
        <f t="shared" si="17"/>
        <v>Senior</v>
      </c>
      <c r="S246" t="str">
        <f t="shared" si="18"/>
        <v>High Performer</v>
      </c>
      <c r="T246" s="4" t="str">
        <f t="shared" si="19"/>
        <v>Satisfied</v>
      </c>
    </row>
    <row r="247" spans="1:20" x14ac:dyDescent="0.3">
      <c r="A247" t="s">
        <v>423</v>
      </c>
      <c r="B247" t="s">
        <v>201</v>
      </c>
      <c r="C247" t="s">
        <v>17</v>
      </c>
      <c r="D247">
        <v>33</v>
      </c>
      <c r="E247" t="s">
        <v>66</v>
      </c>
      <c r="F247" t="s">
        <v>82</v>
      </c>
      <c r="G247" t="s">
        <v>46</v>
      </c>
      <c r="H247">
        <v>53000</v>
      </c>
      <c r="I247">
        <v>11</v>
      </c>
      <c r="J247">
        <v>3</v>
      </c>
      <c r="K247">
        <v>2</v>
      </c>
      <c r="L247" t="s">
        <v>21</v>
      </c>
      <c r="M247" t="s">
        <v>21</v>
      </c>
      <c r="N247" t="s">
        <v>22</v>
      </c>
      <c r="O247" t="s">
        <v>30</v>
      </c>
      <c r="P247" t="str">
        <f t="shared" si="15"/>
        <v>30-39</v>
      </c>
      <c r="Q247" t="str">
        <f t="shared" si="16"/>
        <v>Medium</v>
      </c>
      <c r="R247" t="str">
        <f t="shared" si="17"/>
        <v>Senior</v>
      </c>
      <c r="S247" t="str">
        <f t="shared" si="18"/>
        <v>Needs Improvement</v>
      </c>
      <c r="T247" s="4" t="str">
        <f t="shared" si="19"/>
        <v>Dissatisfied</v>
      </c>
    </row>
    <row r="248" spans="1:20" x14ac:dyDescent="0.3">
      <c r="A248" t="s">
        <v>424</v>
      </c>
      <c r="B248" t="s">
        <v>149</v>
      </c>
      <c r="C248" t="s">
        <v>37</v>
      </c>
      <c r="D248">
        <v>31</v>
      </c>
      <c r="E248" t="s">
        <v>66</v>
      </c>
      <c r="F248" t="s">
        <v>67</v>
      </c>
      <c r="G248" t="s">
        <v>33</v>
      </c>
      <c r="H248">
        <v>57000</v>
      </c>
      <c r="I248">
        <v>6</v>
      </c>
      <c r="J248">
        <v>2</v>
      </c>
      <c r="K248">
        <v>3</v>
      </c>
      <c r="L248" t="s">
        <v>21</v>
      </c>
      <c r="M248" t="s">
        <v>29</v>
      </c>
      <c r="N248" t="s">
        <v>22</v>
      </c>
      <c r="O248" t="s">
        <v>23</v>
      </c>
      <c r="P248" t="str">
        <f t="shared" si="15"/>
        <v>30-39</v>
      </c>
      <c r="Q248" t="str">
        <f t="shared" si="16"/>
        <v>Medium</v>
      </c>
      <c r="R248" t="str">
        <f t="shared" si="17"/>
        <v>Mid-Level</v>
      </c>
      <c r="S248" t="str">
        <f t="shared" si="18"/>
        <v>Needs Improvement</v>
      </c>
      <c r="T248" s="4" t="str">
        <f t="shared" si="19"/>
        <v>Neutral</v>
      </c>
    </row>
    <row r="249" spans="1:20" x14ac:dyDescent="0.3">
      <c r="A249" t="s">
        <v>425</v>
      </c>
      <c r="B249" t="s">
        <v>25</v>
      </c>
      <c r="C249" t="s">
        <v>17</v>
      </c>
      <c r="D249">
        <v>47</v>
      </c>
      <c r="E249" t="s">
        <v>18</v>
      </c>
      <c r="F249" t="s">
        <v>19</v>
      </c>
      <c r="G249" t="s">
        <v>28</v>
      </c>
      <c r="H249">
        <v>53000</v>
      </c>
      <c r="I249">
        <v>2</v>
      </c>
      <c r="J249">
        <v>2</v>
      </c>
      <c r="K249">
        <v>2</v>
      </c>
      <c r="L249" t="s">
        <v>21</v>
      </c>
      <c r="M249" t="s">
        <v>29</v>
      </c>
      <c r="N249" t="s">
        <v>34</v>
      </c>
      <c r="O249" t="s">
        <v>23</v>
      </c>
      <c r="P249" t="str">
        <f t="shared" si="15"/>
        <v>40-49</v>
      </c>
      <c r="Q249" t="str">
        <f t="shared" si="16"/>
        <v>Medium</v>
      </c>
      <c r="R249" t="str">
        <f t="shared" si="17"/>
        <v>Junior</v>
      </c>
      <c r="S249" t="str">
        <f t="shared" si="18"/>
        <v>Needs Improvement</v>
      </c>
      <c r="T249" s="4" t="str">
        <f t="shared" si="19"/>
        <v>Dissatisfied</v>
      </c>
    </row>
    <row r="250" spans="1:20" x14ac:dyDescent="0.3">
      <c r="A250" t="s">
        <v>426</v>
      </c>
      <c r="B250" t="s">
        <v>242</v>
      </c>
      <c r="C250" t="s">
        <v>37</v>
      </c>
      <c r="D250">
        <v>23</v>
      </c>
      <c r="E250" t="s">
        <v>26</v>
      </c>
      <c r="F250" t="s">
        <v>27</v>
      </c>
      <c r="G250" t="s">
        <v>33</v>
      </c>
      <c r="H250">
        <v>53000</v>
      </c>
      <c r="I250">
        <v>2</v>
      </c>
      <c r="J250">
        <v>4</v>
      </c>
      <c r="K250">
        <v>1</v>
      </c>
      <c r="L250" t="s">
        <v>29</v>
      </c>
      <c r="M250" t="s">
        <v>29</v>
      </c>
      <c r="N250" t="s">
        <v>34</v>
      </c>
      <c r="O250" t="s">
        <v>70</v>
      </c>
      <c r="P250" t="str">
        <f t="shared" si="15"/>
        <v>20-29</v>
      </c>
      <c r="Q250" t="str">
        <f t="shared" si="16"/>
        <v>Medium</v>
      </c>
      <c r="R250" t="str">
        <f t="shared" si="17"/>
        <v>Junior</v>
      </c>
      <c r="S250" t="str">
        <f t="shared" si="18"/>
        <v>High Performer</v>
      </c>
      <c r="T250" s="4" t="str">
        <f t="shared" si="19"/>
        <v>Dissatisfied</v>
      </c>
    </row>
    <row r="251" spans="1:20" x14ac:dyDescent="0.3">
      <c r="A251" t="s">
        <v>427</v>
      </c>
      <c r="B251" t="s">
        <v>397</v>
      </c>
      <c r="C251" t="s">
        <v>37</v>
      </c>
      <c r="D251">
        <v>44</v>
      </c>
      <c r="E251" t="s">
        <v>49</v>
      </c>
      <c r="F251" t="s">
        <v>27</v>
      </c>
      <c r="G251" t="s">
        <v>33</v>
      </c>
      <c r="H251">
        <v>71000</v>
      </c>
      <c r="I251">
        <v>13</v>
      </c>
      <c r="J251">
        <v>4</v>
      </c>
      <c r="K251">
        <v>5</v>
      </c>
      <c r="L251" t="s">
        <v>21</v>
      </c>
      <c r="M251" t="s">
        <v>29</v>
      </c>
      <c r="N251" t="s">
        <v>22</v>
      </c>
      <c r="O251" t="s">
        <v>70</v>
      </c>
      <c r="P251" t="str">
        <f t="shared" si="15"/>
        <v>40-49</v>
      </c>
      <c r="Q251" t="str">
        <f t="shared" si="16"/>
        <v>High</v>
      </c>
      <c r="R251" t="str">
        <f t="shared" si="17"/>
        <v>Senior</v>
      </c>
      <c r="S251" t="str">
        <f t="shared" si="18"/>
        <v>High Performer</v>
      </c>
      <c r="T251" s="4" t="str">
        <f t="shared" si="19"/>
        <v>Satisfied</v>
      </c>
    </row>
    <row r="252" spans="1:20" x14ac:dyDescent="0.3">
      <c r="A252" t="s">
        <v>428</v>
      </c>
      <c r="B252" t="s">
        <v>227</v>
      </c>
      <c r="C252" t="s">
        <v>37</v>
      </c>
      <c r="D252">
        <v>33</v>
      </c>
      <c r="E252" t="s">
        <v>49</v>
      </c>
      <c r="F252" t="s">
        <v>50</v>
      </c>
      <c r="G252" t="s">
        <v>46</v>
      </c>
      <c r="H252">
        <v>96000</v>
      </c>
      <c r="I252">
        <v>12</v>
      </c>
      <c r="J252">
        <v>4</v>
      </c>
      <c r="K252">
        <v>3</v>
      </c>
      <c r="L252" t="s">
        <v>21</v>
      </c>
      <c r="M252" t="s">
        <v>29</v>
      </c>
      <c r="N252" t="s">
        <v>34</v>
      </c>
      <c r="O252" t="s">
        <v>51</v>
      </c>
      <c r="P252" t="str">
        <f t="shared" si="15"/>
        <v>30-39</v>
      </c>
      <c r="Q252" t="str">
        <f t="shared" si="16"/>
        <v>High</v>
      </c>
      <c r="R252" t="str">
        <f t="shared" si="17"/>
        <v>Senior</v>
      </c>
      <c r="S252" t="str">
        <f t="shared" si="18"/>
        <v>High Performer</v>
      </c>
      <c r="T252" s="4" t="str">
        <f t="shared" si="19"/>
        <v>Neutral</v>
      </c>
    </row>
    <row r="253" spans="1:20" x14ac:dyDescent="0.3">
      <c r="A253" t="s">
        <v>429</v>
      </c>
      <c r="B253" t="s">
        <v>81</v>
      </c>
      <c r="C253" t="s">
        <v>37</v>
      </c>
      <c r="D253">
        <v>32</v>
      </c>
      <c r="E253" t="s">
        <v>49</v>
      </c>
      <c r="F253" t="s">
        <v>27</v>
      </c>
      <c r="G253" t="s">
        <v>33</v>
      </c>
      <c r="H253">
        <v>58000</v>
      </c>
      <c r="I253">
        <v>11</v>
      </c>
      <c r="J253">
        <v>4</v>
      </c>
      <c r="K253">
        <v>1</v>
      </c>
      <c r="L253" t="s">
        <v>21</v>
      </c>
      <c r="M253" t="s">
        <v>21</v>
      </c>
      <c r="N253" t="s">
        <v>34</v>
      </c>
      <c r="O253" t="s">
        <v>38</v>
      </c>
      <c r="P253" t="str">
        <f t="shared" si="15"/>
        <v>30-39</v>
      </c>
      <c r="Q253" t="str">
        <f t="shared" si="16"/>
        <v>Medium</v>
      </c>
      <c r="R253" t="str">
        <f t="shared" si="17"/>
        <v>Senior</v>
      </c>
      <c r="S253" t="str">
        <f t="shared" si="18"/>
        <v>High Performer</v>
      </c>
      <c r="T253" s="4" t="str">
        <f t="shared" si="19"/>
        <v>Dissatisfied</v>
      </c>
    </row>
    <row r="254" spans="1:20" x14ac:dyDescent="0.3">
      <c r="A254" t="s">
        <v>430</v>
      </c>
      <c r="B254" t="s">
        <v>16</v>
      </c>
      <c r="C254" t="s">
        <v>37</v>
      </c>
      <c r="D254">
        <v>28</v>
      </c>
      <c r="E254" t="s">
        <v>66</v>
      </c>
      <c r="F254" t="s">
        <v>82</v>
      </c>
      <c r="G254" t="s">
        <v>33</v>
      </c>
      <c r="H254">
        <v>83000</v>
      </c>
      <c r="I254">
        <v>2</v>
      </c>
      <c r="J254">
        <v>2</v>
      </c>
      <c r="K254">
        <v>2</v>
      </c>
      <c r="L254" t="s">
        <v>29</v>
      </c>
      <c r="M254" t="s">
        <v>29</v>
      </c>
      <c r="N254" t="s">
        <v>34</v>
      </c>
      <c r="O254" t="s">
        <v>75</v>
      </c>
      <c r="P254" t="str">
        <f t="shared" si="15"/>
        <v>20-29</v>
      </c>
      <c r="Q254" t="str">
        <f t="shared" si="16"/>
        <v>High</v>
      </c>
      <c r="R254" t="str">
        <f t="shared" si="17"/>
        <v>Junior</v>
      </c>
      <c r="S254" t="str">
        <f t="shared" si="18"/>
        <v>Needs Improvement</v>
      </c>
      <c r="T254" s="4" t="str">
        <f t="shared" si="19"/>
        <v>Dissatisfied</v>
      </c>
    </row>
    <row r="255" spans="1:20" x14ac:dyDescent="0.3">
      <c r="A255" t="s">
        <v>431</v>
      </c>
      <c r="B255" t="s">
        <v>145</v>
      </c>
      <c r="C255" t="s">
        <v>37</v>
      </c>
      <c r="D255">
        <v>47</v>
      </c>
      <c r="E255" t="s">
        <v>41</v>
      </c>
      <c r="F255" t="s">
        <v>42</v>
      </c>
      <c r="G255" t="s">
        <v>33</v>
      </c>
      <c r="H255">
        <v>70000</v>
      </c>
      <c r="I255">
        <v>10</v>
      </c>
      <c r="J255">
        <v>2</v>
      </c>
      <c r="K255">
        <v>5</v>
      </c>
      <c r="L255" t="s">
        <v>21</v>
      </c>
      <c r="M255" t="s">
        <v>21</v>
      </c>
      <c r="N255" t="s">
        <v>22</v>
      </c>
      <c r="O255" t="s">
        <v>23</v>
      </c>
      <c r="P255" t="str">
        <f t="shared" si="15"/>
        <v>40-49</v>
      </c>
      <c r="Q255" t="str">
        <f t="shared" si="16"/>
        <v>High</v>
      </c>
      <c r="R255" t="str">
        <f t="shared" si="17"/>
        <v>Senior</v>
      </c>
      <c r="S255" t="str">
        <f t="shared" si="18"/>
        <v>Needs Improvement</v>
      </c>
      <c r="T255" s="4" t="str">
        <f t="shared" si="19"/>
        <v>Satisfied</v>
      </c>
    </row>
    <row r="256" spans="1:20" x14ac:dyDescent="0.3">
      <c r="A256" t="s">
        <v>432</v>
      </c>
      <c r="B256" t="s">
        <v>326</v>
      </c>
      <c r="C256" t="s">
        <v>17</v>
      </c>
      <c r="D256">
        <v>42</v>
      </c>
      <c r="E256" t="s">
        <v>66</v>
      </c>
      <c r="F256" t="s">
        <v>67</v>
      </c>
      <c r="G256" t="s">
        <v>33</v>
      </c>
      <c r="H256">
        <v>40000</v>
      </c>
      <c r="I256">
        <v>9</v>
      </c>
      <c r="J256">
        <v>4</v>
      </c>
      <c r="K256">
        <v>2</v>
      </c>
      <c r="L256" t="s">
        <v>29</v>
      </c>
      <c r="M256" t="s">
        <v>29</v>
      </c>
      <c r="N256" t="s">
        <v>34</v>
      </c>
      <c r="O256" t="s">
        <v>38</v>
      </c>
      <c r="P256" t="str">
        <f t="shared" si="15"/>
        <v>40-49</v>
      </c>
      <c r="Q256" t="str">
        <f t="shared" si="16"/>
        <v>Medium</v>
      </c>
      <c r="R256" t="str">
        <f t="shared" si="17"/>
        <v>Senior</v>
      </c>
      <c r="S256" t="str">
        <f t="shared" si="18"/>
        <v>High Performer</v>
      </c>
      <c r="T256" s="4" t="str">
        <f t="shared" si="19"/>
        <v>Dissatisfied</v>
      </c>
    </row>
    <row r="257" spans="1:20" x14ac:dyDescent="0.3">
      <c r="A257" t="s">
        <v>433</v>
      </c>
      <c r="B257" t="s">
        <v>314</v>
      </c>
      <c r="C257" t="s">
        <v>17</v>
      </c>
      <c r="D257">
        <v>52</v>
      </c>
      <c r="E257" t="s">
        <v>18</v>
      </c>
      <c r="F257" t="s">
        <v>126</v>
      </c>
      <c r="G257" t="s">
        <v>46</v>
      </c>
      <c r="H257">
        <v>51000</v>
      </c>
      <c r="I257">
        <v>7</v>
      </c>
      <c r="J257">
        <v>4</v>
      </c>
      <c r="K257">
        <v>1</v>
      </c>
      <c r="L257" t="s">
        <v>21</v>
      </c>
      <c r="M257" t="s">
        <v>21</v>
      </c>
      <c r="N257" t="s">
        <v>34</v>
      </c>
      <c r="O257" t="s">
        <v>23</v>
      </c>
      <c r="P257" t="str">
        <f t="shared" si="15"/>
        <v>50+</v>
      </c>
      <c r="Q257" t="str">
        <f t="shared" si="16"/>
        <v>Medium</v>
      </c>
      <c r="R257" t="str">
        <f t="shared" si="17"/>
        <v>Senior</v>
      </c>
      <c r="S257" t="str">
        <f t="shared" si="18"/>
        <v>High Performer</v>
      </c>
      <c r="T257" s="4" t="str">
        <f t="shared" si="19"/>
        <v>Dissatisfied</v>
      </c>
    </row>
    <row r="258" spans="1:20" x14ac:dyDescent="0.3">
      <c r="A258" t="s">
        <v>434</v>
      </c>
      <c r="B258" t="s">
        <v>111</v>
      </c>
      <c r="C258" t="s">
        <v>17</v>
      </c>
      <c r="D258">
        <v>33</v>
      </c>
      <c r="E258" t="s">
        <v>26</v>
      </c>
      <c r="F258" t="s">
        <v>50</v>
      </c>
      <c r="G258" t="s">
        <v>33</v>
      </c>
      <c r="H258">
        <v>34000</v>
      </c>
      <c r="I258">
        <v>9</v>
      </c>
      <c r="J258">
        <v>3</v>
      </c>
      <c r="K258">
        <v>2</v>
      </c>
      <c r="L258" t="s">
        <v>29</v>
      </c>
      <c r="M258" t="s">
        <v>29</v>
      </c>
      <c r="N258" t="s">
        <v>34</v>
      </c>
      <c r="O258" t="s">
        <v>30</v>
      </c>
      <c r="P258" t="str">
        <f t="shared" ref="P258:P321" si="20">IF(D258&lt;30,"20-29",IF(D258&lt;40,"30-39",IF(D258&lt;50,"40-49","50+")))</f>
        <v>30-39</v>
      </c>
      <c r="Q258" t="str">
        <f t="shared" ref="Q258:Q321" si="21">IF(H258&lt;40000,"Low",IF(H258&lt;70000,"Medium","High"))</f>
        <v>Low</v>
      </c>
      <c r="R258" t="str">
        <f t="shared" ref="R258:R321" si="22">IF(I258&lt;3,"Junior",IF(I258&lt;7,"Mid-Level","Senior"))</f>
        <v>Senior</v>
      </c>
      <c r="S258" t="str">
        <f t="shared" ref="S258:S321" si="23">IF(J258&gt;=4,"High Performer","Needs Improvement")</f>
        <v>Needs Improvement</v>
      </c>
      <c r="T258" s="4" t="str">
        <f t="shared" ref="T258:T321" si="24">IF(K258&gt;=4,"Satisfied",IF(K258=3,"Neutral","Dissatisfied"))</f>
        <v>Dissatisfied</v>
      </c>
    </row>
    <row r="259" spans="1:20" x14ac:dyDescent="0.3">
      <c r="A259" t="s">
        <v>435</v>
      </c>
      <c r="B259" t="s">
        <v>320</v>
      </c>
      <c r="C259" t="s">
        <v>37</v>
      </c>
      <c r="D259">
        <v>54</v>
      </c>
      <c r="E259" t="s">
        <v>26</v>
      </c>
      <c r="F259" t="s">
        <v>27</v>
      </c>
      <c r="G259" t="s">
        <v>46</v>
      </c>
      <c r="H259">
        <v>26000</v>
      </c>
      <c r="I259">
        <v>9</v>
      </c>
      <c r="J259">
        <v>2</v>
      </c>
      <c r="K259">
        <v>4</v>
      </c>
      <c r="L259" t="s">
        <v>29</v>
      </c>
      <c r="M259" t="s">
        <v>29</v>
      </c>
      <c r="N259" t="s">
        <v>22</v>
      </c>
      <c r="O259" t="s">
        <v>30</v>
      </c>
      <c r="P259" t="str">
        <f t="shared" si="20"/>
        <v>50+</v>
      </c>
      <c r="Q259" t="str">
        <f t="shared" si="21"/>
        <v>Low</v>
      </c>
      <c r="R259" t="str">
        <f t="shared" si="22"/>
        <v>Senior</v>
      </c>
      <c r="S259" t="str">
        <f t="shared" si="23"/>
        <v>Needs Improvement</v>
      </c>
      <c r="T259" s="4" t="str">
        <f t="shared" si="24"/>
        <v>Satisfied</v>
      </c>
    </row>
    <row r="260" spans="1:20" x14ac:dyDescent="0.3">
      <c r="A260" t="s">
        <v>436</v>
      </c>
      <c r="B260" t="s">
        <v>186</v>
      </c>
      <c r="C260" t="s">
        <v>17</v>
      </c>
      <c r="D260">
        <v>34</v>
      </c>
      <c r="E260" t="s">
        <v>18</v>
      </c>
      <c r="F260" t="s">
        <v>126</v>
      </c>
      <c r="G260" t="s">
        <v>20</v>
      </c>
      <c r="H260">
        <v>29000</v>
      </c>
      <c r="I260">
        <v>0</v>
      </c>
      <c r="J260">
        <v>3</v>
      </c>
      <c r="K260">
        <v>3</v>
      </c>
      <c r="L260" t="s">
        <v>21</v>
      </c>
      <c r="M260" t="s">
        <v>29</v>
      </c>
      <c r="N260" t="s">
        <v>22</v>
      </c>
      <c r="O260" t="s">
        <v>54</v>
      </c>
      <c r="P260" t="str">
        <f t="shared" si="20"/>
        <v>30-39</v>
      </c>
      <c r="Q260" t="str">
        <f t="shared" si="21"/>
        <v>Low</v>
      </c>
      <c r="R260" t="str">
        <f t="shared" si="22"/>
        <v>Junior</v>
      </c>
      <c r="S260" t="str">
        <f t="shared" si="23"/>
        <v>Needs Improvement</v>
      </c>
      <c r="T260" s="4" t="str">
        <f t="shared" si="24"/>
        <v>Neutral</v>
      </c>
    </row>
    <row r="261" spans="1:20" x14ac:dyDescent="0.3">
      <c r="A261" t="s">
        <v>437</v>
      </c>
      <c r="B261" t="s">
        <v>357</v>
      </c>
      <c r="C261" t="s">
        <v>37</v>
      </c>
      <c r="D261">
        <v>39</v>
      </c>
      <c r="E261" t="s">
        <v>18</v>
      </c>
      <c r="F261" t="s">
        <v>19</v>
      </c>
      <c r="G261" t="s">
        <v>28</v>
      </c>
      <c r="H261">
        <v>105000</v>
      </c>
      <c r="I261">
        <v>16</v>
      </c>
      <c r="J261">
        <v>2</v>
      </c>
      <c r="K261">
        <v>2</v>
      </c>
      <c r="L261" t="s">
        <v>21</v>
      </c>
      <c r="M261" t="s">
        <v>21</v>
      </c>
      <c r="N261" t="s">
        <v>22</v>
      </c>
      <c r="O261" t="s">
        <v>75</v>
      </c>
      <c r="P261" t="str">
        <f t="shared" si="20"/>
        <v>30-39</v>
      </c>
      <c r="Q261" t="str">
        <f t="shared" si="21"/>
        <v>High</v>
      </c>
      <c r="R261" t="str">
        <f t="shared" si="22"/>
        <v>Senior</v>
      </c>
      <c r="S261" t="str">
        <f t="shared" si="23"/>
        <v>Needs Improvement</v>
      </c>
      <c r="T261" s="4" t="str">
        <f t="shared" si="24"/>
        <v>Dissatisfied</v>
      </c>
    </row>
    <row r="262" spans="1:20" x14ac:dyDescent="0.3">
      <c r="A262" t="s">
        <v>438</v>
      </c>
      <c r="B262" t="s">
        <v>439</v>
      </c>
      <c r="C262" t="s">
        <v>17</v>
      </c>
      <c r="D262">
        <v>49</v>
      </c>
      <c r="E262" t="s">
        <v>41</v>
      </c>
      <c r="F262" t="s">
        <v>42</v>
      </c>
      <c r="G262" t="s">
        <v>46</v>
      </c>
      <c r="H262">
        <v>50000</v>
      </c>
      <c r="I262">
        <v>10</v>
      </c>
      <c r="J262">
        <v>3</v>
      </c>
      <c r="K262">
        <v>1</v>
      </c>
      <c r="L262" t="s">
        <v>21</v>
      </c>
      <c r="M262" t="s">
        <v>21</v>
      </c>
      <c r="N262" t="s">
        <v>22</v>
      </c>
      <c r="O262" t="s">
        <v>38</v>
      </c>
      <c r="P262" t="str">
        <f t="shared" si="20"/>
        <v>40-49</v>
      </c>
      <c r="Q262" t="str">
        <f t="shared" si="21"/>
        <v>Medium</v>
      </c>
      <c r="R262" t="str">
        <f t="shared" si="22"/>
        <v>Senior</v>
      </c>
      <c r="S262" t="str">
        <f t="shared" si="23"/>
        <v>Needs Improvement</v>
      </c>
      <c r="T262" s="4" t="str">
        <f t="shared" si="24"/>
        <v>Dissatisfied</v>
      </c>
    </row>
    <row r="263" spans="1:20" x14ac:dyDescent="0.3">
      <c r="A263" t="s">
        <v>440</v>
      </c>
      <c r="B263" t="s">
        <v>147</v>
      </c>
      <c r="C263" t="s">
        <v>17</v>
      </c>
      <c r="D263">
        <v>48</v>
      </c>
      <c r="E263" t="s">
        <v>41</v>
      </c>
      <c r="F263" t="s">
        <v>42</v>
      </c>
      <c r="G263" t="s">
        <v>20</v>
      </c>
      <c r="H263">
        <v>120000</v>
      </c>
      <c r="I263">
        <v>2</v>
      </c>
      <c r="J263">
        <v>2</v>
      </c>
      <c r="K263">
        <v>1</v>
      </c>
      <c r="L263" t="s">
        <v>29</v>
      </c>
      <c r="M263" t="s">
        <v>29</v>
      </c>
      <c r="N263" t="s">
        <v>34</v>
      </c>
      <c r="O263" t="s">
        <v>54</v>
      </c>
      <c r="P263" t="str">
        <f t="shared" si="20"/>
        <v>40-49</v>
      </c>
      <c r="Q263" t="str">
        <f t="shared" si="21"/>
        <v>High</v>
      </c>
      <c r="R263" t="str">
        <f t="shared" si="22"/>
        <v>Junior</v>
      </c>
      <c r="S263" t="str">
        <f t="shared" si="23"/>
        <v>Needs Improvement</v>
      </c>
      <c r="T263" s="4" t="str">
        <f t="shared" si="24"/>
        <v>Dissatisfied</v>
      </c>
    </row>
    <row r="264" spans="1:20" x14ac:dyDescent="0.3">
      <c r="A264" t="s">
        <v>441</v>
      </c>
      <c r="B264" t="s">
        <v>320</v>
      </c>
      <c r="C264" t="s">
        <v>37</v>
      </c>
      <c r="D264">
        <v>22</v>
      </c>
      <c r="E264" t="s">
        <v>41</v>
      </c>
      <c r="F264" t="s">
        <v>42</v>
      </c>
      <c r="G264" t="s">
        <v>46</v>
      </c>
      <c r="H264">
        <v>82000</v>
      </c>
      <c r="I264">
        <v>1</v>
      </c>
      <c r="J264">
        <v>3</v>
      </c>
      <c r="K264">
        <v>4</v>
      </c>
      <c r="L264" t="s">
        <v>21</v>
      </c>
      <c r="M264" t="s">
        <v>29</v>
      </c>
      <c r="N264" t="s">
        <v>22</v>
      </c>
      <c r="O264" t="s">
        <v>30</v>
      </c>
      <c r="P264" t="str">
        <f t="shared" si="20"/>
        <v>20-29</v>
      </c>
      <c r="Q264" t="str">
        <f t="shared" si="21"/>
        <v>High</v>
      </c>
      <c r="R264" t="str">
        <f t="shared" si="22"/>
        <v>Junior</v>
      </c>
      <c r="S264" t="str">
        <f t="shared" si="23"/>
        <v>Needs Improvement</v>
      </c>
      <c r="T264" s="4" t="str">
        <f t="shared" si="24"/>
        <v>Satisfied</v>
      </c>
    </row>
    <row r="265" spans="1:20" x14ac:dyDescent="0.3">
      <c r="A265" t="s">
        <v>442</v>
      </c>
      <c r="B265" t="s">
        <v>151</v>
      </c>
      <c r="C265" t="s">
        <v>17</v>
      </c>
      <c r="D265">
        <v>30</v>
      </c>
      <c r="E265" t="s">
        <v>18</v>
      </c>
      <c r="F265" t="s">
        <v>19</v>
      </c>
      <c r="G265" t="s">
        <v>33</v>
      </c>
      <c r="H265">
        <v>35000</v>
      </c>
      <c r="I265">
        <v>8</v>
      </c>
      <c r="J265">
        <v>3</v>
      </c>
      <c r="K265">
        <v>1</v>
      </c>
      <c r="L265" t="s">
        <v>29</v>
      </c>
      <c r="M265" t="s">
        <v>21</v>
      </c>
      <c r="N265" t="s">
        <v>34</v>
      </c>
      <c r="O265" t="s">
        <v>54</v>
      </c>
      <c r="P265" t="str">
        <f t="shared" si="20"/>
        <v>30-39</v>
      </c>
      <c r="Q265" t="str">
        <f t="shared" si="21"/>
        <v>Low</v>
      </c>
      <c r="R265" t="str">
        <f t="shared" si="22"/>
        <v>Senior</v>
      </c>
      <c r="S265" t="str">
        <f t="shared" si="23"/>
        <v>Needs Improvement</v>
      </c>
      <c r="T265" s="4" t="str">
        <f t="shared" si="24"/>
        <v>Dissatisfied</v>
      </c>
    </row>
    <row r="266" spans="1:20" x14ac:dyDescent="0.3">
      <c r="A266" t="s">
        <v>443</v>
      </c>
      <c r="B266" t="s">
        <v>244</v>
      </c>
      <c r="C266" t="s">
        <v>37</v>
      </c>
      <c r="D266">
        <v>33</v>
      </c>
      <c r="E266" t="s">
        <v>49</v>
      </c>
      <c r="F266" t="s">
        <v>50</v>
      </c>
      <c r="G266" t="s">
        <v>46</v>
      </c>
      <c r="H266">
        <v>51000</v>
      </c>
      <c r="I266">
        <v>10</v>
      </c>
      <c r="J266">
        <v>4</v>
      </c>
      <c r="K266">
        <v>3</v>
      </c>
      <c r="L266" t="s">
        <v>29</v>
      </c>
      <c r="M266" t="s">
        <v>29</v>
      </c>
      <c r="N266" t="s">
        <v>22</v>
      </c>
      <c r="O266" t="s">
        <v>23</v>
      </c>
      <c r="P266" t="str">
        <f t="shared" si="20"/>
        <v>30-39</v>
      </c>
      <c r="Q266" t="str">
        <f t="shared" si="21"/>
        <v>Medium</v>
      </c>
      <c r="R266" t="str">
        <f t="shared" si="22"/>
        <v>Senior</v>
      </c>
      <c r="S266" t="str">
        <f t="shared" si="23"/>
        <v>High Performer</v>
      </c>
      <c r="T266" s="4" t="str">
        <f t="shared" si="24"/>
        <v>Neutral</v>
      </c>
    </row>
    <row r="267" spans="1:20" x14ac:dyDescent="0.3">
      <c r="A267" t="s">
        <v>444</v>
      </c>
      <c r="B267" t="s">
        <v>219</v>
      </c>
      <c r="C267" t="s">
        <v>37</v>
      </c>
      <c r="D267">
        <v>38</v>
      </c>
      <c r="E267" t="s">
        <v>41</v>
      </c>
      <c r="F267" t="s">
        <v>42</v>
      </c>
      <c r="G267" t="s">
        <v>28</v>
      </c>
      <c r="H267">
        <v>48000</v>
      </c>
      <c r="I267">
        <v>12</v>
      </c>
      <c r="J267">
        <v>3</v>
      </c>
      <c r="K267">
        <v>5</v>
      </c>
      <c r="L267" t="s">
        <v>29</v>
      </c>
      <c r="M267" t="s">
        <v>29</v>
      </c>
      <c r="N267" t="s">
        <v>22</v>
      </c>
      <c r="O267" t="s">
        <v>30</v>
      </c>
      <c r="P267" t="str">
        <f t="shared" si="20"/>
        <v>30-39</v>
      </c>
      <c r="Q267" t="str">
        <f t="shared" si="21"/>
        <v>Medium</v>
      </c>
      <c r="R267" t="str">
        <f t="shared" si="22"/>
        <v>Senior</v>
      </c>
      <c r="S267" t="str">
        <f t="shared" si="23"/>
        <v>Needs Improvement</v>
      </c>
      <c r="T267" s="4" t="str">
        <f t="shared" si="24"/>
        <v>Satisfied</v>
      </c>
    </row>
    <row r="268" spans="1:20" x14ac:dyDescent="0.3">
      <c r="A268" t="s">
        <v>445</v>
      </c>
      <c r="B268" t="s">
        <v>446</v>
      </c>
      <c r="C268" t="s">
        <v>17</v>
      </c>
      <c r="D268">
        <v>24</v>
      </c>
      <c r="E268" t="s">
        <v>57</v>
      </c>
      <c r="F268" t="s">
        <v>50</v>
      </c>
      <c r="G268" t="s">
        <v>33</v>
      </c>
      <c r="H268">
        <v>75000</v>
      </c>
      <c r="I268">
        <v>0</v>
      </c>
      <c r="J268">
        <v>3</v>
      </c>
      <c r="K268">
        <v>1</v>
      </c>
      <c r="L268" t="s">
        <v>29</v>
      </c>
      <c r="M268" t="s">
        <v>29</v>
      </c>
      <c r="N268" t="s">
        <v>34</v>
      </c>
      <c r="O268" t="s">
        <v>51</v>
      </c>
      <c r="P268" t="str">
        <f t="shared" si="20"/>
        <v>20-29</v>
      </c>
      <c r="Q268" t="str">
        <f t="shared" si="21"/>
        <v>High</v>
      </c>
      <c r="R268" t="str">
        <f t="shared" si="22"/>
        <v>Junior</v>
      </c>
      <c r="S268" t="str">
        <f t="shared" si="23"/>
        <v>Needs Improvement</v>
      </c>
      <c r="T268" s="4" t="str">
        <f t="shared" si="24"/>
        <v>Dissatisfied</v>
      </c>
    </row>
    <row r="269" spans="1:20" x14ac:dyDescent="0.3">
      <c r="A269" t="s">
        <v>447</v>
      </c>
      <c r="B269" t="s">
        <v>448</v>
      </c>
      <c r="C269" t="s">
        <v>37</v>
      </c>
      <c r="D269">
        <v>55</v>
      </c>
      <c r="E269" t="s">
        <v>26</v>
      </c>
      <c r="F269" t="s">
        <v>50</v>
      </c>
      <c r="G269" t="s">
        <v>46</v>
      </c>
      <c r="H269">
        <v>109000</v>
      </c>
      <c r="I269">
        <v>6</v>
      </c>
      <c r="J269">
        <v>4</v>
      </c>
      <c r="K269">
        <v>3</v>
      </c>
      <c r="L269" t="s">
        <v>21</v>
      </c>
      <c r="M269" t="s">
        <v>29</v>
      </c>
      <c r="N269" t="s">
        <v>34</v>
      </c>
      <c r="O269" t="s">
        <v>30</v>
      </c>
      <c r="P269" t="str">
        <f t="shared" si="20"/>
        <v>50+</v>
      </c>
      <c r="Q269" t="str">
        <f t="shared" si="21"/>
        <v>High</v>
      </c>
      <c r="R269" t="str">
        <f t="shared" si="22"/>
        <v>Mid-Level</v>
      </c>
      <c r="S269" t="str">
        <f t="shared" si="23"/>
        <v>High Performer</v>
      </c>
      <c r="T269" s="4" t="str">
        <f t="shared" si="24"/>
        <v>Neutral</v>
      </c>
    </row>
    <row r="270" spans="1:20" x14ac:dyDescent="0.3">
      <c r="A270" t="s">
        <v>449</v>
      </c>
      <c r="B270" t="s">
        <v>96</v>
      </c>
      <c r="C270" t="s">
        <v>17</v>
      </c>
      <c r="D270">
        <v>24</v>
      </c>
      <c r="E270" t="s">
        <v>49</v>
      </c>
      <c r="F270" t="s">
        <v>27</v>
      </c>
      <c r="G270" t="s">
        <v>33</v>
      </c>
      <c r="H270">
        <v>89000</v>
      </c>
      <c r="I270">
        <v>3</v>
      </c>
      <c r="J270">
        <v>4</v>
      </c>
      <c r="K270">
        <v>5</v>
      </c>
      <c r="L270" t="s">
        <v>21</v>
      </c>
      <c r="M270" t="s">
        <v>29</v>
      </c>
      <c r="N270" t="s">
        <v>22</v>
      </c>
      <c r="O270" t="s">
        <v>30</v>
      </c>
      <c r="P270" t="str">
        <f t="shared" si="20"/>
        <v>20-29</v>
      </c>
      <c r="Q270" t="str">
        <f t="shared" si="21"/>
        <v>High</v>
      </c>
      <c r="R270" t="str">
        <f t="shared" si="22"/>
        <v>Mid-Level</v>
      </c>
      <c r="S270" t="str">
        <f t="shared" si="23"/>
        <v>High Performer</v>
      </c>
      <c r="T270" s="4" t="str">
        <f t="shared" si="24"/>
        <v>Satisfied</v>
      </c>
    </row>
    <row r="271" spans="1:20" x14ac:dyDescent="0.3">
      <c r="A271" t="s">
        <v>450</v>
      </c>
      <c r="B271" t="s">
        <v>381</v>
      </c>
      <c r="C271" t="s">
        <v>37</v>
      </c>
      <c r="D271">
        <v>54</v>
      </c>
      <c r="E271" t="s">
        <v>66</v>
      </c>
      <c r="F271" t="s">
        <v>67</v>
      </c>
      <c r="G271" t="s">
        <v>28</v>
      </c>
      <c r="H271">
        <v>100000</v>
      </c>
      <c r="I271">
        <v>19</v>
      </c>
      <c r="J271">
        <v>3</v>
      </c>
      <c r="K271">
        <v>5</v>
      </c>
      <c r="L271" t="s">
        <v>29</v>
      </c>
      <c r="M271" t="s">
        <v>29</v>
      </c>
      <c r="N271" t="s">
        <v>22</v>
      </c>
      <c r="O271" t="s">
        <v>70</v>
      </c>
      <c r="P271" t="str">
        <f t="shared" si="20"/>
        <v>50+</v>
      </c>
      <c r="Q271" t="str">
        <f t="shared" si="21"/>
        <v>High</v>
      </c>
      <c r="R271" t="str">
        <f t="shared" si="22"/>
        <v>Senior</v>
      </c>
      <c r="S271" t="str">
        <f t="shared" si="23"/>
        <v>Needs Improvement</v>
      </c>
      <c r="T271" s="4" t="str">
        <f t="shared" si="24"/>
        <v>Satisfied</v>
      </c>
    </row>
    <row r="272" spans="1:20" x14ac:dyDescent="0.3">
      <c r="A272" t="s">
        <v>451</v>
      </c>
      <c r="B272" t="s">
        <v>92</v>
      </c>
      <c r="C272" t="s">
        <v>17</v>
      </c>
      <c r="D272">
        <v>22</v>
      </c>
      <c r="E272" t="s">
        <v>66</v>
      </c>
      <c r="F272" t="s">
        <v>82</v>
      </c>
      <c r="G272" t="s">
        <v>46</v>
      </c>
      <c r="H272">
        <v>25000</v>
      </c>
      <c r="I272">
        <v>1</v>
      </c>
      <c r="J272">
        <v>3</v>
      </c>
      <c r="K272">
        <v>2</v>
      </c>
      <c r="L272" t="s">
        <v>29</v>
      </c>
      <c r="M272" t="s">
        <v>29</v>
      </c>
      <c r="N272" t="s">
        <v>34</v>
      </c>
      <c r="O272" t="s">
        <v>70</v>
      </c>
      <c r="P272" t="str">
        <f t="shared" si="20"/>
        <v>20-29</v>
      </c>
      <c r="Q272" t="str">
        <f t="shared" si="21"/>
        <v>Low</v>
      </c>
      <c r="R272" t="str">
        <f t="shared" si="22"/>
        <v>Junior</v>
      </c>
      <c r="S272" t="str">
        <f t="shared" si="23"/>
        <v>Needs Improvement</v>
      </c>
      <c r="T272" s="4" t="str">
        <f t="shared" si="24"/>
        <v>Dissatisfied</v>
      </c>
    </row>
    <row r="273" spans="1:20" x14ac:dyDescent="0.3">
      <c r="A273" t="s">
        <v>452</v>
      </c>
      <c r="B273" t="s">
        <v>166</v>
      </c>
      <c r="C273" t="s">
        <v>37</v>
      </c>
      <c r="D273">
        <v>22</v>
      </c>
      <c r="E273" t="s">
        <v>49</v>
      </c>
      <c r="F273" t="s">
        <v>50</v>
      </c>
      <c r="G273" t="s">
        <v>20</v>
      </c>
      <c r="H273">
        <v>99000</v>
      </c>
      <c r="I273">
        <v>1</v>
      </c>
      <c r="J273">
        <v>3</v>
      </c>
      <c r="K273">
        <v>3</v>
      </c>
      <c r="L273" t="s">
        <v>21</v>
      </c>
      <c r="M273" t="s">
        <v>29</v>
      </c>
      <c r="N273" t="s">
        <v>34</v>
      </c>
      <c r="O273" t="s">
        <v>38</v>
      </c>
      <c r="P273" t="str">
        <f t="shared" si="20"/>
        <v>20-29</v>
      </c>
      <c r="Q273" t="str">
        <f t="shared" si="21"/>
        <v>High</v>
      </c>
      <c r="R273" t="str">
        <f t="shared" si="22"/>
        <v>Junior</v>
      </c>
      <c r="S273" t="str">
        <f t="shared" si="23"/>
        <v>Needs Improvement</v>
      </c>
      <c r="T273" s="4" t="str">
        <f t="shared" si="24"/>
        <v>Neutral</v>
      </c>
    </row>
    <row r="274" spans="1:20" x14ac:dyDescent="0.3">
      <c r="A274" t="s">
        <v>453</v>
      </c>
      <c r="B274" t="s">
        <v>454</v>
      </c>
      <c r="C274" t="s">
        <v>37</v>
      </c>
      <c r="D274">
        <v>36</v>
      </c>
      <c r="E274" t="s">
        <v>18</v>
      </c>
      <c r="F274" t="s">
        <v>19</v>
      </c>
      <c r="G274" t="s">
        <v>28</v>
      </c>
      <c r="H274">
        <v>80000</v>
      </c>
      <c r="I274">
        <v>2</v>
      </c>
      <c r="J274">
        <v>2</v>
      </c>
      <c r="K274">
        <v>4</v>
      </c>
      <c r="L274" t="s">
        <v>21</v>
      </c>
      <c r="M274" t="s">
        <v>29</v>
      </c>
      <c r="N274" t="s">
        <v>22</v>
      </c>
      <c r="O274" t="s">
        <v>51</v>
      </c>
      <c r="P274" t="str">
        <f t="shared" si="20"/>
        <v>30-39</v>
      </c>
      <c r="Q274" t="str">
        <f t="shared" si="21"/>
        <v>High</v>
      </c>
      <c r="R274" t="str">
        <f t="shared" si="22"/>
        <v>Junior</v>
      </c>
      <c r="S274" t="str">
        <f t="shared" si="23"/>
        <v>Needs Improvement</v>
      </c>
      <c r="T274" s="4" t="str">
        <f t="shared" si="24"/>
        <v>Satisfied</v>
      </c>
    </row>
    <row r="275" spans="1:20" x14ac:dyDescent="0.3">
      <c r="A275" t="s">
        <v>455</v>
      </c>
      <c r="B275" t="s">
        <v>229</v>
      </c>
      <c r="C275" t="s">
        <v>17</v>
      </c>
      <c r="D275">
        <v>26</v>
      </c>
      <c r="E275" t="s">
        <v>26</v>
      </c>
      <c r="F275" t="s">
        <v>50</v>
      </c>
      <c r="G275" t="s">
        <v>33</v>
      </c>
      <c r="H275">
        <v>26000</v>
      </c>
      <c r="I275">
        <v>2</v>
      </c>
      <c r="J275">
        <v>4</v>
      </c>
      <c r="K275">
        <v>2</v>
      </c>
      <c r="L275" t="s">
        <v>21</v>
      </c>
      <c r="M275" t="s">
        <v>21</v>
      </c>
      <c r="N275" t="s">
        <v>34</v>
      </c>
      <c r="O275" t="s">
        <v>38</v>
      </c>
      <c r="P275" t="str">
        <f t="shared" si="20"/>
        <v>20-29</v>
      </c>
      <c r="Q275" t="str">
        <f t="shared" si="21"/>
        <v>Low</v>
      </c>
      <c r="R275" t="str">
        <f t="shared" si="22"/>
        <v>Junior</v>
      </c>
      <c r="S275" t="str">
        <f t="shared" si="23"/>
        <v>High Performer</v>
      </c>
      <c r="T275" s="4" t="str">
        <f t="shared" si="24"/>
        <v>Dissatisfied</v>
      </c>
    </row>
    <row r="276" spans="1:20" x14ac:dyDescent="0.3">
      <c r="A276" t="s">
        <v>456</v>
      </c>
      <c r="B276" t="s">
        <v>414</v>
      </c>
      <c r="C276" t="s">
        <v>37</v>
      </c>
      <c r="D276">
        <v>36</v>
      </c>
      <c r="E276" t="s">
        <v>41</v>
      </c>
      <c r="F276" t="s">
        <v>42</v>
      </c>
      <c r="G276" t="s">
        <v>46</v>
      </c>
      <c r="H276">
        <v>41000</v>
      </c>
      <c r="I276">
        <v>6</v>
      </c>
      <c r="J276">
        <v>2</v>
      </c>
      <c r="K276">
        <v>4</v>
      </c>
      <c r="L276" t="s">
        <v>29</v>
      </c>
      <c r="M276" t="s">
        <v>29</v>
      </c>
      <c r="N276" t="s">
        <v>22</v>
      </c>
      <c r="O276" t="s">
        <v>23</v>
      </c>
      <c r="P276" t="str">
        <f t="shared" si="20"/>
        <v>30-39</v>
      </c>
      <c r="Q276" t="str">
        <f t="shared" si="21"/>
        <v>Medium</v>
      </c>
      <c r="R276" t="str">
        <f t="shared" si="22"/>
        <v>Mid-Level</v>
      </c>
      <c r="S276" t="str">
        <f t="shared" si="23"/>
        <v>Needs Improvement</v>
      </c>
      <c r="T276" s="4" t="str">
        <f t="shared" si="24"/>
        <v>Satisfied</v>
      </c>
    </row>
    <row r="277" spans="1:20" x14ac:dyDescent="0.3">
      <c r="A277" t="s">
        <v>457</v>
      </c>
      <c r="B277" t="s">
        <v>330</v>
      </c>
      <c r="C277" t="s">
        <v>17</v>
      </c>
      <c r="D277">
        <v>30</v>
      </c>
      <c r="E277" t="s">
        <v>26</v>
      </c>
      <c r="F277" t="s">
        <v>50</v>
      </c>
      <c r="G277" t="s">
        <v>28</v>
      </c>
      <c r="H277">
        <v>65000</v>
      </c>
      <c r="I277">
        <v>1</v>
      </c>
      <c r="J277">
        <v>2</v>
      </c>
      <c r="K277">
        <v>2</v>
      </c>
      <c r="L277" t="s">
        <v>29</v>
      </c>
      <c r="M277" t="s">
        <v>29</v>
      </c>
      <c r="N277" t="s">
        <v>22</v>
      </c>
      <c r="O277" t="s">
        <v>51</v>
      </c>
      <c r="P277" t="str">
        <f t="shared" si="20"/>
        <v>30-39</v>
      </c>
      <c r="Q277" t="str">
        <f t="shared" si="21"/>
        <v>Medium</v>
      </c>
      <c r="R277" t="str">
        <f t="shared" si="22"/>
        <v>Junior</v>
      </c>
      <c r="S277" t="str">
        <f t="shared" si="23"/>
        <v>Needs Improvement</v>
      </c>
      <c r="T277" s="4" t="str">
        <f t="shared" si="24"/>
        <v>Dissatisfied</v>
      </c>
    </row>
    <row r="278" spans="1:20" x14ac:dyDescent="0.3">
      <c r="A278" t="s">
        <v>458</v>
      </c>
      <c r="B278" t="s">
        <v>269</v>
      </c>
      <c r="C278" t="s">
        <v>17</v>
      </c>
      <c r="D278">
        <v>30</v>
      </c>
      <c r="E278" t="s">
        <v>18</v>
      </c>
      <c r="F278" t="s">
        <v>19</v>
      </c>
      <c r="G278" t="s">
        <v>20</v>
      </c>
      <c r="H278">
        <v>113000</v>
      </c>
      <c r="I278">
        <v>9</v>
      </c>
      <c r="J278">
        <v>4</v>
      </c>
      <c r="K278">
        <v>2</v>
      </c>
      <c r="L278" t="s">
        <v>29</v>
      </c>
      <c r="M278" t="s">
        <v>29</v>
      </c>
      <c r="N278" t="s">
        <v>34</v>
      </c>
      <c r="O278" t="s">
        <v>38</v>
      </c>
      <c r="P278" t="str">
        <f t="shared" si="20"/>
        <v>30-39</v>
      </c>
      <c r="Q278" t="str">
        <f t="shared" si="21"/>
        <v>High</v>
      </c>
      <c r="R278" t="str">
        <f t="shared" si="22"/>
        <v>Senior</v>
      </c>
      <c r="S278" t="str">
        <f t="shared" si="23"/>
        <v>High Performer</v>
      </c>
      <c r="T278" s="4" t="str">
        <f t="shared" si="24"/>
        <v>Dissatisfied</v>
      </c>
    </row>
    <row r="279" spans="1:20" x14ac:dyDescent="0.3">
      <c r="A279" t="s">
        <v>459</v>
      </c>
      <c r="B279" t="s">
        <v>372</v>
      </c>
      <c r="C279" t="s">
        <v>37</v>
      </c>
      <c r="D279">
        <v>55</v>
      </c>
      <c r="E279" t="s">
        <v>18</v>
      </c>
      <c r="F279" t="s">
        <v>126</v>
      </c>
      <c r="G279" t="s">
        <v>20</v>
      </c>
      <c r="H279">
        <v>55000</v>
      </c>
      <c r="I279">
        <v>0</v>
      </c>
      <c r="J279">
        <v>5</v>
      </c>
      <c r="K279">
        <v>5</v>
      </c>
      <c r="L279" t="s">
        <v>21</v>
      </c>
      <c r="M279" t="s">
        <v>29</v>
      </c>
      <c r="N279" t="s">
        <v>22</v>
      </c>
      <c r="O279" t="s">
        <v>30</v>
      </c>
      <c r="P279" t="str">
        <f t="shared" si="20"/>
        <v>50+</v>
      </c>
      <c r="Q279" t="str">
        <f t="shared" si="21"/>
        <v>Medium</v>
      </c>
      <c r="R279" t="str">
        <f t="shared" si="22"/>
        <v>Junior</v>
      </c>
      <c r="S279" t="str">
        <f t="shared" si="23"/>
        <v>High Performer</v>
      </c>
      <c r="T279" s="4" t="str">
        <f t="shared" si="24"/>
        <v>Satisfied</v>
      </c>
    </row>
    <row r="280" spans="1:20" x14ac:dyDescent="0.3">
      <c r="A280" t="s">
        <v>460</v>
      </c>
      <c r="B280" t="s">
        <v>172</v>
      </c>
      <c r="C280" t="s">
        <v>37</v>
      </c>
      <c r="D280">
        <v>23</v>
      </c>
      <c r="E280" t="s">
        <v>49</v>
      </c>
      <c r="F280" t="s">
        <v>50</v>
      </c>
      <c r="G280" t="s">
        <v>46</v>
      </c>
      <c r="H280">
        <v>39000</v>
      </c>
      <c r="I280">
        <v>2</v>
      </c>
      <c r="J280">
        <v>3</v>
      </c>
      <c r="K280">
        <v>2</v>
      </c>
      <c r="L280" t="s">
        <v>29</v>
      </c>
      <c r="M280" t="s">
        <v>29</v>
      </c>
      <c r="N280" t="s">
        <v>34</v>
      </c>
      <c r="O280" t="s">
        <v>38</v>
      </c>
      <c r="P280" t="str">
        <f t="shared" si="20"/>
        <v>20-29</v>
      </c>
      <c r="Q280" t="str">
        <f t="shared" si="21"/>
        <v>Low</v>
      </c>
      <c r="R280" t="str">
        <f t="shared" si="22"/>
        <v>Junior</v>
      </c>
      <c r="S280" t="str">
        <f t="shared" si="23"/>
        <v>Needs Improvement</v>
      </c>
      <c r="T280" s="4" t="str">
        <f t="shared" si="24"/>
        <v>Dissatisfied</v>
      </c>
    </row>
    <row r="281" spans="1:20" x14ac:dyDescent="0.3">
      <c r="A281" t="s">
        <v>461</v>
      </c>
      <c r="B281" t="s">
        <v>102</v>
      </c>
      <c r="C281" t="s">
        <v>37</v>
      </c>
      <c r="D281">
        <v>39</v>
      </c>
      <c r="E281" t="s">
        <v>18</v>
      </c>
      <c r="F281" t="s">
        <v>19</v>
      </c>
      <c r="G281" t="s">
        <v>46</v>
      </c>
      <c r="H281">
        <v>29000</v>
      </c>
      <c r="I281">
        <v>9</v>
      </c>
      <c r="J281">
        <v>3</v>
      </c>
      <c r="K281">
        <v>3</v>
      </c>
      <c r="L281" t="s">
        <v>21</v>
      </c>
      <c r="M281" t="s">
        <v>29</v>
      </c>
      <c r="N281" t="s">
        <v>22</v>
      </c>
      <c r="O281" t="s">
        <v>70</v>
      </c>
      <c r="P281" t="str">
        <f t="shared" si="20"/>
        <v>30-39</v>
      </c>
      <c r="Q281" t="str">
        <f t="shared" si="21"/>
        <v>Low</v>
      </c>
      <c r="R281" t="str">
        <f t="shared" si="22"/>
        <v>Senior</v>
      </c>
      <c r="S281" t="str">
        <f t="shared" si="23"/>
        <v>Needs Improvement</v>
      </c>
      <c r="T281" s="4" t="str">
        <f t="shared" si="24"/>
        <v>Neutral</v>
      </c>
    </row>
    <row r="282" spans="1:20" x14ac:dyDescent="0.3">
      <c r="A282" t="s">
        <v>462</v>
      </c>
      <c r="B282" t="s">
        <v>90</v>
      </c>
      <c r="C282" t="s">
        <v>17</v>
      </c>
      <c r="D282">
        <v>54</v>
      </c>
      <c r="E282" t="s">
        <v>26</v>
      </c>
      <c r="F282" t="s">
        <v>27</v>
      </c>
      <c r="G282" t="s">
        <v>46</v>
      </c>
      <c r="H282">
        <v>62000</v>
      </c>
      <c r="I282">
        <v>9</v>
      </c>
      <c r="J282">
        <v>4</v>
      </c>
      <c r="K282">
        <v>3</v>
      </c>
      <c r="L282" t="s">
        <v>29</v>
      </c>
      <c r="M282" t="s">
        <v>29</v>
      </c>
      <c r="N282" t="s">
        <v>34</v>
      </c>
      <c r="O282" t="s">
        <v>30</v>
      </c>
      <c r="P282" t="str">
        <f t="shared" si="20"/>
        <v>50+</v>
      </c>
      <c r="Q282" t="str">
        <f t="shared" si="21"/>
        <v>Medium</v>
      </c>
      <c r="R282" t="str">
        <f t="shared" si="22"/>
        <v>Senior</v>
      </c>
      <c r="S282" t="str">
        <f t="shared" si="23"/>
        <v>High Performer</v>
      </c>
      <c r="T282" s="4" t="str">
        <f t="shared" si="24"/>
        <v>Neutral</v>
      </c>
    </row>
    <row r="283" spans="1:20" x14ac:dyDescent="0.3">
      <c r="A283" t="s">
        <v>463</v>
      </c>
      <c r="B283" t="s">
        <v>160</v>
      </c>
      <c r="C283" t="s">
        <v>17</v>
      </c>
      <c r="D283">
        <v>47</v>
      </c>
      <c r="E283" t="s">
        <v>49</v>
      </c>
      <c r="F283" t="s">
        <v>27</v>
      </c>
      <c r="G283" t="s">
        <v>46</v>
      </c>
      <c r="H283">
        <v>118000</v>
      </c>
      <c r="I283">
        <v>7</v>
      </c>
      <c r="J283">
        <v>4</v>
      </c>
      <c r="K283">
        <v>1</v>
      </c>
      <c r="L283" t="s">
        <v>29</v>
      </c>
      <c r="M283" t="s">
        <v>29</v>
      </c>
      <c r="N283" t="s">
        <v>22</v>
      </c>
      <c r="O283" t="s">
        <v>54</v>
      </c>
      <c r="P283" t="str">
        <f t="shared" si="20"/>
        <v>40-49</v>
      </c>
      <c r="Q283" t="str">
        <f t="shared" si="21"/>
        <v>High</v>
      </c>
      <c r="R283" t="str">
        <f t="shared" si="22"/>
        <v>Senior</v>
      </c>
      <c r="S283" t="str">
        <f t="shared" si="23"/>
        <v>High Performer</v>
      </c>
      <c r="T283" s="4" t="str">
        <f t="shared" si="24"/>
        <v>Dissatisfied</v>
      </c>
    </row>
    <row r="284" spans="1:20" x14ac:dyDescent="0.3">
      <c r="A284" t="s">
        <v>464</v>
      </c>
      <c r="B284" t="s">
        <v>297</v>
      </c>
      <c r="C284" t="s">
        <v>37</v>
      </c>
      <c r="D284">
        <v>31</v>
      </c>
      <c r="E284" t="s">
        <v>66</v>
      </c>
      <c r="F284" t="s">
        <v>82</v>
      </c>
      <c r="G284" t="s">
        <v>33</v>
      </c>
      <c r="H284">
        <v>36000</v>
      </c>
      <c r="I284">
        <v>10</v>
      </c>
      <c r="J284">
        <v>3</v>
      </c>
      <c r="K284">
        <v>5</v>
      </c>
      <c r="L284" t="s">
        <v>21</v>
      </c>
      <c r="M284" t="s">
        <v>29</v>
      </c>
      <c r="N284" t="s">
        <v>34</v>
      </c>
      <c r="O284" t="s">
        <v>30</v>
      </c>
      <c r="P284" t="str">
        <f t="shared" si="20"/>
        <v>30-39</v>
      </c>
      <c r="Q284" t="str">
        <f t="shared" si="21"/>
        <v>Low</v>
      </c>
      <c r="R284" t="str">
        <f t="shared" si="22"/>
        <v>Senior</v>
      </c>
      <c r="S284" t="str">
        <f t="shared" si="23"/>
        <v>Needs Improvement</v>
      </c>
      <c r="T284" s="4" t="str">
        <f t="shared" si="24"/>
        <v>Satisfied</v>
      </c>
    </row>
    <row r="285" spans="1:20" x14ac:dyDescent="0.3">
      <c r="A285" t="s">
        <v>465</v>
      </c>
      <c r="B285" t="s">
        <v>111</v>
      </c>
      <c r="C285" t="s">
        <v>37</v>
      </c>
      <c r="D285">
        <v>50</v>
      </c>
      <c r="E285" t="s">
        <v>18</v>
      </c>
      <c r="F285" t="s">
        <v>126</v>
      </c>
      <c r="G285" t="s">
        <v>28</v>
      </c>
      <c r="H285">
        <v>99000</v>
      </c>
      <c r="I285">
        <v>3</v>
      </c>
      <c r="J285">
        <v>5</v>
      </c>
      <c r="K285">
        <v>5</v>
      </c>
      <c r="L285" t="s">
        <v>29</v>
      </c>
      <c r="M285" t="s">
        <v>29</v>
      </c>
      <c r="N285" t="s">
        <v>22</v>
      </c>
      <c r="O285" t="s">
        <v>38</v>
      </c>
      <c r="P285" t="str">
        <f t="shared" si="20"/>
        <v>50+</v>
      </c>
      <c r="Q285" t="str">
        <f t="shared" si="21"/>
        <v>High</v>
      </c>
      <c r="R285" t="str">
        <f t="shared" si="22"/>
        <v>Mid-Level</v>
      </c>
      <c r="S285" t="str">
        <f t="shared" si="23"/>
        <v>High Performer</v>
      </c>
      <c r="T285" s="4" t="str">
        <f t="shared" si="24"/>
        <v>Satisfied</v>
      </c>
    </row>
    <row r="286" spans="1:20" x14ac:dyDescent="0.3">
      <c r="A286" t="s">
        <v>466</v>
      </c>
      <c r="B286" t="s">
        <v>147</v>
      </c>
      <c r="C286" t="s">
        <v>17</v>
      </c>
      <c r="D286">
        <v>35</v>
      </c>
      <c r="E286" t="s">
        <v>18</v>
      </c>
      <c r="F286" t="s">
        <v>126</v>
      </c>
      <c r="G286" t="s">
        <v>28</v>
      </c>
      <c r="H286">
        <v>60000</v>
      </c>
      <c r="I286">
        <v>6</v>
      </c>
      <c r="J286">
        <v>2</v>
      </c>
      <c r="K286">
        <v>5</v>
      </c>
      <c r="L286" t="s">
        <v>21</v>
      </c>
      <c r="M286" t="s">
        <v>29</v>
      </c>
      <c r="N286" t="s">
        <v>22</v>
      </c>
      <c r="O286" t="s">
        <v>54</v>
      </c>
      <c r="P286" t="str">
        <f t="shared" si="20"/>
        <v>30-39</v>
      </c>
      <c r="Q286" t="str">
        <f t="shared" si="21"/>
        <v>Medium</v>
      </c>
      <c r="R286" t="str">
        <f t="shared" si="22"/>
        <v>Mid-Level</v>
      </c>
      <c r="S286" t="str">
        <f t="shared" si="23"/>
        <v>Needs Improvement</v>
      </c>
      <c r="T286" s="4" t="str">
        <f t="shared" si="24"/>
        <v>Satisfied</v>
      </c>
    </row>
    <row r="287" spans="1:20" x14ac:dyDescent="0.3">
      <c r="A287" t="s">
        <v>467</v>
      </c>
      <c r="B287" t="s">
        <v>207</v>
      </c>
      <c r="C287" t="s">
        <v>37</v>
      </c>
      <c r="D287">
        <v>34</v>
      </c>
      <c r="E287" t="s">
        <v>41</v>
      </c>
      <c r="F287" t="s">
        <v>42</v>
      </c>
      <c r="G287" t="s">
        <v>33</v>
      </c>
      <c r="H287">
        <v>26000</v>
      </c>
      <c r="I287">
        <v>12</v>
      </c>
      <c r="J287">
        <v>4</v>
      </c>
      <c r="K287">
        <v>3</v>
      </c>
      <c r="L287" t="s">
        <v>21</v>
      </c>
      <c r="M287" t="s">
        <v>29</v>
      </c>
      <c r="N287" t="s">
        <v>34</v>
      </c>
      <c r="O287" t="s">
        <v>38</v>
      </c>
      <c r="P287" t="str">
        <f t="shared" si="20"/>
        <v>30-39</v>
      </c>
      <c r="Q287" t="str">
        <f t="shared" si="21"/>
        <v>Low</v>
      </c>
      <c r="R287" t="str">
        <f t="shared" si="22"/>
        <v>Senior</v>
      </c>
      <c r="S287" t="str">
        <f t="shared" si="23"/>
        <v>High Performer</v>
      </c>
      <c r="T287" s="4" t="str">
        <f t="shared" si="24"/>
        <v>Neutral</v>
      </c>
    </row>
    <row r="288" spans="1:20" x14ac:dyDescent="0.3">
      <c r="A288" t="s">
        <v>468</v>
      </c>
      <c r="B288" t="s">
        <v>244</v>
      </c>
      <c r="C288" t="s">
        <v>37</v>
      </c>
      <c r="D288">
        <v>37</v>
      </c>
      <c r="E288" t="s">
        <v>57</v>
      </c>
      <c r="F288" t="s">
        <v>50</v>
      </c>
      <c r="G288" t="s">
        <v>46</v>
      </c>
      <c r="H288">
        <v>86000</v>
      </c>
      <c r="I288">
        <v>5</v>
      </c>
      <c r="J288">
        <v>3</v>
      </c>
      <c r="K288">
        <v>1</v>
      </c>
      <c r="L288" t="s">
        <v>29</v>
      </c>
      <c r="M288" t="s">
        <v>29</v>
      </c>
      <c r="N288" t="s">
        <v>22</v>
      </c>
      <c r="O288" t="s">
        <v>51</v>
      </c>
      <c r="P288" t="str">
        <f t="shared" si="20"/>
        <v>30-39</v>
      </c>
      <c r="Q288" t="str">
        <f t="shared" si="21"/>
        <v>High</v>
      </c>
      <c r="R288" t="str">
        <f t="shared" si="22"/>
        <v>Mid-Level</v>
      </c>
      <c r="S288" t="str">
        <f t="shared" si="23"/>
        <v>Needs Improvement</v>
      </c>
      <c r="T288" s="4" t="str">
        <f t="shared" si="24"/>
        <v>Dissatisfied</v>
      </c>
    </row>
    <row r="289" spans="1:20" x14ac:dyDescent="0.3">
      <c r="A289" t="s">
        <v>469</v>
      </c>
      <c r="B289" t="s">
        <v>470</v>
      </c>
      <c r="C289" t="s">
        <v>17</v>
      </c>
      <c r="D289">
        <v>48</v>
      </c>
      <c r="E289" t="s">
        <v>41</v>
      </c>
      <c r="F289" t="s">
        <v>73</v>
      </c>
      <c r="G289" t="s">
        <v>28</v>
      </c>
      <c r="H289">
        <v>59000</v>
      </c>
      <c r="I289">
        <v>15</v>
      </c>
      <c r="J289">
        <v>5</v>
      </c>
      <c r="K289">
        <v>2</v>
      </c>
      <c r="L289" t="s">
        <v>21</v>
      </c>
      <c r="M289" t="s">
        <v>29</v>
      </c>
      <c r="N289" t="s">
        <v>22</v>
      </c>
      <c r="O289" t="s">
        <v>38</v>
      </c>
      <c r="P289" t="str">
        <f t="shared" si="20"/>
        <v>40-49</v>
      </c>
      <c r="Q289" t="str">
        <f t="shared" si="21"/>
        <v>Medium</v>
      </c>
      <c r="R289" t="str">
        <f t="shared" si="22"/>
        <v>Senior</v>
      </c>
      <c r="S289" t="str">
        <f t="shared" si="23"/>
        <v>High Performer</v>
      </c>
      <c r="T289" s="4" t="str">
        <f t="shared" si="24"/>
        <v>Dissatisfied</v>
      </c>
    </row>
    <row r="290" spans="1:20" x14ac:dyDescent="0.3">
      <c r="A290" t="s">
        <v>471</v>
      </c>
      <c r="B290" t="s">
        <v>446</v>
      </c>
      <c r="C290" t="s">
        <v>17</v>
      </c>
      <c r="D290">
        <v>33</v>
      </c>
      <c r="E290" t="s">
        <v>41</v>
      </c>
      <c r="F290" t="s">
        <v>73</v>
      </c>
      <c r="G290" t="s">
        <v>28</v>
      </c>
      <c r="H290">
        <v>61000</v>
      </c>
      <c r="I290">
        <v>12</v>
      </c>
      <c r="J290">
        <v>4</v>
      </c>
      <c r="K290">
        <v>1</v>
      </c>
      <c r="L290" t="s">
        <v>29</v>
      </c>
      <c r="M290" t="s">
        <v>29</v>
      </c>
      <c r="N290" t="s">
        <v>34</v>
      </c>
      <c r="O290" t="s">
        <v>75</v>
      </c>
      <c r="P290" t="str">
        <f t="shared" si="20"/>
        <v>30-39</v>
      </c>
      <c r="Q290" t="str">
        <f t="shared" si="21"/>
        <v>Medium</v>
      </c>
      <c r="R290" t="str">
        <f t="shared" si="22"/>
        <v>Senior</v>
      </c>
      <c r="S290" t="str">
        <f t="shared" si="23"/>
        <v>High Performer</v>
      </c>
      <c r="T290" s="4" t="str">
        <f t="shared" si="24"/>
        <v>Dissatisfied</v>
      </c>
    </row>
    <row r="291" spans="1:20" x14ac:dyDescent="0.3">
      <c r="A291" t="s">
        <v>472</v>
      </c>
      <c r="B291" t="s">
        <v>199</v>
      </c>
      <c r="C291" t="s">
        <v>17</v>
      </c>
      <c r="D291">
        <v>54</v>
      </c>
      <c r="E291" t="s">
        <v>66</v>
      </c>
      <c r="F291" t="s">
        <v>82</v>
      </c>
      <c r="G291" t="s">
        <v>33</v>
      </c>
      <c r="H291">
        <v>54000</v>
      </c>
      <c r="I291">
        <v>6</v>
      </c>
      <c r="J291">
        <v>2</v>
      </c>
      <c r="K291">
        <v>3</v>
      </c>
      <c r="L291" t="s">
        <v>29</v>
      </c>
      <c r="M291" t="s">
        <v>29</v>
      </c>
      <c r="N291" t="s">
        <v>22</v>
      </c>
      <c r="O291" t="s">
        <v>70</v>
      </c>
      <c r="P291" t="str">
        <f t="shared" si="20"/>
        <v>50+</v>
      </c>
      <c r="Q291" t="str">
        <f t="shared" si="21"/>
        <v>Medium</v>
      </c>
      <c r="R291" t="str">
        <f t="shared" si="22"/>
        <v>Mid-Level</v>
      </c>
      <c r="S291" t="str">
        <f t="shared" si="23"/>
        <v>Needs Improvement</v>
      </c>
      <c r="T291" s="4" t="str">
        <f t="shared" si="24"/>
        <v>Neutral</v>
      </c>
    </row>
    <row r="292" spans="1:20" x14ac:dyDescent="0.3">
      <c r="A292" t="s">
        <v>473</v>
      </c>
      <c r="B292" t="s">
        <v>63</v>
      </c>
      <c r="C292" t="s">
        <v>37</v>
      </c>
      <c r="D292">
        <v>26</v>
      </c>
      <c r="E292" t="s">
        <v>49</v>
      </c>
      <c r="F292" t="s">
        <v>50</v>
      </c>
      <c r="G292" t="s">
        <v>20</v>
      </c>
      <c r="H292">
        <v>64000</v>
      </c>
      <c r="I292">
        <v>2</v>
      </c>
      <c r="J292">
        <v>5</v>
      </c>
      <c r="K292">
        <v>3</v>
      </c>
      <c r="L292" t="s">
        <v>21</v>
      </c>
      <c r="M292" t="s">
        <v>29</v>
      </c>
      <c r="N292" t="s">
        <v>22</v>
      </c>
      <c r="O292" t="s">
        <v>75</v>
      </c>
      <c r="P292" t="str">
        <f t="shared" si="20"/>
        <v>20-29</v>
      </c>
      <c r="Q292" t="str">
        <f t="shared" si="21"/>
        <v>Medium</v>
      </c>
      <c r="R292" t="str">
        <f t="shared" si="22"/>
        <v>Junior</v>
      </c>
      <c r="S292" t="str">
        <f t="shared" si="23"/>
        <v>High Performer</v>
      </c>
      <c r="T292" s="4" t="str">
        <f t="shared" si="24"/>
        <v>Neutral</v>
      </c>
    </row>
    <row r="293" spans="1:20" x14ac:dyDescent="0.3">
      <c r="A293" t="s">
        <v>474</v>
      </c>
      <c r="B293" t="s">
        <v>122</v>
      </c>
      <c r="C293" t="s">
        <v>17</v>
      </c>
      <c r="D293">
        <v>35</v>
      </c>
      <c r="E293" t="s">
        <v>66</v>
      </c>
      <c r="F293" t="s">
        <v>67</v>
      </c>
      <c r="G293" t="s">
        <v>20</v>
      </c>
      <c r="H293">
        <v>53000</v>
      </c>
      <c r="I293">
        <v>6</v>
      </c>
      <c r="J293">
        <v>5</v>
      </c>
      <c r="K293">
        <v>4</v>
      </c>
      <c r="L293" t="s">
        <v>21</v>
      </c>
      <c r="M293" t="s">
        <v>29</v>
      </c>
      <c r="N293" t="s">
        <v>34</v>
      </c>
      <c r="O293" t="s">
        <v>51</v>
      </c>
      <c r="P293" t="str">
        <f t="shared" si="20"/>
        <v>30-39</v>
      </c>
      <c r="Q293" t="str">
        <f t="shared" si="21"/>
        <v>Medium</v>
      </c>
      <c r="R293" t="str">
        <f t="shared" si="22"/>
        <v>Mid-Level</v>
      </c>
      <c r="S293" t="str">
        <f t="shared" si="23"/>
        <v>High Performer</v>
      </c>
      <c r="T293" s="4" t="str">
        <f t="shared" si="24"/>
        <v>Satisfied</v>
      </c>
    </row>
    <row r="294" spans="1:20" x14ac:dyDescent="0.3">
      <c r="A294" t="s">
        <v>475</v>
      </c>
      <c r="B294" t="s">
        <v>476</v>
      </c>
      <c r="C294" t="s">
        <v>17</v>
      </c>
      <c r="D294">
        <v>48</v>
      </c>
      <c r="E294" t="s">
        <v>26</v>
      </c>
      <c r="F294" t="s">
        <v>50</v>
      </c>
      <c r="G294" t="s">
        <v>20</v>
      </c>
      <c r="H294">
        <v>117000</v>
      </c>
      <c r="I294">
        <v>5</v>
      </c>
      <c r="J294">
        <v>3</v>
      </c>
      <c r="K294">
        <v>4</v>
      </c>
      <c r="L294" t="s">
        <v>21</v>
      </c>
      <c r="M294" t="s">
        <v>29</v>
      </c>
      <c r="N294" t="s">
        <v>34</v>
      </c>
      <c r="O294" t="s">
        <v>51</v>
      </c>
      <c r="P294" t="str">
        <f t="shared" si="20"/>
        <v>40-49</v>
      </c>
      <c r="Q294" t="str">
        <f t="shared" si="21"/>
        <v>High</v>
      </c>
      <c r="R294" t="str">
        <f t="shared" si="22"/>
        <v>Mid-Level</v>
      </c>
      <c r="S294" t="str">
        <f t="shared" si="23"/>
        <v>Needs Improvement</v>
      </c>
      <c r="T294" s="4" t="str">
        <f t="shared" si="24"/>
        <v>Satisfied</v>
      </c>
    </row>
    <row r="295" spans="1:20" x14ac:dyDescent="0.3">
      <c r="A295" t="s">
        <v>477</v>
      </c>
      <c r="B295" t="s">
        <v>376</v>
      </c>
      <c r="C295" t="s">
        <v>37</v>
      </c>
      <c r="D295">
        <v>28</v>
      </c>
      <c r="E295" t="s">
        <v>57</v>
      </c>
      <c r="F295" t="s">
        <v>50</v>
      </c>
      <c r="G295" t="s">
        <v>46</v>
      </c>
      <c r="H295">
        <v>26000</v>
      </c>
      <c r="I295">
        <v>7</v>
      </c>
      <c r="J295">
        <v>4</v>
      </c>
      <c r="K295">
        <v>4</v>
      </c>
      <c r="L295" t="s">
        <v>29</v>
      </c>
      <c r="M295" t="s">
        <v>29</v>
      </c>
      <c r="N295" t="s">
        <v>22</v>
      </c>
      <c r="O295" t="s">
        <v>38</v>
      </c>
      <c r="P295" t="str">
        <f t="shared" si="20"/>
        <v>20-29</v>
      </c>
      <c r="Q295" t="str">
        <f t="shared" si="21"/>
        <v>Low</v>
      </c>
      <c r="R295" t="str">
        <f t="shared" si="22"/>
        <v>Senior</v>
      </c>
      <c r="S295" t="str">
        <f t="shared" si="23"/>
        <v>High Performer</v>
      </c>
      <c r="T295" s="4" t="str">
        <f t="shared" si="24"/>
        <v>Satisfied</v>
      </c>
    </row>
    <row r="296" spans="1:20" x14ac:dyDescent="0.3">
      <c r="A296" t="s">
        <v>478</v>
      </c>
      <c r="B296" t="s">
        <v>186</v>
      </c>
      <c r="C296" t="s">
        <v>37</v>
      </c>
      <c r="D296">
        <v>31</v>
      </c>
      <c r="E296" t="s">
        <v>41</v>
      </c>
      <c r="F296" t="s">
        <v>42</v>
      </c>
      <c r="G296" t="s">
        <v>20</v>
      </c>
      <c r="H296">
        <v>75000</v>
      </c>
      <c r="I296">
        <v>10</v>
      </c>
      <c r="J296">
        <v>2</v>
      </c>
      <c r="K296">
        <v>3</v>
      </c>
      <c r="L296" t="s">
        <v>21</v>
      </c>
      <c r="M296" t="s">
        <v>29</v>
      </c>
      <c r="N296" t="s">
        <v>34</v>
      </c>
      <c r="O296" t="s">
        <v>43</v>
      </c>
      <c r="P296" t="str">
        <f t="shared" si="20"/>
        <v>30-39</v>
      </c>
      <c r="Q296" t="str">
        <f t="shared" si="21"/>
        <v>High</v>
      </c>
      <c r="R296" t="str">
        <f t="shared" si="22"/>
        <v>Senior</v>
      </c>
      <c r="S296" t="str">
        <f t="shared" si="23"/>
        <v>Needs Improvement</v>
      </c>
      <c r="T296" s="4" t="str">
        <f t="shared" si="24"/>
        <v>Neutral</v>
      </c>
    </row>
    <row r="297" spans="1:20" x14ac:dyDescent="0.3">
      <c r="A297" t="s">
        <v>479</v>
      </c>
      <c r="B297" t="s">
        <v>354</v>
      </c>
      <c r="C297" t="s">
        <v>37</v>
      </c>
      <c r="D297">
        <v>45</v>
      </c>
      <c r="E297" t="s">
        <v>18</v>
      </c>
      <c r="F297" t="s">
        <v>19</v>
      </c>
      <c r="G297" t="s">
        <v>33</v>
      </c>
      <c r="H297">
        <v>118000</v>
      </c>
      <c r="I297">
        <v>7</v>
      </c>
      <c r="J297">
        <v>5</v>
      </c>
      <c r="K297">
        <v>2</v>
      </c>
      <c r="L297" t="s">
        <v>29</v>
      </c>
      <c r="M297" t="s">
        <v>21</v>
      </c>
      <c r="N297" t="s">
        <v>34</v>
      </c>
      <c r="O297" t="s">
        <v>54</v>
      </c>
      <c r="P297" t="str">
        <f t="shared" si="20"/>
        <v>40-49</v>
      </c>
      <c r="Q297" t="str">
        <f t="shared" si="21"/>
        <v>High</v>
      </c>
      <c r="R297" t="str">
        <f t="shared" si="22"/>
        <v>Senior</v>
      </c>
      <c r="S297" t="str">
        <f t="shared" si="23"/>
        <v>High Performer</v>
      </c>
      <c r="T297" s="4" t="str">
        <f t="shared" si="24"/>
        <v>Dissatisfied</v>
      </c>
    </row>
    <row r="298" spans="1:20" x14ac:dyDescent="0.3">
      <c r="A298" t="s">
        <v>480</v>
      </c>
      <c r="B298" t="s">
        <v>134</v>
      </c>
      <c r="C298" t="s">
        <v>17</v>
      </c>
      <c r="D298">
        <v>49</v>
      </c>
      <c r="E298" t="s">
        <v>57</v>
      </c>
      <c r="F298" t="s">
        <v>27</v>
      </c>
      <c r="G298" t="s">
        <v>20</v>
      </c>
      <c r="H298">
        <v>109000</v>
      </c>
      <c r="I298">
        <v>0</v>
      </c>
      <c r="J298">
        <v>4</v>
      </c>
      <c r="K298">
        <v>2</v>
      </c>
      <c r="L298" t="s">
        <v>29</v>
      </c>
      <c r="M298" t="s">
        <v>29</v>
      </c>
      <c r="N298" t="s">
        <v>22</v>
      </c>
      <c r="O298" t="s">
        <v>54</v>
      </c>
      <c r="P298" t="str">
        <f t="shared" si="20"/>
        <v>40-49</v>
      </c>
      <c r="Q298" t="str">
        <f t="shared" si="21"/>
        <v>High</v>
      </c>
      <c r="R298" t="str">
        <f t="shared" si="22"/>
        <v>Junior</v>
      </c>
      <c r="S298" t="str">
        <f t="shared" si="23"/>
        <v>High Performer</v>
      </c>
      <c r="T298" s="4" t="str">
        <f t="shared" si="24"/>
        <v>Dissatisfied</v>
      </c>
    </row>
    <row r="299" spans="1:20" x14ac:dyDescent="0.3">
      <c r="A299" t="s">
        <v>481</v>
      </c>
      <c r="B299" t="s">
        <v>295</v>
      </c>
      <c r="C299" t="s">
        <v>37</v>
      </c>
      <c r="D299">
        <v>31</v>
      </c>
      <c r="E299" t="s">
        <v>26</v>
      </c>
      <c r="F299" t="s">
        <v>27</v>
      </c>
      <c r="G299" t="s">
        <v>28</v>
      </c>
      <c r="H299">
        <v>35000</v>
      </c>
      <c r="I299">
        <v>10</v>
      </c>
      <c r="J299">
        <v>2</v>
      </c>
      <c r="K299">
        <v>4</v>
      </c>
      <c r="L299" t="s">
        <v>21</v>
      </c>
      <c r="M299" t="s">
        <v>29</v>
      </c>
      <c r="N299" t="s">
        <v>34</v>
      </c>
      <c r="O299" t="s">
        <v>54</v>
      </c>
      <c r="P299" t="str">
        <f t="shared" si="20"/>
        <v>30-39</v>
      </c>
      <c r="Q299" t="str">
        <f t="shared" si="21"/>
        <v>Low</v>
      </c>
      <c r="R299" t="str">
        <f t="shared" si="22"/>
        <v>Senior</v>
      </c>
      <c r="S299" t="str">
        <f t="shared" si="23"/>
        <v>Needs Improvement</v>
      </c>
      <c r="T299" s="4" t="str">
        <f t="shared" si="24"/>
        <v>Satisfied</v>
      </c>
    </row>
    <row r="300" spans="1:20" x14ac:dyDescent="0.3">
      <c r="A300" t="s">
        <v>482</v>
      </c>
      <c r="B300" t="s">
        <v>278</v>
      </c>
      <c r="C300" t="s">
        <v>17</v>
      </c>
      <c r="D300">
        <v>35</v>
      </c>
      <c r="E300" t="s">
        <v>18</v>
      </c>
      <c r="F300" t="s">
        <v>126</v>
      </c>
      <c r="G300" t="s">
        <v>46</v>
      </c>
      <c r="H300">
        <v>102000</v>
      </c>
      <c r="I300">
        <v>14</v>
      </c>
      <c r="J300">
        <v>2</v>
      </c>
      <c r="K300">
        <v>1</v>
      </c>
      <c r="L300" t="s">
        <v>29</v>
      </c>
      <c r="M300" t="s">
        <v>29</v>
      </c>
      <c r="N300" t="s">
        <v>22</v>
      </c>
      <c r="O300" t="s">
        <v>51</v>
      </c>
      <c r="P300" t="str">
        <f t="shared" si="20"/>
        <v>30-39</v>
      </c>
      <c r="Q300" t="str">
        <f t="shared" si="21"/>
        <v>High</v>
      </c>
      <c r="R300" t="str">
        <f t="shared" si="22"/>
        <v>Senior</v>
      </c>
      <c r="S300" t="str">
        <f t="shared" si="23"/>
        <v>Needs Improvement</v>
      </c>
      <c r="T300" s="4" t="str">
        <f t="shared" si="24"/>
        <v>Dissatisfied</v>
      </c>
    </row>
    <row r="301" spans="1:20" x14ac:dyDescent="0.3">
      <c r="A301" t="s">
        <v>483</v>
      </c>
      <c r="B301" t="s">
        <v>98</v>
      </c>
      <c r="C301" t="s">
        <v>37</v>
      </c>
      <c r="D301">
        <v>50</v>
      </c>
      <c r="E301" t="s">
        <v>49</v>
      </c>
      <c r="F301" t="s">
        <v>50</v>
      </c>
      <c r="G301" t="s">
        <v>20</v>
      </c>
      <c r="H301">
        <v>50000</v>
      </c>
      <c r="I301">
        <v>1</v>
      </c>
      <c r="J301">
        <v>3</v>
      </c>
      <c r="K301">
        <v>3</v>
      </c>
      <c r="L301" t="s">
        <v>29</v>
      </c>
      <c r="M301" t="s">
        <v>29</v>
      </c>
      <c r="N301" t="s">
        <v>34</v>
      </c>
      <c r="O301" t="s">
        <v>70</v>
      </c>
      <c r="P301" t="str">
        <f t="shared" si="20"/>
        <v>50+</v>
      </c>
      <c r="Q301" t="str">
        <f t="shared" si="21"/>
        <v>Medium</v>
      </c>
      <c r="R301" t="str">
        <f t="shared" si="22"/>
        <v>Junior</v>
      </c>
      <c r="S301" t="str">
        <f t="shared" si="23"/>
        <v>Needs Improvement</v>
      </c>
      <c r="T301" s="4" t="str">
        <f t="shared" si="24"/>
        <v>Neutral</v>
      </c>
    </row>
    <row r="302" spans="1:20" x14ac:dyDescent="0.3">
      <c r="A302" t="s">
        <v>484</v>
      </c>
      <c r="B302" t="s">
        <v>191</v>
      </c>
      <c r="C302" t="s">
        <v>37</v>
      </c>
      <c r="D302">
        <v>27</v>
      </c>
      <c r="E302" t="s">
        <v>18</v>
      </c>
      <c r="F302" t="s">
        <v>126</v>
      </c>
      <c r="G302" t="s">
        <v>46</v>
      </c>
      <c r="H302">
        <v>120000</v>
      </c>
      <c r="I302">
        <v>6</v>
      </c>
      <c r="J302">
        <v>2</v>
      </c>
      <c r="K302">
        <v>3</v>
      </c>
      <c r="L302" t="s">
        <v>21</v>
      </c>
      <c r="M302" t="s">
        <v>29</v>
      </c>
      <c r="N302" t="s">
        <v>22</v>
      </c>
      <c r="O302" t="s">
        <v>75</v>
      </c>
      <c r="P302" t="str">
        <f t="shared" si="20"/>
        <v>20-29</v>
      </c>
      <c r="Q302" t="str">
        <f t="shared" si="21"/>
        <v>High</v>
      </c>
      <c r="R302" t="str">
        <f t="shared" si="22"/>
        <v>Mid-Level</v>
      </c>
      <c r="S302" t="str">
        <f t="shared" si="23"/>
        <v>Needs Improvement</v>
      </c>
      <c r="T302" s="4" t="str">
        <f t="shared" si="24"/>
        <v>Neutral</v>
      </c>
    </row>
    <row r="303" spans="1:20" x14ac:dyDescent="0.3">
      <c r="A303" t="s">
        <v>485</v>
      </c>
      <c r="B303" t="s">
        <v>486</v>
      </c>
      <c r="C303" t="s">
        <v>17</v>
      </c>
      <c r="D303">
        <v>40</v>
      </c>
      <c r="E303" t="s">
        <v>57</v>
      </c>
      <c r="F303" t="s">
        <v>27</v>
      </c>
      <c r="G303" t="s">
        <v>20</v>
      </c>
      <c r="H303">
        <v>86000</v>
      </c>
      <c r="I303">
        <v>19</v>
      </c>
      <c r="J303">
        <v>3</v>
      </c>
      <c r="K303">
        <v>1</v>
      </c>
      <c r="L303" t="s">
        <v>21</v>
      </c>
      <c r="M303" t="s">
        <v>21</v>
      </c>
      <c r="N303" t="s">
        <v>34</v>
      </c>
      <c r="O303" t="s">
        <v>38</v>
      </c>
      <c r="P303" t="str">
        <f t="shared" si="20"/>
        <v>40-49</v>
      </c>
      <c r="Q303" t="str">
        <f t="shared" si="21"/>
        <v>High</v>
      </c>
      <c r="R303" t="str">
        <f t="shared" si="22"/>
        <v>Senior</v>
      </c>
      <c r="S303" t="str">
        <f t="shared" si="23"/>
        <v>Needs Improvement</v>
      </c>
      <c r="T303" s="4" t="str">
        <f t="shared" si="24"/>
        <v>Dissatisfied</v>
      </c>
    </row>
    <row r="304" spans="1:20" x14ac:dyDescent="0.3">
      <c r="A304" t="s">
        <v>487</v>
      </c>
      <c r="B304" t="s">
        <v>32</v>
      </c>
      <c r="C304" t="s">
        <v>17</v>
      </c>
      <c r="D304">
        <v>26</v>
      </c>
      <c r="E304" t="s">
        <v>57</v>
      </c>
      <c r="F304" t="s">
        <v>50</v>
      </c>
      <c r="G304" t="s">
        <v>46</v>
      </c>
      <c r="H304">
        <v>86000</v>
      </c>
      <c r="I304">
        <v>5</v>
      </c>
      <c r="J304">
        <v>3</v>
      </c>
      <c r="K304">
        <v>1</v>
      </c>
      <c r="L304" t="s">
        <v>21</v>
      </c>
      <c r="M304" t="s">
        <v>21</v>
      </c>
      <c r="N304" t="s">
        <v>22</v>
      </c>
      <c r="O304" t="s">
        <v>23</v>
      </c>
      <c r="P304" t="str">
        <f t="shared" si="20"/>
        <v>20-29</v>
      </c>
      <c r="Q304" t="str">
        <f t="shared" si="21"/>
        <v>High</v>
      </c>
      <c r="R304" t="str">
        <f t="shared" si="22"/>
        <v>Mid-Level</v>
      </c>
      <c r="S304" t="str">
        <f t="shared" si="23"/>
        <v>Needs Improvement</v>
      </c>
      <c r="T304" s="4" t="str">
        <f t="shared" si="24"/>
        <v>Dissatisfied</v>
      </c>
    </row>
    <row r="305" spans="1:20" x14ac:dyDescent="0.3">
      <c r="A305" t="s">
        <v>488</v>
      </c>
      <c r="B305" t="s">
        <v>282</v>
      </c>
      <c r="C305" t="s">
        <v>17</v>
      </c>
      <c r="D305">
        <v>30</v>
      </c>
      <c r="E305" t="s">
        <v>41</v>
      </c>
      <c r="F305" t="s">
        <v>73</v>
      </c>
      <c r="G305" t="s">
        <v>46</v>
      </c>
      <c r="H305">
        <v>49000</v>
      </c>
      <c r="I305">
        <v>9</v>
      </c>
      <c r="J305">
        <v>3</v>
      </c>
      <c r="K305">
        <v>3</v>
      </c>
      <c r="L305" t="s">
        <v>21</v>
      </c>
      <c r="M305" t="s">
        <v>29</v>
      </c>
      <c r="N305" t="s">
        <v>22</v>
      </c>
      <c r="O305" t="s">
        <v>43</v>
      </c>
      <c r="P305" t="str">
        <f t="shared" si="20"/>
        <v>30-39</v>
      </c>
      <c r="Q305" t="str">
        <f t="shared" si="21"/>
        <v>Medium</v>
      </c>
      <c r="R305" t="str">
        <f t="shared" si="22"/>
        <v>Senior</v>
      </c>
      <c r="S305" t="str">
        <f t="shared" si="23"/>
        <v>Needs Improvement</v>
      </c>
      <c r="T305" s="4" t="str">
        <f t="shared" si="24"/>
        <v>Neutral</v>
      </c>
    </row>
    <row r="306" spans="1:20" x14ac:dyDescent="0.3">
      <c r="A306" t="s">
        <v>489</v>
      </c>
      <c r="B306" t="s">
        <v>84</v>
      </c>
      <c r="C306" t="s">
        <v>17</v>
      </c>
      <c r="D306">
        <v>46</v>
      </c>
      <c r="E306" t="s">
        <v>41</v>
      </c>
      <c r="F306" t="s">
        <v>42</v>
      </c>
      <c r="G306" t="s">
        <v>28</v>
      </c>
      <c r="H306">
        <v>35000</v>
      </c>
      <c r="I306">
        <v>18</v>
      </c>
      <c r="J306">
        <v>3</v>
      </c>
      <c r="K306">
        <v>1</v>
      </c>
      <c r="L306" t="s">
        <v>29</v>
      </c>
      <c r="M306" t="s">
        <v>29</v>
      </c>
      <c r="N306" t="s">
        <v>34</v>
      </c>
      <c r="O306" t="s">
        <v>43</v>
      </c>
      <c r="P306" t="str">
        <f t="shared" si="20"/>
        <v>40-49</v>
      </c>
      <c r="Q306" t="str">
        <f t="shared" si="21"/>
        <v>Low</v>
      </c>
      <c r="R306" t="str">
        <f t="shared" si="22"/>
        <v>Senior</v>
      </c>
      <c r="S306" t="str">
        <f t="shared" si="23"/>
        <v>Needs Improvement</v>
      </c>
      <c r="T306" s="4" t="str">
        <f t="shared" si="24"/>
        <v>Dissatisfied</v>
      </c>
    </row>
    <row r="307" spans="1:20" x14ac:dyDescent="0.3">
      <c r="A307" t="s">
        <v>490</v>
      </c>
      <c r="B307" t="s">
        <v>104</v>
      </c>
      <c r="C307" t="s">
        <v>17</v>
      </c>
      <c r="D307">
        <v>30</v>
      </c>
      <c r="E307" t="s">
        <v>49</v>
      </c>
      <c r="F307" t="s">
        <v>50</v>
      </c>
      <c r="G307" t="s">
        <v>33</v>
      </c>
      <c r="H307">
        <v>69000</v>
      </c>
      <c r="I307">
        <v>0</v>
      </c>
      <c r="J307">
        <v>2</v>
      </c>
      <c r="K307">
        <v>4</v>
      </c>
      <c r="L307" t="s">
        <v>21</v>
      </c>
      <c r="M307" t="s">
        <v>29</v>
      </c>
      <c r="N307" t="s">
        <v>34</v>
      </c>
      <c r="O307" t="s">
        <v>54</v>
      </c>
      <c r="P307" t="str">
        <f t="shared" si="20"/>
        <v>30-39</v>
      </c>
      <c r="Q307" t="str">
        <f t="shared" si="21"/>
        <v>Medium</v>
      </c>
      <c r="R307" t="str">
        <f t="shared" si="22"/>
        <v>Junior</v>
      </c>
      <c r="S307" t="str">
        <f t="shared" si="23"/>
        <v>Needs Improvement</v>
      </c>
      <c r="T307" s="4" t="str">
        <f t="shared" si="24"/>
        <v>Satisfied</v>
      </c>
    </row>
    <row r="308" spans="1:20" x14ac:dyDescent="0.3">
      <c r="A308" t="s">
        <v>491</v>
      </c>
      <c r="B308" t="s">
        <v>362</v>
      </c>
      <c r="C308" t="s">
        <v>37</v>
      </c>
      <c r="D308">
        <v>55</v>
      </c>
      <c r="E308" t="s">
        <v>57</v>
      </c>
      <c r="F308" t="s">
        <v>27</v>
      </c>
      <c r="G308" t="s">
        <v>28</v>
      </c>
      <c r="H308">
        <v>64000</v>
      </c>
      <c r="I308">
        <v>0</v>
      </c>
      <c r="J308">
        <v>2</v>
      </c>
      <c r="K308">
        <v>1</v>
      </c>
      <c r="L308" t="s">
        <v>29</v>
      </c>
      <c r="M308" t="s">
        <v>29</v>
      </c>
      <c r="N308" t="s">
        <v>22</v>
      </c>
      <c r="O308" t="s">
        <v>38</v>
      </c>
      <c r="P308" t="str">
        <f t="shared" si="20"/>
        <v>50+</v>
      </c>
      <c r="Q308" t="str">
        <f t="shared" si="21"/>
        <v>Medium</v>
      </c>
      <c r="R308" t="str">
        <f t="shared" si="22"/>
        <v>Junior</v>
      </c>
      <c r="S308" t="str">
        <f t="shared" si="23"/>
        <v>Needs Improvement</v>
      </c>
      <c r="T308" s="4" t="str">
        <f t="shared" si="24"/>
        <v>Dissatisfied</v>
      </c>
    </row>
    <row r="309" spans="1:20" x14ac:dyDescent="0.3">
      <c r="A309" t="s">
        <v>492</v>
      </c>
      <c r="B309" t="s">
        <v>186</v>
      </c>
      <c r="C309" t="s">
        <v>17</v>
      </c>
      <c r="D309">
        <v>45</v>
      </c>
      <c r="E309" t="s">
        <v>66</v>
      </c>
      <c r="F309" t="s">
        <v>82</v>
      </c>
      <c r="G309" t="s">
        <v>20</v>
      </c>
      <c r="H309">
        <v>100000</v>
      </c>
      <c r="I309">
        <v>16</v>
      </c>
      <c r="J309">
        <v>3</v>
      </c>
      <c r="K309">
        <v>2</v>
      </c>
      <c r="L309" t="s">
        <v>21</v>
      </c>
      <c r="M309" t="s">
        <v>21</v>
      </c>
      <c r="N309" t="s">
        <v>34</v>
      </c>
      <c r="O309" t="s">
        <v>30</v>
      </c>
      <c r="P309" t="str">
        <f t="shared" si="20"/>
        <v>40-49</v>
      </c>
      <c r="Q309" t="str">
        <f t="shared" si="21"/>
        <v>High</v>
      </c>
      <c r="R309" t="str">
        <f t="shared" si="22"/>
        <v>Senior</v>
      </c>
      <c r="S309" t="str">
        <f t="shared" si="23"/>
        <v>Needs Improvement</v>
      </c>
      <c r="T309" s="4" t="str">
        <f t="shared" si="24"/>
        <v>Dissatisfied</v>
      </c>
    </row>
    <row r="310" spans="1:20" x14ac:dyDescent="0.3">
      <c r="A310" t="s">
        <v>493</v>
      </c>
      <c r="B310" t="s">
        <v>147</v>
      </c>
      <c r="C310" t="s">
        <v>17</v>
      </c>
      <c r="D310">
        <v>29</v>
      </c>
      <c r="E310" t="s">
        <v>49</v>
      </c>
      <c r="F310" t="s">
        <v>27</v>
      </c>
      <c r="G310" t="s">
        <v>33</v>
      </c>
      <c r="H310">
        <v>42000</v>
      </c>
      <c r="I310">
        <v>8</v>
      </c>
      <c r="J310">
        <v>4</v>
      </c>
      <c r="K310">
        <v>2</v>
      </c>
      <c r="L310" t="s">
        <v>29</v>
      </c>
      <c r="M310" t="s">
        <v>21</v>
      </c>
      <c r="N310" t="s">
        <v>34</v>
      </c>
      <c r="O310" t="s">
        <v>75</v>
      </c>
      <c r="P310" t="str">
        <f t="shared" si="20"/>
        <v>20-29</v>
      </c>
      <c r="Q310" t="str">
        <f t="shared" si="21"/>
        <v>Medium</v>
      </c>
      <c r="R310" t="str">
        <f t="shared" si="22"/>
        <v>Senior</v>
      </c>
      <c r="S310" t="str">
        <f t="shared" si="23"/>
        <v>High Performer</v>
      </c>
      <c r="T310" s="4" t="str">
        <f t="shared" si="24"/>
        <v>Dissatisfied</v>
      </c>
    </row>
    <row r="311" spans="1:20" x14ac:dyDescent="0.3">
      <c r="A311" t="s">
        <v>494</v>
      </c>
      <c r="B311" t="s">
        <v>138</v>
      </c>
      <c r="C311" t="s">
        <v>17</v>
      </c>
      <c r="D311">
        <v>39</v>
      </c>
      <c r="E311" t="s">
        <v>49</v>
      </c>
      <c r="F311" t="s">
        <v>50</v>
      </c>
      <c r="G311" t="s">
        <v>20</v>
      </c>
      <c r="H311">
        <v>118000</v>
      </c>
      <c r="I311">
        <v>13</v>
      </c>
      <c r="J311">
        <v>5</v>
      </c>
      <c r="K311">
        <v>3</v>
      </c>
      <c r="L311" t="s">
        <v>21</v>
      </c>
      <c r="M311" t="s">
        <v>29</v>
      </c>
      <c r="N311" t="s">
        <v>22</v>
      </c>
      <c r="O311" t="s">
        <v>38</v>
      </c>
      <c r="P311" t="str">
        <f t="shared" si="20"/>
        <v>30-39</v>
      </c>
      <c r="Q311" t="str">
        <f t="shared" si="21"/>
        <v>High</v>
      </c>
      <c r="R311" t="str">
        <f t="shared" si="22"/>
        <v>Senior</v>
      </c>
      <c r="S311" t="str">
        <f t="shared" si="23"/>
        <v>High Performer</v>
      </c>
      <c r="T311" s="4" t="str">
        <f t="shared" si="24"/>
        <v>Neutral</v>
      </c>
    </row>
    <row r="312" spans="1:20" x14ac:dyDescent="0.3">
      <c r="A312" t="s">
        <v>495</v>
      </c>
      <c r="B312" t="s">
        <v>242</v>
      </c>
      <c r="C312" t="s">
        <v>17</v>
      </c>
      <c r="D312">
        <v>37</v>
      </c>
      <c r="E312" t="s">
        <v>66</v>
      </c>
      <c r="F312" t="s">
        <v>82</v>
      </c>
      <c r="G312" t="s">
        <v>46</v>
      </c>
      <c r="H312">
        <v>92000</v>
      </c>
      <c r="I312">
        <v>12</v>
      </c>
      <c r="J312">
        <v>5</v>
      </c>
      <c r="K312">
        <v>5</v>
      </c>
      <c r="L312" t="s">
        <v>21</v>
      </c>
      <c r="M312" t="s">
        <v>29</v>
      </c>
      <c r="N312" t="s">
        <v>22</v>
      </c>
      <c r="O312" t="s">
        <v>75</v>
      </c>
      <c r="P312" t="str">
        <f t="shared" si="20"/>
        <v>30-39</v>
      </c>
      <c r="Q312" t="str">
        <f t="shared" si="21"/>
        <v>High</v>
      </c>
      <c r="R312" t="str">
        <f t="shared" si="22"/>
        <v>Senior</v>
      </c>
      <c r="S312" t="str">
        <f t="shared" si="23"/>
        <v>High Performer</v>
      </c>
      <c r="T312" s="4" t="str">
        <f t="shared" si="24"/>
        <v>Satisfied</v>
      </c>
    </row>
    <row r="313" spans="1:20" x14ac:dyDescent="0.3">
      <c r="A313" t="s">
        <v>496</v>
      </c>
      <c r="B313" t="s">
        <v>497</v>
      </c>
      <c r="C313" t="s">
        <v>17</v>
      </c>
      <c r="D313">
        <v>30</v>
      </c>
      <c r="E313" t="s">
        <v>41</v>
      </c>
      <c r="F313" t="s">
        <v>42</v>
      </c>
      <c r="G313" t="s">
        <v>20</v>
      </c>
      <c r="H313">
        <v>39000</v>
      </c>
      <c r="I313">
        <v>8</v>
      </c>
      <c r="J313">
        <v>4</v>
      </c>
      <c r="K313">
        <v>5</v>
      </c>
      <c r="L313" t="s">
        <v>21</v>
      </c>
      <c r="M313" t="s">
        <v>29</v>
      </c>
      <c r="N313" t="s">
        <v>34</v>
      </c>
      <c r="O313" t="s">
        <v>54</v>
      </c>
      <c r="P313" t="str">
        <f t="shared" si="20"/>
        <v>30-39</v>
      </c>
      <c r="Q313" t="str">
        <f t="shared" si="21"/>
        <v>Low</v>
      </c>
      <c r="R313" t="str">
        <f t="shared" si="22"/>
        <v>Senior</v>
      </c>
      <c r="S313" t="str">
        <f t="shared" si="23"/>
        <v>High Performer</v>
      </c>
      <c r="T313" s="4" t="str">
        <f t="shared" si="24"/>
        <v>Satisfied</v>
      </c>
    </row>
    <row r="314" spans="1:20" x14ac:dyDescent="0.3">
      <c r="A314" t="s">
        <v>498</v>
      </c>
      <c r="B314" t="s">
        <v>278</v>
      </c>
      <c r="C314" t="s">
        <v>17</v>
      </c>
      <c r="D314">
        <v>47</v>
      </c>
      <c r="E314" t="s">
        <v>49</v>
      </c>
      <c r="F314" t="s">
        <v>27</v>
      </c>
      <c r="G314" t="s">
        <v>33</v>
      </c>
      <c r="H314">
        <v>40000</v>
      </c>
      <c r="I314">
        <v>19</v>
      </c>
      <c r="J314">
        <v>2</v>
      </c>
      <c r="K314">
        <v>1</v>
      </c>
      <c r="L314" t="s">
        <v>29</v>
      </c>
      <c r="M314" t="s">
        <v>29</v>
      </c>
      <c r="N314" t="s">
        <v>22</v>
      </c>
      <c r="O314" t="s">
        <v>38</v>
      </c>
      <c r="P314" t="str">
        <f t="shared" si="20"/>
        <v>40-49</v>
      </c>
      <c r="Q314" t="str">
        <f t="shared" si="21"/>
        <v>Medium</v>
      </c>
      <c r="R314" t="str">
        <f t="shared" si="22"/>
        <v>Senior</v>
      </c>
      <c r="S314" t="str">
        <f t="shared" si="23"/>
        <v>Needs Improvement</v>
      </c>
      <c r="T314" s="4" t="str">
        <f t="shared" si="24"/>
        <v>Dissatisfied</v>
      </c>
    </row>
    <row r="315" spans="1:20" x14ac:dyDescent="0.3">
      <c r="A315" t="s">
        <v>499</v>
      </c>
      <c r="B315" t="s">
        <v>259</v>
      </c>
      <c r="C315" t="s">
        <v>37</v>
      </c>
      <c r="D315">
        <v>45</v>
      </c>
      <c r="E315" t="s">
        <v>49</v>
      </c>
      <c r="F315" t="s">
        <v>27</v>
      </c>
      <c r="G315" t="s">
        <v>46</v>
      </c>
      <c r="H315">
        <v>82000</v>
      </c>
      <c r="I315">
        <v>11</v>
      </c>
      <c r="J315">
        <v>2</v>
      </c>
      <c r="K315">
        <v>3</v>
      </c>
      <c r="L315" t="s">
        <v>21</v>
      </c>
      <c r="M315" t="s">
        <v>29</v>
      </c>
      <c r="N315" t="s">
        <v>34</v>
      </c>
      <c r="O315" t="s">
        <v>38</v>
      </c>
      <c r="P315" t="str">
        <f t="shared" si="20"/>
        <v>40-49</v>
      </c>
      <c r="Q315" t="str">
        <f t="shared" si="21"/>
        <v>High</v>
      </c>
      <c r="R315" t="str">
        <f t="shared" si="22"/>
        <v>Senior</v>
      </c>
      <c r="S315" t="str">
        <f t="shared" si="23"/>
        <v>Needs Improvement</v>
      </c>
      <c r="T315" s="4" t="str">
        <f t="shared" si="24"/>
        <v>Neutral</v>
      </c>
    </row>
    <row r="316" spans="1:20" x14ac:dyDescent="0.3">
      <c r="A316" t="s">
        <v>500</v>
      </c>
      <c r="B316" t="s">
        <v>295</v>
      </c>
      <c r="C316" t="s">
        <v>37</v>
      </c>
      <c r="D316">
        <v>39</v>
      </c>
      <c r="E316" t="s">
        <v>41</v>
      </c>
      <c r="F316" t="s">
        <v>73</v>
      </c>
      <c r="G316" t="s">
        <v>28</v>
      </c>
      <c r="H316">
        <v>104000</v>
      </c>
      <c r="I316">
        <v>16</v>
      </c>
      <c r="J316">
        <v>2</v>
      </c>
      <c r="K316">
        <v>1</v>
      </c>
      <c r="L316" t="s">
        <v>29</v>
      </c>
      <c r="M316" t="s">
        <v>29</v>
      </c>
      <c r="N316" t="s">
        <v>22</v>
      </c>
      <c r="O316" t="s">
        <v>30</v>
      </c>
      <c r="P316" t="str">
        <f t="shared" si="20"/>
        <v>30-39</v>
      </c>
      <c r="Q316" t="str">
        <f t="shared" si="21"/>
        <v>High</v>
      </c>
      <c r="R316" t="str">
        <f t="shared" si="22"/>
        <v>Senior</v>
      </c>
      <c r="S316" t="str">
        <f t="shared" si="23"/>
        <v>Needs Improvement</v>
      </c>
      <c r="T316" s="4" t="str">
        <f t="shared" si="24"/>
        <v>Dissatisfied</v>
      </c>
    </row>
    <row r="317" spans="1:20" x14ac:dyDescent="0.3">
      <c r="A317" t="s">
        <v>501</v>
      </c>
      <c r="B317" t="s">
        <v>502</v>
      </c>
      <c r="C317" t="s">
        <v>37</v>
      </c>
      <c r="D317">
        <v>23</v>
      </c>
      <c r="E317" t="s">
        <v>66</v>
      </c>
      <c r="F317" t="s">
        <v>67</v>
      </c>
      <c r="G317" t="s">
        <v>28</v>
      </c>
      <c r="H317">
        <v>75000</v>
      </c>
      <c r="I317">
        <v>2</v>
      </c>
      <c r="J317">
        <v>4</v>
      </c>
      <c r="K317">
        <v>5</v>
      </c>
      <c r="L317" t="s">
        <v>21</v>
      </c>
      <c r="M317" t="s">
        <v>29</v>
      </c>
      <c r="N317" t="s">
        <v>22</v>
      </c>
      <c r="O317" t="s">
        <v>30</v>
      </c>
      <c r="P317" t="str">
        <f t="shared" si="20"/>
        <v>20-29</v>
      </c>
      <c r="Q317" t="str">
        <f t="shared" si="21"/>
        <v>High</v>
      </c>
      <c r="R317" t="str">
        <f t="shared" si="22"/>
        <v>Junior</v>
      </c>
      <c r="S317" t="str">
        <f t="shared" si="23"/>
        <v>High Performer</v>
      </c>
      <c r="T317" s="4" t="str">
        <f t="shared" si="24"/>
        <v>Satisfied</v>
      </c>
    </row>
    <row r="318" spans="1:20" x14ac:dyDescent="0.3">
      <c r="A318" t="s">
        <v>503</v>
      </c>
      <c r="B318" t="s">
        <v>160</v>
      </c>
      <c r="C318" t="s">
        <v>17</v>
      </c>
      <c r="D318">
        <v>42</v>
      </c>
      <c r="E318" t="s">
        <v>41</v>
      </c>
      <c r="F318" t="s">
        <v>73</v>
      </c>
      <c r="G318" t="s">
        <v>20</v>
      </c>
      <c r="H318">
        <v>117000</v>
      </c>
      <c r="I318">
        <v>10</v>
      </c>
      <c r="J318">
        <v>5</v>
      </c>
      <c r="K318">
        <v>4</v>
      </c>
      <c r="L318" t="s">
        <v>29</v>
      </c>
      <c r="M318" t="s">
        <v>29</v>
      </c>
      <c r="N318" t="s">
        <v>22</v>
      </c>
      <c r="O318" t="s">
        <v>51</v>
      </c>
      <c r="P318" t="str">
        <f t="shared" si="20"/>
        <v>40-49</v>
      </c>
      <c r="Q318" t="str">
        <f t="shared" si="21"/>
        <v>High</v>
      </c>
      <c r="R318" t="str">
        <f t="shared" si="22"/>
        <v>Senior</v>
      </c>
      <c r="S318" t="str">
        <f t="shared" si="23"/>
        <v>High Performer</v>
      </c>
      <c r="T318" s="4" t="str">
        <f t="shared" si="24"/>
        <v>Satisfied</v>
      </c>
    </row>
    <row r="319" spans="1:20" x14ac:dyDescent="0.3">
      <c r="A319" t="s">
        <v>504</v>
      </c>
      <c r="B319" t="s">
        <v>125</v>
      </c>
      <c r="C319" t="s">
        <v>37</v>
      </c>
      <c r="D319">
        <v>30</v>
      </c>
      <c r="E319" t="s">
        <v>26</v>
      </c>
      <c r="F319" t="s">
        <v>50</v>
      </c>
      <c r="G319" t="s">
        <v>33</v>
      </c>
      <c r="H319">
        <v>86000</v>
      </c>
      <c r="I319">
        <v>9</v>
      </c>
      <c r="J319">
        <v>5</v>
      </c>
      <c r="K319">
        <v>1</v>
      </c>
      <c r="L319" t="s">
        <v>21</v>
      </c>
      <c r="M319" t="s">
        <v>21</v>
      </c>
      <c r="N319" t="s">
        <v>22</v>
      </c>
      <c r="O319" t="s">
        <v>38</v>
      </c>
      <c r="P319" t="str">
        <f t="shared" si="20"/>
        <v>30-39</v>
      </c>
      <c r="Q319" t="str">
        <f t="shared" si="21"/>
        <v>High</v>
      </c>
      <c r="R319" t="str">
        <f t="shared" si="22"/>
        <v>Senior</v>
      </c>
      <c r="S319" t="str">
        <f t="shared" si="23"/>
        <v>High Performer</v>
      </c>
      <c r="T319" s="4" t="str">
        <f t="shared" si="24"/>
        <v>Dissatisfied</v>
      </c>
    </row>
    <row r="320" spans="1:20" x14ac:dyDescent="0.3">
      <c r="A320" t="s">
        <v>505</v>
      </c>
      <c r="B320" t="s">
        <v>238</v>
      </c>
      <c r="C320" t="s">
        <v>37</v>
      </c>
      <c r="D320">
        <v>31</v>
      </c>
      <c r="E320" t="s">
        <v>57</v>
      </c>
      <c r="F320" t="s">
        <v>50</v>
      </c>
      <c r="G320" t="s">
        <v>20</v>
      </c>
      <c r="H320">
        <v>103000</v>
      </c>
      <c r="I320">
        <v>10</v>
      </c>
      <c r="J320">
        <v>3</v>
      </c>
      <c r="K320">
        <v>3</v>
      </c>
      <c r="L320" t="s">
        <v>29</v>
      </c>
      <c r="M320" t="s">
        <v>29</v>
      </c>
      <c r="N320" t="s">
        <v>34</v>
      </c>
      <c r="O320" t="s">
        <v>38</v>
      </c>
      <c r="P320" t="str">
        <f t="shared" si="20"/>
        <v>30-39</v>
      </c>
      <c r="Q320" t="str">
        <f t="shared" si="21"/>
        <v>High</v>
      </c>
      <c r="R320" t="str">
        <f t="shared" si="22"/>
        <v>Senior</v>
      </c>
      <c r="S320" t="str">
        <f t="shared" si="23"/>
        <v>Needs Improvement</v>
      </c>
      <c r="T320" s="4" t="str">
        <f t="shared" si="24"/>
        <v>Neutral</v>
      </c>
    </row>
    <row r="321" spans="1:20" x14ac:dyDescent="0.3">
      <c r="A321" t="s">
        <v>506</v>
      </c>
      <c r="B321" t="s">
        <v>306</v>
      </c>
      <c r="C321" t="s">
        <v>37</v>
      </c>
      <c r="D321">
        <v>29</v>
      </c>
      <c r="E321" t="s">
        <v>41</v>
      </c>
      <c r="F321" t="s">
        <v>42</v>
      </c>
      <c r="G321" t="s">
        <v>20</v>
      </c>
      <c r="H321">
        <v>64000</v>
      </c>
      <c r="I321">
        <v>8</v>
      </c>
      <c r="J321">
        <v>2</v>
      </c>
      <c r="K321">
        <v>5</v>
      </c>
      <c r="L321" t="s">
        <v>29</v>
      </c>
      <c r="M321" t="s">
        <v>29</v>
      </c>
      <c r="N321" t="s">
        <v>22</v>
      </c>
      <c r="O321" t="s">
        <v>23</v>
      </c>
      <c r="P321" t="str">
        <f t="shared" si="20"/>
        <v>20-29</v>
      </c>
      <c r="Q321" t="str">
        <f t="shared" si="21"/>
        <v>Medium</v>
      </c>
      <c r="R321" t="str">
        <f t="shared" si="22"/>
        <v>Senior</v>
      </c>
      <c r="S321" t="str">
        <f t="shared" si="23"/>
        <v>Needs Improvement</v>
      </c>
      <c r="T321" s="4" t="str">
        <f t="shared" si="24"/>
        <v>Satisfied</v>
      </c>
    </row>
    <row r="322" spans="1:20" x14ac:dyDescent="0.3">
      <c r="A322" t="s">
        <v>507</v>
      </c>
      <c r="B322" t="s">
        <v>88</v>
      </c>
      <c r="C322" t="s">
        <v>17</v>
      </c>
      <c r="D322">
        <v>37</v>
      </c>
      <c r="E322" t="s">
        <v>26</v>
      </c>
      <c r="F322" t="s">
        <v>27</v>
      </c>
      <c r="G322" t="s">
        <v>20</v>
      </c>
      <c r="H322">
        <v>90000</v>
      </c>
      <c r="I322">
        <v>6</v>
      </c>
      <c r="J322">
        <v>2</v>
      </c>
      <c r="K322">
        <v>1</v>
      </c>
      <c r="L322" t="s">
        <v>29</v>
      </c>
      <c r="M322" t="s">
        <v>29</v>
      </c>
      <c r="N322" t="s">
        <v>34</v>
      </c>
      <c r="O322" t="s">
        <v>38</v>
      </c>
      <c r="P322" t="str">
        <f t="shared" ref="P322:P385" si="25">IF(D322&lt;30,"20-29",IF(D322&lt;40,"30-39",IF(D322&lt;50,"40-49","50+")))</f>
        <v>30-39</v>
      </c>
      <c r="Q322" t="str">
        <f t="shared" ref="Q322:Q385" si="26">IF(H322&lt;40000,"Low",IF(H322&lt;70000,"Medium","High"))</f>
        <v>High</v>
      </c>
      <c r="R322" t="str">
        <f t="shared" ref="R322:R385" si="27">IF(I322&lt;3,"Junior",IF(I322&lt;7,"Mid-Level","Senior"))</f>
        <v>Mid-Level</v>
      </c>
      <c r="S322" t="str">
        <f t="shared" ref="S322:S385" si="28">IF(J322&gt;=4,"High Performer","Needs Improvement")</f>
        <v>Needs Improvement</v>
      </c>
      <c r="T322" s="4" t="str">
        <f t="shared" ref="T322:T385" si="29">IF(K322&gt;=4,"Satisfied",IF(K322=3,"Neutral","Dissatisfied"))</f>
        <v>Dissatisfied</v>
      </c>
    </row>
    <row r="323" spans="1:20" x14ac:dyDescent="0.3">
      <c r="A323" t="s">
        <v>508</v>
      </c>
      <c r="B323" t="s">
        <v>366</v>
      </c>
      <c r="C323" t="s">
        <v>17</v>
      </c>
      <c r="D323">
        <v>30</v>
      </c>
      <c r="E323" t="s">
        <v>66</v>
      </c>
      <c r="F323" t="s">
        <v>67</v>
      </c>
      <c r="G323" t="s">
        <v>46</v>
      </c>
      <c r="H323">
        <v>57000</v>
      </c>
      <c r="I323">
        <v>9</v>
      </c>
      <c r="J323">
        <v>4</v>
      </c>
      <c r="K323">
        <v>5</v>
      </c>
      <c r="L323" t="s">
        <v>29</v>
      </c>
      <c r="M323" t="s">
        <v>29</v>
      </c>
      <c r="N323" t="s">
        <v>34</v>
      </c>
      <c r="O323" t="s">
        <v>51</v>
      </c>
      <c r="P323" t="str">
        <f t="shared" si="25"/>
        <v>30-39</v>
      </c>
      <c r="Q323" t="str">
        <f t="shared" si="26"/>
        <v>Medium</v>
      </c>
      <c r="R323" t="str">
        <f t="shared" si="27"/>
        <v>Senior</v>
      </c>
      <c r="S323" t="str">
        <f t="shared" si="28"/>
        <v>High Performer</v>
      </c>
      <c r="T323" s="4" t="str">
        <f t="shared" si="29"/>
        <v>Satisfied</v>
      </c>
    </row>
    <row r="324" spans="1:20" x14ac:dyDescent="0.3">
      <c r="A324" t="s">
        <v>509</v>
      </c>
      <c r="B324" t="s">
        <v>510</v>
      </c>
      <c r="C324" t="s">
        <v>17</v>
      </c>
      <c r="D324">
        <v>26</v>
      </c>
      <c r="E324" t="s">
        <v>18</v>
      </c>
      <c r="F324" t="s">
        <v>19</v>
      </c>
      <c r="G324" t="s">
        <v>20</v>
      </c>
      <c r="H324">
        <v>75000</v>
      </c>
      <c r="I324">
        <v>1</v>
      </c>
      <c r="J324">
        <v>5</v>
      </c>
      <c r="K324">
        <v>2</v>
      </c>
      <c r="L324" t="s">
        <v>29</v>
      </c>
      <c r="M324" t="s">
        <v>29</v>
      </c>
      <c r="N324" t="s">
        <v>22</v>
      </c>
      <c r="O324" t="s">
        <v>70</v>
      </c>
      <c r="P324" t="str">
        <f t="shared" si="25"/>
        <v>20-29</v>
      </c>
      <c r="Q324" t="str">
        <f t="shared" si="26"/>
        <v>High</v>
      </c>
      <c r="R324" t="str">
        <f t="shared" si="27"/>
        <v>Junior</v>
      </c>
      <c r="S324" t="str">
        <f t="shared" si="28"/>
        <v>High Performer</v>
      </c>
      <c r="T324" s="4" t="str">
        <f t="shared" si="29"/>
        <v>Dissatisfied</v>
      </c>
    </row>
    <row r="325" spans="1:20" x14ac:dyDescent="0.3">
      <c r="A325" t="s">
        <v>511</v>
      </c>
      <c r="B325" t="s">
        <v>16</v>
      </c>
      <c r="C325" t="s">
        <v>17</v>
      </c>
      <c r="D325">
        <v>24</v>
      </c>
      <c r="E325" t="s">
        <v>57</v>
      </c>
      <c r="F325" t="s">
        <v>27</v>
      </c>
      <c r="G325" t="s">
        <v>33</v>
      </c>
      <c r="H325">
        <v>63000</v>
      </c>
      <c r="I325">
        <v>3</v>
      </c>
      <c r="J325">
        <v>2</v>
      </c>
      <c r="K325">
        <v>3</v>
      </c>
      <c r="L325" t="s">
        <v>21</v>
      </c>
      <c r="M325" t="s">
        <v>29</v>
      </c>
      <c r="N325" t="s">
        <v>34</v>
      </c>
      <c r="O325" t="s">
        <v>51</v>
      </c>
      <c r="P325" t="str">
        <f t="shared" si="25"/>
        <v>20-29</v>
      </c>
      <c r="Q325" t="str">
        <f t="shared" si="26"/>
        <v>Medium</v>
      </c>
      <c r="R325" t="str">
        <f t="shared" si="27"/>
        <v>Mid-Level</v>
      </c>
      <c r="S325" t="str">
        <f t="shared" si="28"/>
        <v>Needs Improvement</v>
      </c>
      <c r="T325" s="4" t="str">
        <f t="shared" si="29"/>
        <v>Neutral</v>
      </c>
    </row>
    <row r="326" spans="1:20" x14ac:dyDescent="0.3">
      <c r="A326" t="s">
        <v>512</v>
      </c>
      <c r="B326" t="s">
        <v>308</v>
      </c>
      <c r="C326" t="s">
        <v>17</v>
      </c>
      <c r="D326">
        <v>46</v>
      </c>
      <c r="E326" t="s">
        <v>49</v>
      </c>
      <c r="F326" t="s">
        <v>27</v>
      </c>
      <c r="G326" t="s">
        <v>46</v>
      </c>
      <c r="H326">
        <v>35000</v>
      </c>
      <c r="I326">
        <v>4</v>
      </c>
      <c r="J326">
        <v>4</v>
      </c>
      <c r="K326">
        <v>4</v>
      </c>
      <c r="L326" t="s">
        <v>21</v>
      </c>
      <c r="M326" t="s">
        <v>29</v>
      </c>
      <c r="N326" t="s">
        <v>22</v>
      </c>
      <c r="O326" t="s">
        <v>38</v>
      </c>
      <c r="P326" t="str">
        <f t="shared" si="25"/>
        <v>40-49</v>
      </c>
      <c r="Q326" t="str">
        <f t="shared" si="26"/>
        <v>Low</v>
      </c>
      <c r="R326" t="str">
        <f t="shared" si="27"/>
        <v>Mid-Level</v>
      </c>
      <c r="S326" t="str">
        <f t="shared" si="28"/>
        <v>High Performer</v>
      </c>
      <c r="T326" s="4" t="str">
        <f t="shared" si="29"/>
        <v>Satisfied</v>
      </c>
    </row>
    <row r="327" spans="1:20" x14ac:dyDescent="0.3">
      <c r="A327" t="s">
        <v>513</v>
      </c>
      <c r="B327" t="s">
        <v>308</v>
      </c>
      <c r="C327" t="s">
        <v>37</v>
      </c>
      <c r="D327">
        <v>43</v>
      </c>
      <c r="E327" t="s">
        <v>18</v>
      </c>
      <c r="F327" t="s">
        <v>126</v>
      </c>
      <c r="G327" t="s">
        <v>33</v>
      </c>
      <c r="H327">
        <v>107000</v>
      </c>
      <c r="I327">
        <v>17</v>
      </c>
      <c r="J327">
        <v>2</v>
      </c>
      <c r="K327">
        <v>2</v>
      </c>
      <c r="L327" t="s">
        <v>21</v>
      </c>
      <c r="M327" t="s">
        <v>21</v>
      </c>
      <c r="N327" t="s">
        <v>34</v>
      </c>
      <c r="O327" t="s">
        <v>51</v>
      </c>
      <c r="P327" t="str">
        <f t="shared" si="25"/>
        <v>40-49</v>
      </c>
      <c r="Q327" t="str">
        <f t="shared" si="26"/>
        <v>High</v>
      </c>
      <c r="R327" t="str">
        <f t="shared" si="27"/>
        <v>Senior</v>
      </c>
      <c r="S327" t="str">
        <f t="shared" si="28"/>
        <v>Needs Improvement</v>
      </c>
      <c r="T327" s="4" t="str">
        <f t="shared" si="29"/>
        <v>Dissatisfied</v>
      </c>
    </row>
    <row r="328" spans="1:20" x14ac:dyDescent="0.3">
      <c r="A328" t="s">
        <v>514</v>
      </c>
      <c r="B328" t="s">
        <v>79</v>
      </c>
      <c r="C328" t="s">
        <v>17</v>
      </c>
      <c r="D328">
        <v>23</v>
      </c>
      <c r="E328" t="s">
        <v>26</v>
      </c>
      <c r="F328" t="s">
        <v>50</v>
      </c>
      <c r="G328" t="s">
        <v>33</v>
      </c>
      <c r="H328">
        <v>27000</v>
      </c>
      <c r="I328">
        <v>2</v>
      </c>
      <c r="J328">
        <v>4</v>
      </c>
      <c r="K328">
        <v>1</v>
      </c>
      <c r="L328" t="s">
        <v>29</v>
      </c>
      <c r="M328" t="s">
        <v>29</v>
      </c>
      <c r="N328" t="s">
        <v>22</v>
      </c>
      <c r="O328" t="s">
        <v>43</v>
      </c>
      <c r="P328" t="str">
        <f t="shared" si="25"/>
        <v>20-29</v>
      </c>
      <c r="Q328" t="str">
        <f t="shared" si="26"/>
        <v>Low</v>
      </c>
      <c r="R328" t="str">
        <f t="shared" si="27"/>
        <v>Junior</v>
      </c>
      <c r="S328" t="str">
        <f t="shared" si="28"/>
        <v>High Performer</v>
      </c>
      <c r="T328" s="4" t="str">
        <f t="shared" si="29"/>
        <v>Dissatisfied</v>
      </c>
    </row>
    <row r="329" spans="1:20" x14ac:dyDescent="0.3">
      <c r="A329" t="s">
        <v>515</v>
      </c>
      <c r="B329" t="s">
        <v>439</v>
      </c>
      <c r="C329" t="s">
        <v>37</v>
      </c>
      <c r="D329">
        <v>41</v>
      </c>
      <c r="E329" t="s">
        <v>57</v>
      </c>
      <c r="F329" t="s">
        <v>27</v>
      </c>
      <c r="G329" t="s">
        <v>20</v>
      </c>
      <c r="H329">
        <v>45000</v>
      </c>
      <c r="I329">
        <v>11</v>
      </c>
      <c r="J329">
        <v>2</v>
      </c>
      <c r="K329">
        <v>1</v>
      </c>
      <c r="L329" t="s">
        <v>21</v>
      </c>
      <c r="M329" t="s">
        <v>21</v>
      </c>
      <c r="N329" t="s">
        <v>22</v>
      </c>
      <c r="O329" t="s">
        <v>30</v>
      </c>
      <c r="P329" t="str">
        <f t="shared" si="25"/>
        <v>40-49</v>
      </c>
      <c r="Q329" t="str">
        <f t="shared" si="26"/>
        <v>Medium</v>
      </c>
      <c r="R329" t="str">
        <f t="shared" si="27"/>
        <v>Senior</v>
      </c>
      <c r="S329" t="str">
        <f t="shared" si="28"/>
        <v>Needs Improvement</v>
      </c>
      <c r="T329" s="4" t="str">
        <f t="shared" si="29"/>
        <v>Dissatisfied</v>
      </c>
    </row>
    <row r="330" spans="1:20" x14ac:dyDescent="0.3">
      <c r="A330" t="s">
        <v>516</v>
      </c>
      <c r="B330" t="s">
        <v>201</v>
      </c>
      <c r="C330" t="s">
        <v>17</v>
      </c>
      <c r="D330">
        <v>42</v>
      </c>
      <c r="E330" t="s">
        <v>57</v>
      </c>
      <c r="F330" t="s">
        <v>27</v>
      </c>
      <c r="G330" t="s">
        <v>20</v>
      </c>
      <c r="H330">
        <v>54000</v>
      </c>
      <c r="I330">
        <v>4</v>
      </c>
      <c r="J330">
        <v>3</v>
      </c>
      <c r="K330">
        <v>4</v>
      </c>
      <c r="L330" t="s">
        <v>29</v>
      </c>
      <c r="M330" t="s">
        <v>29</v>
      </c>
      <c r="N330" t="s">
        <v>34</v>
      </c>
      <c r="O330" t="s">
        <v>43</v>
      </c>
      <c r="P330" t="str">
        <f t="shared" si="25"/>
        <v>40-49</v>
      </c>
      <c r="Q330" t="str">
        <f t="shared" si="26"/>
        <v>Medium</v>
      </c>
      <c r="R330" t="str">
        <f t="shared" si="27"/>
        <v>Mid-Level</v>
      </c>
      <c r="S330" t="str">
        <f t="shared" si="28"/>
        <v>Needs Improvement</v>
      </c>
      <c r="T330" s="4" t="str">
        <f t="shared" si="29"/>
        <v>Satisfied</v>
      </c>
    </row>
    <row r="331" spans="1:20" x14ac:dyDescent="0.3">
      <c r="A331" t="s">
        <v>517</v>
      </c>
      <c r="B331" t="s">
        <v>227</v>
      </c>
      <c r="C331" t="s">
        <v>37</v>
      </c>
      <c r="D331">
        <v>30</v>
      </c>
      <c r="E331" t="s">
        <v>57</v>
      </c>
      <c r="F331" t="s">
        <v>50</v>
      </c>
      <c r="G331" t="s">
        <v>20</v>
      </c>
      <c r="H331">
        <v>79000</v>
      </c>
      <c r="I331">
        <v>6</v>
      </c>
      <c r="J331">
        <v>3</v>
      </c>
      <c r="K331">
        <v>1</v>
      </c>
      <c r="L331" t="s">
        <v>29</v>
      </c>
      <c r="M331" t="s">
        <v>29</v>
      </c>
      <c r="N331" t="s">
        <v>34</v>
      </c>
      <c r="O331" t="s">
        <v>30</v>
      </c>
      <c r="P331" t="str">
        <f t="shared" si="25"/>
        <v>30-39</v>
      </c>
      <c r="Q331" t="str">
        <f t="shared" si="26"/>
        <v>High</v>
      </c>
      <c r="R331" t="str">
        <f t="shared" si="27"/>
        <v>Mid-Level</v>
      </c>
      <c r="S331" t="str">
        <f t="shared" si="28"/>
        <v>Needs Improvement</v>
      </c>
      <c r="T331" s="4" t="str">
        <f t="shared" si="29"/>
        <v>Dissatisfied</v>
      </c>
    </row>
    <row r="332" spans="1:20" x14ac:dyDescent="0.3">
      <c r="A332" t="s">
        <v>518</v>
      </c>
      <c r="B332" t="s">
        <v>138</v>
      </c>
      <c r="C332" t="s">
        <v>17</v>
      </c>
      <c r="D332">
        <v>34</v>
      </c>
      <c r="E332" t="s">
        <v>49</v>
      </c>
      <c r="F332" t="s">
        <v>27</v>
      </c>
      <c r="G332" t="s">
        <v>46</v>
      </c>
      <c r="H332">
        <v>59000</v>
      </c>
      <c r="I332">
        <v>7</v>
      </c>
      <c r="J332">
        <v>2</v>
      </c>
      <c r="K332">
        <v>4</v>
      </c>
      <c r="L332" t="s">
        <v>21</v>
      </c>
      <c r="M332" t="s">
        <v>29</v>
      </c>
      <c r="N332" t="s">
        <v>22</v>
      </c>
      <c r="O332" t="s">
        <v>70</v>
      </c>
      <c r="P332" t="str">
        <f t="shared" si="25"/>
        <v>30-39</v>
      </c>
      <c r="Q332" t="str">
        <f t="shared" si="26"/>
        <v>Medium</v>
      </c>
      <c r="R332" t="str">
        <f t="shared" si="27"/>
        <v>Senior</v>
      </c>
      <c r="S332" t="str">
        <f t="shared" si="28"/>
        <v>Needs Improvement</v>
      </c>
      <c r="T332" s="4" t="str">
        <f t="shared" si="29"/>
        <v>Satisfied</v>
      </c>
    </row>
    <row r="333" spans="1:20" x14ac:dyDescent="0.3">
      <c r="A333" t="s">
        <v>519</v>
      </c>
      <c r="B333" t="s">
        <v>199</v>
      </c>
      <c r="C333" t="s">
        <v>17</v>
      </c>
      <c r="D333">
        <v>45</v>
      </c>
      <c r="E333" t="s">
        <v>26</v>
      </c>
      <c r="F333" t="s">
        <v>50</v>
      </c>
      <c r="G333" t="s">
        <v>33</v>
      </c>
      <c r="H333">
        <v>67000</v>
      </c>
      <c r="I333">
        <v>12</v>
      </c>
      <c r="J333">
        <v>3</v>
      </c>
      <c r="K333">
        <v>4</v>
      </c>
      <c r="L333" t="s">
        <v>29</v>
      </c>
      <c r="M333" t="s">
        <v>29</v>
      </c>
      <c r="N333" t="s">
        <v>34</v>
      </c>
      <c r="O333" t="s">
        <v>38</v>
      </c>
      <c r="P333" t="str">
        <f t="shared" si="25"/>
        <v>40-49</v>
      </c>
      <c r="Q333" t="str">
        <f t="shared" si="26"/>
        <v>Medium</v>
      </c>
      <c r="R333" t="str">
        <f t="shared" si="27"/>
        <v>Senior</v>
      </c>
      <c r="S333" t="str">
        <f t="shared" si="28"/>
        <v>Needs Improvement</v>
      </c>
      <c r="T333" s="4" t="str">
        <f t="shared" si="29"/>
        <v>Satisfied</v>
      </c>
    </row>
    <row r="334" spans="1:20" x14ac:dyDescent="0.3">
      <c r="A334" t="s">
        <v>520</v>
      </c>
      <c r="B334" t="s">
        <v>233</v>
      </c>
      <c r="C334" t="s">
        <v>37</v>
      </c>
      <c r="D334">
        <v>31</v>
      </c>
      <c r="E334" t="s">
        <v>57</v>
      </c>
      <c r="F334" t="s">
        <v>50</v>
      </c>
      <c r="G334" t="s">
        <v>33</v>
      </c>
      <c r="H334">
        <v>99000</v>
      </c>
      <c r="I334">
        <v>10</v>
      </c>
      <c r="J334">
        <v>2</v>
      </c>
      <c r="K334">
        <v>5</v>
      </c>
      <c r="L334" t="s">
        <v>29</v>
      </c>
      <c r="M334" t="s">
        <v>29</v>
      </c>
      <c r="N334" t="s">
        <v>34</v>
      </c>
      <c r="O334" t="s">
        <v>70</v>
      </c>
      <c r="P334" t="str">
        <f t="shared" si="25"/>
        <v>30-39</v>
      </c>
      <c r="Q334" t="str">
        <f t="shared" si="26"/>
        <v>High</v>
      </c>
      <c r="R334" t="str">
        <f t="shared" si="27"/>
        <v>Senior</v>
      </c>
      <c r="S334" t="str">
        <f t="shared" si="28"/>
        <v>Needs Improvement</v>
      </c>
      <c r="T334" s="4" t="str">
        <f t="shared" si="29"/>
        <v>Satisfied</v>
      </c>
    </row>
    <row r="335" spans="1:20" x14ac:dyDescent="0.3">
      <c r="A335" t="s">
        <v>521</v>
      </c>
      <c r="B335" t="s">
        <v>92</v>
      </c>
      <c r="C335" t="s">
        <v>37</v>
      </c>
      <c r="D335">
        <v>34</v>
      </c>
      <c r="E335" t="s">
        <v>57</v>
      </c>
      <c r="F335" t="s">
        <v>27</v>
      </c>
      <c r="G335" t="s">
        <v>28</v>
      </c>
      <c r="H335">
        <v>54000</v>
      </c>
      <c r="I335">
        <v>0</v>
      </c>
      <c r="J335">
        <v>2</v>
      </c>
      <c r="K335">
        <v>2</v>
      </c>
      <c r="L335" t="s">
        <v>29</v>
      </c>
      <c r="M335" t="s">
        <v>29</v>
      </c>
      <c r="N335" t="s">
        <v>22</v>
      </c>
      <c r="O335" t="s">
        <v>75</v>
      </c>
      <c r="P335" t="str">
        <f t="shared" si="25"/>
        <v>30-39</v>
      </c>
      <c r="Q335" t="str">
        <f t="shared" si="26"/>
        <v>Medium</v>
      </c>
      <c r="R335" t="str">
        <f t="shared" si="27"/>
        <v>Junior</v>
      </c>
      <c r="S335" t="str">
        <f t="shared" si="28"/>
        <v>Needs Improvement</v>
      </c>
      <c r="T335" s="4" t="str">
        <f t="shared" si="29"/>
        <v>Dissatisfied</v>
      </c>
    </row>
    <row r="336" spans="1:20" x14ac:dyDescent="0.3">
      <c r="A336" t="s">
        <v>522</v>
      </c>
      <c r="B336" t="s">
        <v>240</v>
      </c>
      <c r="C336" t="s">
        <v>37</v>
      </c>
      <c r="D336">
        <v>43</v>
      </c>
      <c r="E336" t="s">
        <v>41</v>
      </c>
      <c r="F336" t="s">
        <v>42</v>
      </c>
      <c r="G336" t="s">
        <v>20</v>
      </c>
      <c r="H336">
        <v>81000</v>
      </c>
      <c r="I336">
        <v>4</v>
      </c>
      <c r="J336">
        <v>5</v>
      </c>
      <c r="K336">
        <v>4</v>
      </c>
      <c r="L336" t="s">
        <v>21</v>
      </c>
      <c r="M336" t="s">
        <v>29</v>
      </c>
      <c r="N336" t="s">
        <v>22</v>
      </c>
      <c r="O336" t="s">
        <v>51</v>
      </c>
      <c r="P336" t="str">
        <f t="shared" si="25"/>
        <v>40-49</v>
      </c>
      <c r="Q336" t="str">
        <f t="shared" si="26"/>
        <v>High</v>
      </c>
      <c r="R336" t="str">
        <f t="shared" si="27"/>
        <v>Mid-Level</v>
      </c>
      <c r="S336" t="str">
        <f t="shared" si="28"/>
        <v>High Performer</v>
      </c>
      <c r="T336" s="4" t="str">
        <f t="shared" si="29"/>
        <v>Satisfied</v>
      </c>
    </row>
    <row r="337" spans="1:20" x14ac:dyDescent="0.3">
      <c r="A337" t="s">
        <v>523</v>
      </c>
      <c r="B337" t="s">
        <v>470</v>
      </c>
      <c r="C337" t="s">
        <v>17</v>
      </c>
      <c r="D337">
        <v>30</v>
      </c>
      <c r="E337" t="s">
        <v>26</v>
      </c>
      <c r="F337" t="s">
        <v>27</v>
      </c>
      <c r="G337" t="s">
        <v>33</v>
      </c>
      <c r="H337">
        <v>71000</v>
      </c>
      <c r="I337">
        <v>2</v>
      </c>
      <c r="J337">
        <v>2</v>
      </c>
      <c r="K337">
        <v>2</v>
      </c>
      <c r="L337" t="s">
        <v>29</v>
      </c>
      <c r="M337" t="s">
        <v>29</v>
      </c>
      <c r="N337" t="s">
        <v>34</v>
      </c>
      <c r="O337" t="s">
        <v>51</v>
      </c>
      <c r="P337" t="str">
        <f t="shared" si="25"/>
        <v>30-39</v>
      </c>
      <c r="Q337" t="str">
        <f t="shared" si="26"/>
        <v>High</v>
      </c>
      <c r="R337" t="str">
        <f t="shared" si="27"/>
        <v>Junior</v>
      </c>
      <c r="S337" t="str">
        <f t="shared" si="28"/>
        <v>Needs Improvement</v>
      </c>
      <c r="T337" s="4" t="str">
        <f t="shared" si="29"/>
        <v>Dissatisfied</v>
      </c>
    </row>
    <row r="338" spans="1:20" x14ac:dyDescent="0.3">
      <c r="A338" t="s">
        <v>524</v>
      </c>
      <c r="B338" t="s">
        <v>278</v>
      </c>
      <c r="C338" t="s">
        <v>17</v>
      </c>
      <c r="D338">
        <v>41</v>
      </c>
      <c r="E338" t="s">
        <v>41</v>
      </c>
      <c r="F338" t="s">
        <v>42</v>
      </c>
      <c r="G338" t="s">
        <v>20</v>
      </c>
      <c r="H338">
        <v>25000</v>
      </c>
      <c r="I338">
        <v>3</v>
      </c>
      <c r="J338">
        <v>3</v>
      </c>
      <c r="K338">
        <v>3</v>
      </c>
      <c r="L338" t="s">
        <v>29</v>
      </c>
      <c r="M338" t="s">
        <v>29</v>
      </c>
      <c r="N338" t="s">
        <v>34</v>
      </c>
      <c r="O338" t="s">
        <v>30</v>
      </c>
      <c r="P338" t="str">
        <f t="shared" si="25"/>
        <v>40-49</v>
      </c>
      <c r="Q338" t="str">
        <f t="shared" si="26"/>
        <v>Low</v>
      </c>
      <c r="R338" t="str">
        <f t="shared" si="27"/>
        <v>Mid-Level</v>
      </c>
      <c r="S338" t="str">
        <f t="shared" si="28"/>
        <v>Needs Improvement</v>
      </c>
      <c r="T338" s="4" t="str">
        <f t="shared" si="29"/>
        <v>Neutral</v>
      </c>
    </row>
    <row r="339" spans="1:20" x14ac:dyDescent="0.3">
      <c r="A339" t="s">
        <v>525</v>
      </c>
      <c r="B339" t="s">
        <v>130</v>
      </c>
      <c r="C339" t="s">
        <v>17</v>
      </c>
      <c r="D339">
        <v>34</v>
      </c>
      <c r="E339" t="s">
        <v>66</v>
      </c>
      <c r="F339" t="s">
        <v>82</v>
      </c>
      <c r="G339" t="s">
        <v>28</v>
      </c>
      <c r="H339">
        <v>103000</v>
      </c>
      <c r="I339">
        <v>13</v>
      </c>
      <c r="J339">
        <v>4</v>
      </c>
      <c r="K339">
        <v>3</v>
      </c>
      <c r="L339" t="s">
        <v>21</v>
      </c>
      <c r="M339" t="s">
        <v>29</v>
      </c>
      <c r="N339" t="s">
        <v>34</v>
      </c>
      <c r="O339" t="s">
        <v>70</v>
      </c>
      <c r="P339" t="str">
        <f t="shared" si="25"/>
        <v>30-39</v>
      </c>
      <c r="Q339" t="str">
        <f t="shared" si="26"/>
        <v>High</v>
      </c>
      <c r="R339" t="str">
        <f t="shared" si="27"/>
        <v>Senior</v>
      </c>
      <c r="S339" t="str">
        <f t="shared" si="28"/>
        <v>High Performer</v>
      </c>
      <c r="T339" s="4" t="str">
        <f t="shared" si="29"/>
        <v>Neutral</v>
      </c>
    </row>
    <row r="340" spans="1:20" x14ac:dyDescent="0.3">
      <c r="A340" t="s">
        <v>526</v>
      </c>
      <c r="B340" t="s">
        <v>125</v>
      </c>
      <c r="C340" t="s">
        <v>17</v>
      </c>
      <c r="D340">
        <v>46</v>
      </c>
      <c r="E340" t="s">
        <v>26</v>
      </c>
      <c r="F340" t="s">
        <v>27</v>
      </c>
      <c r="G340" t="s">
        <v>20</v>
      </c>
      <c r="H340">
        <v>116000</v>
      </c>
      <c r="I340">
        <v>17</v>
      </c>
      <c r="J340">
        <v>5</v>
      </c>
      <c r="K340">
        <v>3</v>
      </c>
      <c r="L340" t="s">
        <v>21</v>
      </c>
      <c r="M340" t="s">
        <v>29</v>
      </c>
      <c r="N340" t="s">
        <v>22</v>
      </c>
      <c r="O340" t="s">
        <v>38</v>
      </c>
      <c r="P340" t="str">
        <f t="shared" si="25"/>
        <v>40-49</v>
      </c>
      <c r="Q340" t="str">
        <f t="shared" si="26"/>
        <v>High</v>
      </c>
      <c r="R340" t="str">
        <f t="shared" si="27"/>
        <v>Senior</v>
      </c>
      <c r="S340" t="str">
        <f t="shared" si="28"/>
        <v>High Performer</v>
      </c>
      <c r="T340" s="4" t="str">
        <f t="shared" si="29"/>
        <v>Neutral</v>
      </c>
    </row>
    <row r="341" spans="1:20" x14ac:dyDescent="0.3">
      <c r="A341" t="s">
        <v>527</v>
      </c>
      <c r="B341" t="s">
        <v>454</v>
      </c>
      <c r="C341" t="s">
        <v>17</v>
      </c>
      <c r="D341">
        <v>28</v>
      </c>
      <c r="E341" t="s">
        <v>18</v>
      </c>
      <c r="F341" t="s">
        <v>126</v>
      </c>
      <c r="G341" t="s">
        <v>20</v>
      </c>
      <c r="H341">
        <v>66000</v>
      </c>
      <c r="I341">
        <v>7</v>
      </c>
      <c r="J341">
        <v>5</v>
      </c>
      <c r="K341">
        <v>1</v>
      </c>
      <c r="L341" t="s">
        <v>29</v>
      </c>
      <c r="M341" t="s">
        <v>29</v>
      </c>
      <c r="N341" t="s">
        <v>22</v>
      </c>
      <c r="O341" t="s">
        <v>51</v>
      </c>
      <c r="P341" t="str">
        <f t="shared" si="25"/>
        <v>20-29</v>
      </c>
      <c r="Q341" t="str">
        <f t="shared" si="26"/>
        <v>Medium</v>
      </c>
      <c r="R341" t="str">
        <f t="shared" si="27"/>
        <v>Senior</v>
      </c>
      <c r="S341" t="str">
        <f t="shared" si="28"/>
        <v>High Performer</v>
      </c>
      <c r="T341" s="4" t="str">
        <f t="shared" si="29"/>
        <v>Dissatisfied</v>
      </c>
    </row>
    <row r="342" spans="1:20" x14ac:dyDescent="0.3">
      <c r="A342" t="s">
        <v>528</v>
      </c>
      <c r="B342" t="s">
        <v>529</v>
      </c>
      <c r="C342" t="s">
        <v>37</v>
      </c>
      <c r="D342">
        <v>41</v>
      </c>
      <c r="E342" t="s">
        <v>57</v>
      </c>
      <c r="F342" t="s">
        <v>27</v>
      </c>
      <c r="G342" t="s">
        <v>20</v>
      </c>
      <c r="H342">
        <v>42000</v>
      </c>
      <c r="I342">
        <v>4</v>
      </c>
      <c r="J342">
        <v>2</v>
      </c>
      <c r="K342">
        <v>2</v>
      </c>
      <c r="L342" t="s">
        <v>29</v>
      </c>
      <c r="M342" t="s">
        <v>29</v>
      </c>
      <c r="N342" t="s">
        <v>22</v>
      </c>
      <c r="O342" t="s">
        <v>54</v>
      </c>
      <c r="P342" t="str">
        <f t="shared" si="25"/>
        <v>40-49</v>
      </c>
      <c r="Q342" t="str">
        <f t="shared" si="26"/>
        <v>Medium</v>
      </c>
      <c r="R342" t="str">
        <f t="shared" si="27"/>
        <v>Mid-Level</v>
      </c>
      <c r="S342" t="str">
        <f t="shared" si="28"/>
        <v>Needs Improvement</v>
      </c>
      <c r="T342" s="4" t="str">
        <f t="shared" si="29"/>
        <v>Dissatisfied</v>
      </c>
    </row>
    <row r="343" spans="1:20" x14ac:dyDescent="0.3">
      <c r="A343" t="s">
        <v>530</v>
      </c>
      <c r="B343" t="s">
        <v>81</v>
      </c>
      <c r="C343" t="s">
        <v>17</v>
      </c>
      <c r="D343">
        <v>25</v>
      </c>
      <c r="E343" t="s">
        <v>26</v>
      </c>
      <c r="F343" t="s">
        <v>27</v>
      </c>
      <c r="G343" t="s">
        <v>28</v>
      </c>
      <c r="H343">
        <v>116000</v>
      </c>
      <c r="I343">
        <v>4</v>
      </c>
      <c r="J343">
        <v>2</v>
      </c>
      <c r="K343">
        <v>2</v>
      </c>
      <c r="L343" t="s">
        <v>21</v>
      </c>
      <c r="M343" t="s">
        <v>21</v>
      </c>
      <c r="N343" t="s">
        <v>22</v>
      </c>
      <c r="O343" t="s">
        <v>51</v>
      </c>
      <c r="P343" t="str">
        <f t="shared" si="25"/>
        <v>20-29</v>
      </c>
      <c r="Q343" t="str">
        <f t="shared" si="26"/>
        <v>High</v>
      </c>
      <c r="R343" t="str">
        <f t="shared" si="27"/>
        <v>Mid-Level</v>
      </c>
      <c r="S343" t="str">
        <f t="shared" si="28"/>
        <v>Needs Improvement</v>
      </c>
      <c r="T343" s="4" t="str">
        <f t="shared" si="29"/>
        <v>Dissatisfied</v>
      </c>
    </row>
    <row r="344" spans="1:20" x14ac:dyDescent="0.3">
      <c r="A344" t="s">
        <v>531</v>
      </c>
      <c r="B344" t="s">
        <v>439</v>
      </c>
      <c r="C344" t="s">
        <v>17</v>
      </c>
      <c r="D344">
        <v>48</v>
      </c>
      <c r="E344" t="s">
        <v>26</v>
      </c>
      <c r="F344" t="s">
        <v>27</v>
      </c>
      <c r="G344" t="s">
        <v>28</v>
      </c>
      <c r="H344">
        <v>109000</v>
      </c>
      <c r="I344">
        <v>4</v>
      </c>
      <c r="J344">
        <v>5</v>
      </c>
      <c r="K344">
        <v>1</v>
      </c>
      <c r="L344" t="s">
        <v>29</v>
      </c>
      <c r="M344" t="s">
        <v>29</v>
      </c>
      <c r="N344" t="s">
        <v>22</v>
      </c>
      <c r="O344" t="s">
        <v>30</v>
      </c>
      <c r="P344" t="str">
        <f t="shared" si="25"/>
        <v>40-49</v>
      </c>
      <c r="Q344" t="str">
        <f t="shared" si="26"/>
        <v>High</v>
      </c>
      <c r="R344" t="str">
        <f t="shared" si="27"/>
        <v>Mid-Level</v>
      </c>
      <c r="S344" t="str">
        <f t="shared" si="28"/>
        <v>High Performer</v>
      </c>
      <c r="T344" s="4" t="str">
        <f t="shared" si="29"/>
        <v>Dissatisfied</v>
      </c>
    </row>
    <row r="345" spans="1:20" x14ac:dyDescent="0.3">
      <c r="A345" t="s">
        <v>532</v>
      </c>
      <c r="B345" t="s">
        <v>210</v>
      </c>
      <c r="C345" t="s">
        <v>37</v>
      </c>
      <c r="D345">
        <v>27</v>
      </c>
      <c r="E345" t="s">
        <v>66</v>
      </c>
      <c r="F345" t="s">
        <v>67</v>
      </c>
      <c r="G345" t="s">
        <v>46</v>
      </c>
      <c r="H345">
        <v>49000</v>
      </c>
      <c r="I345">
        <v>2</v>
      </c>
      <c r="J345">
        <v>5</v>
      </c>
      <c r="K345">
        <v>2</v>
      </c>
      <c r="L345" t="s">
        <v>21</v>
      </c>
      <c r="M345" t="s">
        <v>21</v>
      </c>
      <c r="N345" t="s">
        <v>22</v>
      </c>
      <c r="O345" t="s">
        <v>23</v>
      </c>
      <c r="P345" t="str">
        <f t="shared" si="25"/>
        <v>20-29</v>
      </c>
      <c r="Q345" t="str">
        <f t="shared" si="26"/>
        <v>Medium</v>
      </c>
      <c r="R345" t="str">
        <f t="shared" si="27"/>
        <v>Junior</v>
      </c>
      <c r="S345" t="str">
        <f t="shared" si="28"/>
        <v>High Performer</v>
      </c>
      <c r="T345" s="4" t="str">
        <f t="shared" si="29"/>
        <v>Dissatisfied</v>
      </c>
    </row>
    <row r="346" spans="1:20" x14ac:dyDescent="0.3">
      <c r="A346" t="s">
        <v>533</v>
      </c>
      <c r="B346" t="s">
        <v>439</v>
      </c>
      <c r="C346" t="s">
        <v>17</v>
      </c>
      <c r="D346">
        <v>54</v>
      </c>
      <c r="E346" t="s">
        <v>66</v>
      </c>
      <c r="F346" t="s">
        <v>82</v>
      </c>
      <c r="G346" t="s">
        <v>33</v>
      </c>
      <c r="H346">
        <v>44000</v>
      </c>
      <c r="I346">
        <v>10</v>
      </c>
      <c r="J346">
        <v>3</v>
      </c>
      <c r="K346">
        <v>4</v>
      </c>
      <c r="L346" t="s">
        <v>21</v>
      </c>
      <c r="M346" t="s">
        <v>29</v>
      </c>
      <c r="N346" t="s">
        <v>34</v>
      </c>
      <c r="O346" t="s">
        <v>70</v>
      </c>
      <c r="P346" t="str">
        <f t="shared" si="25"/>
        <v>50+</v>
      </c>
      <c r="Q346" t="str">
        <f t="shared" si="26"/>
        <v>Medium</v>
      </c>
      <c r="R346" t="str">
        <f t="shared" si="27"/>
        <v>Senior</v>
      </c>
      <c r="S346" t="str">
        <f t="shared" si="28"/>
        <v>Needs Improvement</v>
      </c>
      <c r="T346" s="4" t="str">
        <f t="shared" si="29"/>
        <v>Satisfied</v>
      </c>
    </row>
    <row r="347" spans="1:20" x14ac:dyDescent="0.3">
      <c r="A347" t="s">
        <v>534</v>
      </c>
      <c r="B347" t="s">
        <v>535</v>
      </c>
      <c r="C347" t="s">
        <v>17</v>
      </c>
      <c r="D347">
        <v>34</v>
      </c>
      <c r="E347" t="s">
        <v>41</v>
      </c>
      <c r="F347" t="s">
        <v>42</v>
      </c>
      <c r="G347" t="s">
        <v>20</v>
      </c>
      <c r="H347">
        <v>41000</v>
      </c>
      <c r="I347">
        <v>13</v>
      </c>
      <c r="J347">
        <v>5</v>
      </c>
      <c r="K347">
        <v>5</v>
      </c>
      <c r="L347" t="s">
        <v>29</v>
      </c>
      <c r="M347" t="s">
        <v>29</v>
      </c>
      <c r="N347" t="s">
        <v>22</v>
      </c>
      <c r="O347" t="s">
        <v>38</v>
      </c>
      <c r="P347" t="str">
        <f t="shared" si="25"/>
        <v>30-39</v>
      </c>
      <c r="Q347" t="str">
        <f t="shared" si="26"/>
        <v>Medium</v>
      </c>
      <c r="R347" t="str">
        <f t="shared" si="27"/>
        <v>Senior</v>
      </c>
      <c r="S347" t="str">
        <f t="shared" si="28"/>
        <v>High Performer</v>
      </c>
      <c r="T347" s="4" t="str">
        <f t="shared" si="29"/>
        <v>Satisfied</v>
      </c>
    </row>
    <row r="348" spans="1:20" x14ac:dyDescent="0.3">
      <c r="A348" t="s">
        <v>536</v>
      </c>
      <c r="B348" t="s">
        <v>470</v>
      </c>
      <c r="C348" t="s">
        <v>17</v>
      </c>
      <c r="D348">
        <v>49</v>
      </c>
      <c r="E348" t="s">
        <v>41</v>
      </c>
      <c r="F348" t="s">
        <v>73</v>
      </c>
      <c r="G348" t="s">
        <v>33</v>
      </c>
      <c r="H348">
        <v>51000</v>
      </c>
      <c r="I348">
        <v>8</v>
      </c>
      <c r="J348">
        <v>3</v>
      </c>
      <c r="K348">
        <v>2</v>
      </c>
      <c r="L348" t="s">
        <v>21</v>
      </c>
      <c r="M348" t="s">
        <v>21</v>
      </c>
      <c r="N348" t="s">
        <v>22</v>
      </c>
      <c r="O348" t="s">
        <v>54</v>
      </c>
      <c r="P348" t="str">
        <f t="shared" si="25"/>
        <v>40-49</v>
      </c>
      <c r="Q348" t="str">
        <f t="shared" si="26"/>
        <v>Medium</v>
      </c>
      <c r="R348" t="str">
        <f t="shared" si="27"/>
        <v>Senior</v>
      </c>
      <c r="S348" t="str">
        <f t="shared" si="28"/>
        <v>Needs Improvement</v>
      </c>
      <c r="T348" s="4" t="str">
        <f t="shared" si="29"/>
        <v>Dissatisfied</v>
      </c>
    </row>
    <row r="349" spans="1:20" x14ac:dyDescent="0.3">
      <c r="A349" t="s">
        <v>537</v>
      </c>
      <c r="B349" t="s">
        <v>529</v>
      </c>
      <c r="C349" t="s">
        <v>17</v>
      </c>
      <c r="D349">
        <v>53</v>
      </c>
      <c r="E349" t="s">
        <v>49</v>
      </c>
      <c r="F349" t="s">
        <v>50</v>
      </c>
      <c r="G349" t="s">
        <v>46</v>
      </c>
      <c r="H349">
        <v>70000</v>
      </c>
      <c r="I349">
        <v>8</v>
      </c>
      <c r="J349">
        <v>2</v>
      </c>
      <c r="K349">
        <v>4</v>
      </c>
      <c r="L349" t="s">
        <v>29</v>
      </c>
      <c r="M349" t="s">
        <v>29</v>
      </c>
      <c r="N349" t="s">
        <v>34</v>
      </c>
      <c r="O349" t="s">
        <v>54</v>
      </c>
      <c r="P349" t="str">
        <f t="shared" si="25"/>
        <v>50+</v>
      </c>
      <c r="Q349" t="str">
        <f t="shared" si="26"/>
        <v>High</v>
      </c>
      <c r="R349" t="str">
        <f t="shared" si="27"/>
        <v>Senior</v>
      </c>
      <c r="S349" t="str">
        <f t="shared" si="28"/>
        <v>Needs Improvement</v>
      </c>
      <c r="T349" s="4" t="str">
        <f t="shared" si="29"/>
        <v>Satisfied</v>
      </c>
    </row>
    <row r="350" spans="1:20" x14ac:dyDescent="0.3">
      <c r="A350" t="s">
        <v>538</v>
      </c>
      <c r="B350" t="s">
        <v>347</v>
      </c>
      <c r="C350" t="s">
        <v>17</v>
      </c>
      <c r="D350">
        <v>35</v>
      </c>
      <c r="E350" t="s">
        <v>26</v>
      </c>
      <c r="F350" t="s">
        <v>50</v>
      </c>
      <c r="G350" t="s">
        <v>33</v>
      </c>
      <c r="H350">
        <v>87000</v>
      </c>
      <c r="I350">
        <v>7</v>
      </c>
      <c r="J350">
        <v>4</v>
      </c>
      <c r="K350">
        <v>3</v>
      </c>
      <c r="L350" t="s">
        <v>21</v>
      </c>
      <c r="M350" t="s">
        <v>29</v>
      </c>
      <c r="N350" t="s">
        <v>22</v>
      </c>
      <c r="O350" t="s">
        <v>23</v>
      </c>
      <c r="P350" t="str">
        <f t="shared" si="25"/>
        <v>30-39</v>
      </c>
      <c r="Q350" t="str">
        <f t="shared" si="26"/>
        <v>High</v>
      </c>
      <c r="R350" t="str">
        <f t="shared" si="27"/>
        <v>Senior</v>
      </c>
      <c r="S350" t="str">
        <f t="shared" si="28"/>
        <v>High Performer</v>
      </c>
      <c r="T350" s="4" t="str">
        <f t="shared" si="29"/>
        <v>Neutral</v>
      </c>
    </row>
    <row r="351" spans="1:20" x14ac:dyDescent="0.3">
      <c r="A351" t="s">
        <v>539</v>
      </c>
      <c r="B351" t="s">
        <v>48</v>
      </c>
      <c r="C351" t="s">
        <v>37</v>
      </c>
      <c r="D351">
        <v>33</v>
      </c>
      <c r="E351" t="s">
        <v>66</v>
      </c>
      <c r="F351" t="s">
        <v>82</v>
      </c>
      <c r="G351" t="s">
        <v>46</v>
      </c>
      <c r="H351">
        <v>81000</v>
      </c>
      <c r="I351">
        <v>11</v>
      </c>
      <c r="J351">
        <v>2</v>
      </c>
      <c r="K351">
        <v>1</v>
      </c>
      <c r="L351" t="s">
        <v>21</v>
      </c>
      <c r="M351" t="s">
        <v>29</v>
      </c>
      <c r="N351" t="s">
        <v>34</v>
      </c>
      <c r="O351" t="s">
        <v>43</v>
      </c>
      <c r="P351" t="str">
        <f t="shared" si="25"/>
        <v>30-39</v>
      </c>
      <c r="Q351" t="str">
        <f t="shared" si="26"/>
        <v>High</v>
      </c>
      <c r="R351" t="str">
        <f t="shared" si="27"/>
        <v>Senior</v>
      </c>
      <c r="S351" t="str">
        <f t="shared" si="28"/>
        <v>Needs Improvement</v>
      </c>
      <c r="T351" s="4" t="str">
        <f t="shared" si="29"/>
        <v>Dissatisfied</v>
      </c>
    </row>
    <row r="352" spans="1:20" x14ac:dyDescent="0.3">
      <c r="A352" t="s">
        <v>540</v>
      </c>
      <c r="B352" t="s">
        <v>541</v>
      </c>
      <c r="C352" t="s">
        <v>17</v>
      </c>
      <c r="D352">
        <v>33</v>
      </c>
      <c r="E352" t="s">
        <v>66</v>
      </c>
      <c r="F352" t="s">
        <v>82</v>
      </c>
      <c r="G352" t="s">
        <v>28</v>
      </c>
      <c r="H352">
        <v>52000</v>
      </c>
      <c r="I352">
        <v>11</v>
      </c>
      <c r="J352">
        <v>5</v>
      </c>
      <c r="K352">
        <v>3</v>
      </c>
      <c r="L352" t="s">
        <v>21</v>
      </c>
      <c r="M352" t="s">
        <v>29</v>
      </c>
      <c r="N352" t="s">
        <v>34</v>
      </c>
      <c r="O352" t="s">
        <v>51</v>
      </c>
      <c r="P352" t="str">
        <f t="shared" si="25"/>
        <v>30-39</v>
      </c>
      <c r="Q352" t="str">
        <f t="shared" si="26"/>
        <v>Medium</v>
      </c>
      <c r="R352" t="str">
        <f t="shared" si="27"/>
        <v>Senior</v>
      </c>
      <c r="S352" t="str">
        <f t="shared" si="28"/>
        <v>High Performer</v>
      </c>
      <c r="T352" s="4" t="str">
        <f t="shared" si="29"/>
        <v>Neutral</v>
      </c>
    </row>
    <row r="353" spans="1:20" x14ac:dyDescent="0.3">
      <c r="A353" t="s">
        <v>542</v>
      </c>
      <c r="B353" t="s">
        <v>543</v>
      </c>
      <c r="C353" t="s">
        <v>17</v>
      </c>
      <c r="D353">
        <v>48</v>
      </c>
      <c r="E353" t="s">
        <v>18</v>
      </c>
      <c r="F353" t="s">
        <v>126</v>
      </c>
      <c r="G353" t="s">
        <v>20</v>
      </c>
      <c r="H353">
        <v>69000</v>
      </c>
      <c r="I353">
        <v>0</v>
      </c>
      <c r="J353">
        <v>3</v>
      </c>
      <c r="K353">
        <v>5</v>
      </c>
      <c r="L353" t="s">
        <v>21</v>
      </c>
      <c r="M353" t="s">
        <v>29</v>
      </c>
      <c r="N353" t="s">
        <v>34</v>
      </c>
      <c r="O353" t="s">
        <v>54</v>
      </c>
      <c r="P353" t="str">
        <f t="shared" si="25"/>
        <v>40-49</v>
      </c>
      <c r="Q353" t="str">
        <f t="shared" si="26"/>
        <v>Medium</v>
      </c>
      <c r="R353" t="str">
        <f t="shared" si="27"/>
        <v>Junior</v>
      </c>
      <c r="S353" t="str">
        <f t="shared" si="28"/>
        <v>Needs Improvement</v>
      </c>
      <c r="T353" s="4" t="str">
        <f t="shared" si="29"/>
        <v>Satisfied</v>
      </c>
    </row>
    <row r="354" spans="1:20" x14ac:dyDescent="0.3">
      <c r="A354" t="s">
        <v>544</v>
      </c>
      <c r="B354" t="s">
        <v>381</v>
      </c>
      <c r="C354" t="s">
        <v>17</v>
      </c>
      <c r="D354">
        <v>32</v>
      </c>
      <c r="E354" t="s">
        <v>57</v>
      </c>
      <c r="F354" t="s">
        <v>27</v>
      </c>
      <c r="G354" t="s">
        <v>46</v>
      </c>
      <c r="H354">
        <v>61000</v>
      </c>
      <c r="I354">
        <v>4</v>
      </c>
      <c r="J354">
        <v>5</v>
      </c>
      <c r="K354">
        <v>4</v>
      </c>
      <c r="L354" t="s">
        <v>21</v>
      </c>
      <c r="M354" t="s">
        <v>29</v>
      </c>
      <c r="N354" t="s">
        <v>22</v>
      </c>
      <c r="O354" t="s">
        <v>23</v>
      </c>
      <c r="P354" t="str">
        <f t="shared" si="25"/>
        <v>30-39</v>
      </c>
      <c r="Q354" t="str">
        <f t="shared" si="26"/>
        <v>Medium</v>
      </c>
      <c r="R354" t="str">
        <f t="shared" si="27"/>
        <v>Mid-Level</v>
      </c>
      <c r="S354" t="str">
        <f t="shared" si="28"/>
        <v>High Performer</v>
      </c>
      <c r="T354" s="4" t="str">
        <f t="shared" si="29"/>
        <v>Satisfied</v>
      </c>
    </row>
    <row r="355" spans="1:20" x14ac:dyDescent="0.3">
      <c r="A355" t="s">
        <v>545</v>
      </c>
      <c r="B355" t="s">
        <v>48</v>
      </c>
      <c r="C355" t="s">
        <v>37</v>
      </c>
      <c r="D355">
        <v>37</v>
      </c>
      <c r="E355" t="s">
        <v>57</v>
      </c>
      <c r="F355" t="s">
        <v>50</v>
      </c>
      <c r="G355" t="s">
        <v>46</v>
      </c>
      <c r="H355">
        <v>97000</v>
      </c>
      <c r="I355">
        <v>7</v>
      </c>
      <c r="J355">
        <v>2</v>
      </c>
      <c r="K355">
        <v>4</v>
      </c>
      <c r="L355" t="s">
        <v>29</v>
      </c>
      <c r="M355" t="s">
        <v>21</v>
      </c>
      <c r="N355" t="s">
        <v>34</v>
      </c>
      <c r="O355" t="s">
        <v>51</v>
      </c>
      <c r="P355" t="str">
        <f t="shared" si="25"/>
        <v>30-39</v>
      </c>
      <c r="Q355" t="str">
        <f t="shared" si="26"/>
        <v>High</v>
      </c>
      <c r="R355" t="str">
        <f t="shared" si="27"/>
        <v>Senior</v>
      </c>
      <c r="S355" t="str">
        <f t="shared" si="28"/>
        <v>Needs Improvement</v>
      </c>
      <c r="T355" s="4" t="str">
        <f t="shared" si="29"/>
        <v>Satisfied</v>
      </c>
    </row>
    <row r="356" spans="1:20" x14ac:dyDescent="0.3">
      <c r="A356" t="s">
        <v>546</v>
      </c>
      <c r="B356" t="s">
        <v>122</v>
      </c>
      <c r="C356" t="s">
        <v>37</v>
      </c>
      <c r="D356">
        <v>23</v>
      </c>
      <c r="E356" t="s">
        <v>49</v>
      </c>
      <c r="F356" t="s">
        <v>50</v>
      </c>
      <c r="G356" t="s">
        <v>46</v>
      </c>
      <c r="H356">
        <v>65000</v>
      </c>
      <c r="I356">
        <v>2</v>
      </c>
      <c r="J356">
        <v>5</v>
      </c>
      <c r="K356">
        <v>5</v>
      </c>
      <c r="L356" t="s">
        <v>21</v>
      </c>
      <c r="M356" t="s">
        <v>29</v>
      </c>
      <c r="N356" t="s">
        <v>34</v>
      </c>
      <c r="O356" t="s">
        <v>70</v>
      </c>
      <c r="P356" t="str">
        <f t="shared" si="25"/>
        <v>20-29</v>
      </c>
      <c r="Q356" t="str">
        <f t="shared" si="26"/>
        <v>Medium</v>
      </c>
      <c r="R356" t="str">
        <f t="shared" si="27"/>
        <v>Junior</v>
      </c>
      <c r="S356" t="str">
        <f t="shared" si="28"/>
        <v>High Performer</v>
      </c>
      <c r="T356" s="4" t="str">
        <f t="shared" si="29"/>
        <v>Satisfied</v>
      </c>
    </row>
    <row r="357" spans="1:20" x14ac:dyDescent="0.3">
      <c r="A357" t="s">
        <v>547</v>
      </c>
      <c r="B357" t="s">
        <v>140</v>
      </c>
      <c r="C357" t="s">
        <v>37</v>
      </c>
      <c r="D357">
        <v>33</v>
      </c>
      <c r="E357" t="s">
        <v>57</v>
      </c>
      <c r="F357" t="s">
        <v>50</v>
      </c>
      <c r="G357" t="s">
        <v>28</v>
      </c>
      <c r="H357">
        <v>89000</v>
      </c>
      <c r="I357">
        <v>12</v>
      </c>
      <c r="J357">
        <v>4</v>
      </c>
      <c r="K357">
        <v>2</v>
      </c>
      <c r="L357" t="s">
        <v>21</v>
      </c>
      <c r="M357" t="s">
        <v>29</v>
      </c>
      <c r="N357" t="s">
        <v>34</v>
      </c>
      <c r="O357" t="s">
        <v>43</v>
      </c>
      <c r="P357" t="str">
        <f t="shared" si="25"/>
        <v>30-39</v>
      </c>
      <c r="Q357" t="str">
        <f t="shared" si="26"/>
        <v>High</v>
      </c>
      <c r="R357" t="str">
        <f t="shared" si="27"/>
        <v>Senior</v>
      </c>
      <c r="S357" t="str">
        <f t="shared" si="28"/>
        <v>High Performer</v>
      </c>
      <c r="T357" s="4" t="str">
        <f t="shared" si="29"/>
        <v>Dissatisfied</v>
      </c>
    </row>
    <row r="358" spans="1:20" x14ac:dyDescent="0.3">
      <c r="A358" t="s">
        <v>548</v>
      </c>
      <c r="B358" t="s">
        <v>53</v>
      </c>
      <c r="C358" t="s">
        <v>37</v>
      </c>
      <c r="D358">
        <v>24</v>
      </c>
      <c r="E358" t="s">
        <v>57</v>
      </c>
      <c r="F358" t="s">
        <v>27</v>
      </c>
      <c r="G358" t="s">
        <v>46</v>
      </c>
      <c r="H358">
        <v>111000</v>
      </c>
      <c r="I358">
        <v>3</v>
      </c>
      <c r="J358">
        <v>4</v>
      </c>
      <c r="K358">
        <v>1</v>
      </c>
      <c r="L358" t="s">
        <v>29</v>
      </c>
      <c r="M358" t="s">
        <v>29</v>
      </c>
      <c r="N358" t="s">
        <v>22</v>
      </c>
      <c r="O358" t="s">
        <v>43</v>
      </c>
      <c r="P358" t="str">
        <f t="shared" si="25"/>
        <v>20-29</v>
      </c>
      <c r="Q358" t="str">
        <f t="shared" si="26"/>
        <v>High</v>
      </c>
      <c r="R358" t="str">
        <f t="shared" si="27"/>
        <v>Mid-Level</v>
      </c>
      <c r="S358" t="str">
        <f t="shared" si="28"/>
        <v>High Performer</v>
      </c>
      <c r="T358" s="4" t="str">
        <f t="shared" si="29"/>
        <v>Dissatisfied</v>
      </c>
    </row>
    <row r="359" spans="1:20" x14ac:dyDescent="0.3">
      <c r="A359" t="s">
        <v>549</v>
      </c>
      <c r="B359" t="s">
        <v>297</v>
      </c>
      <c r="C359" t="s">
        <v>37</v>
      </c>
      <c r="D359">
        <v>41</v>
      </c>
      <c r="E359" t="s">
        <v>49</v>
      </c>
      <c r="F359" t="s">
        <v>27</v>
      </c>
      <c r="G359" t="s">
        <v>33</v>
      </c>
      <c r="H359">
        <v>70000</v>
      </c>
      <c r="I359">
        <v>6</v>
      </c>
      <c r="J359">
        <v>3</v>
      </c>
      <c r="K359">
        <v>4</v>
      </c>
      <c r="L359" t="s">
        <v>21</v>
      </c>
      <c r="M359" t="s">
        <v>29</v>
      </c>
      <c r="N359" t="s">
        <v>34</v>
      </c>
      <c r="O359" t="s">
        <v>43</v>
      </c>
      <c r="P359" t="str">
        <f t="shared" si="25"/>
        <v>40-49</v>
      </c>
      <c r="Q359" t="str">
        <f t="shared" si="26"/>
        <v>High</v>
      </c>
      <c r="R359" t="str">
        <f t="shared" si="27"/>
        <v>Mid-Level</v>
      </c>
      <c r="S359" t="str">
        <f t="shared" si="28"/>
        <v>Needs Improvement</v>
      </c>
      <c r="T359" s="4" t="str">
        <f t="shared" si="29"/>
        <v>Satisfied</v>
      </c>
    </row>
    <row r="360" spans="1:20" x14ac:dyDescent="0.3">
      <c r="A360" t="s">
        <v>550</v>
      </c>
      <c r="B360" t="s">
        <v>69</v>
      </c>
      <c r="C360" t="s">
        <v>37</v>
      </c>
      <c r="D360">
        <v>51</v>
      </c>
      <c r="E360" t="s">
        <v>66</v>
      </c>
      <c r="F360" t="s">
        <v>82</v>
      </c>
      <c r="G360" t="s">
        <v>28</v>
      </c>
      <c r="H360">
        <v>25000</v>
      </c>
      <c r="I360">
        <v>2</v>
      </c>
      <c r="J360">
        <v>5</v>
      </c>
      <c r="K360">
        <v>5</v>
      </c>
      <c r="L360" t="s">
        <v>29</v>
      </c>
      <c r="M360" t="s">
        <v>29</v>
      </c>
      <c r="N360" t="s">
        <v>34</v>
      </c>
      <c r="O360" t="s">
        <v>23</v>
      </c>
      <c r="P360" t="str">
        <f t="shared" si="25"/>
        <v>50+</v>
      </c>
      <c r="Q360" t="str">
        <f t="shared" si="26"/>
        <v>Low</v>
      </c>
      <c r="R360" t="str">
        <f t="shared" si="27"/>
        <v>Junior</v>
      </c>
      <c r="S360" t="str">
        <f t="shared" si="28"/>
        <v>High Performer</v>
      </c>
      <c r="T360" s="4" t="str">
        <f t="shared" si="29"/>
        <v>Satisfied</v>
      </c>
    </row>
    <row r="361" spans="1:20" x14ac:dyDescent="0.3">
      <c r="A361" t="s">
        <v>551</v>
      </c>
      <c r="B361" t="s">
        <v>552</v>
      </c>
      <c r="C361" t="s">
        <v>17</v>
      </c>
      <c r="D361">
        <v>23</v>
      </c>
      <c r="E361" t="s">
        <v>49</v>
      </c>
      <c r="F361" t="s">
        <v>50</v>
      </c>
      <c r="G361" t="s">
        <v>20</v>
      </c>
      <c r="H361">
        <v>58000</v>
      </c>
      <c r="I361">
        <v>2</v>
      </c>
      <c r="J361">
        <v>3</v>
      </c>
      <c r="K361">
        <v>4</v>
      </c>
      <c r="L361" t="s">
        <v>29</v>
      </c>
      <c r="M361" t="s">
        <v>29</v>
      </c>
      <c r="N361" t="s">
        <v>34</v>
      </c>
      <c r="O361" t="s">
        <v>51</v>
      </c>
      <c r="P361" t="str">
        <f t="shared" si="25"/>
        <v>20-29</v>
      </c>
      <c r="Q361" t="str">
        <f t="shared" si="26"/>
        <v>Medium</v>
      </c>
      <c r="R361" t="str">
        <f t="shared" si="27"/>
        <v>Junior</v>
      </c>
      <c r="S361" t="str">
        <f t="shared" si="28"/>
        <v>Needs Improvement</v>
      </c>
      <c r="T361" s="4" t="str">
        <f t="shared" si="29"/>
        <v>Satisfied</v>
      </c>
    </row>
    <row r="362" spans="1:20" x14ac:dyDescent="0.3">
      <c r="A362" t="s">
        <v>553</v>
      </c>
      <c r="B362" t="s">
        <v>128</v>
      </c>
      <c r="C362" t="s">
        <v>37</v>
      </c>
      <c r="D362">
        <v>34</v>
      </c>
      <c r="E362" t="s">
        <v>49</v>
      </c>
      <c r="F362" t="s">
        <v>27</v>
      </c>
      <c r="G362" t="s">
        <v>20</v>
      </c>
      <c r="H362">
        <v>91000</v>
      </c>
      <c r="I362">
        <v>13</v>
      </c>
      <c r="J362">
        <v>2</v>
      </c>
      <c r="K362">
        <v>3</v>
      </c>
      <c r="L362" t="s">
        <v>29</v>
      </c>
      <c r="M362" t="s">
        <v>29</v>
      </c>
      <c r="N362" t="s">
        <v>34</v>
      </c>
      <c r="O362" t="s">
        <v>43</v>
      </c>
      <c r="P362" t="str">
        <f t="shared" si="25"/>
        <v>30-39</v>
      </c>
      <c r="Q362" t="str">
        <f t="shared" si="26"/>
        <v>High</v>
      </c>
      <c r="R362" t="str">
        <f t="shared" si="27"/>
        <v>Senior</v>
      </c>
      <c r="S362" t="str">
        <f t="shared" si="28"/>
        <v>Needs Improvement</v>
      </c>
      <c r="T362" s="4" t="str">
        <f t="shared" si="29"/>
        <v>Neutral</v>
      </c>
    </row>
    <row r="363" spans="1:20" x14ac:dyDescent="0.3">
      <c r="A363" t="s">
        <v>554</v>
      </c>
      <c r="B363" t="s">
        <v>45</v>
      </c>
      <c r="C363" t="s">
        <v>17</v>
      </c>
      <c r="D363">
        <v>40</v>
      </c>
      <c r="E363" t="s">
        <v>18</v>
      </c>
      <c r="F363" t="s">
        <v>19</v>
      </c>
      <c r="G363" t="s">
        <v>33</v>
      </c>
      <c r="H363">
        <v>66000</v>
      </c>
      <c r="I363">
        <v>16</v>
      </c>
      <c r="J363">
        <v>4</v>
      </c>
      <c r="K363">
        <v>1</v>
      </c>
      <c r="L363" t="s">
        <v>29</v>
      </c>
      <c r="M363" t="s">
        <v>29</v>
      </c>
      <c r="N363" t="s">
        <v>22</v>
      </c>
      <c r="O363" t="s">
        <v>70</v>
      </c>
      <c r="P363" t="str">
        <f t="shared" si="25"/>
        <v>40-49</v>
      </c>
      <c r="Q363" t="str">
        <f t="shared" si="26"/>
        <v>Medium</v>
      </c>
      <c r="R363" t="str">
        <f t="shared" si="27"/>
        <v>Senior</v>
      </c>
      <c r="S363" t="str">
        <f t="shared" si="28"/>
        <v>High Performer</v>
      </c>
      <c r="T363" s="4" t="str">
        <f t="shared" si="29"/>
        <v>Dissatisfied</v>
      </c>
    </row>
    <row r="364" spans="1:20" x14ac:dyDescent="0.3">
      <c r="A364" t="s">
        <v>555</v>
      </c>
      <c r="B364" t="s">
        <v>502</v>
      </c>
      <c r="C364" t="s">
        <v>37</v>
      </c>
      <c r="D364">
        <v>47</v>
      </c>
      <c r="E364" t="s">
        <v>18</v>
      </c>
      <c r="F364" t="s">
        <v>126</v>
      </c>
      <c r="G364" t="s">
        <v>20</v>
      </c>
      <c r="H364">
        <v>79000</v>
      </c>
      <c r="I364">
        <v>4</v>
      </c>
      <c r="J364">
        <v>5</v>
      </c>
      <c r="K364">
        <v>4</v>
      </c>
      <c r="L364" t="s">
        <v>29</v>
      </c>
      <c r="M364" t="s">
        <v>29</v>
      </c>
      <c r="N364" t="s">
        <v>22</v>
      </c>
      <c r="O364" t="s">
        <v>51</v>
      </c>
      <c r="P364" t="str">
        <f t="shared" si="25"/>
        <v>40-49</v>
      </c>
      <c r="Q364" t="str">
        <f t="shared" si="26"/>
        <v>High</v>
      </c>
      <c r="R364" t="str">
        <f t="shared" si="27"/>
        <v>Mid-Level</v>
      </c>
      <c r="S364" t="str">
        <f t="shared" si="28"/>
        <v>High Performer</v>
      </c>
      <c r="T364" s="4" t="str">
        <f t="shared" si="29"/>
        <v>Satisfied</v>
      </c>
    </row>
    <row r="365" spans="1:20" x14ac:dyDescent="0.3">
      <c r="A365" t="s">
        <v>556</v>
      </c>
      <c r="B365" t="s">
        <v>130</v>
      </c>
      <c r="C365" t="s">
        <v>37</v>
      </c>
      <c r="D365">
        <v>44</v>
      </c>
      <c r="E365" t="s">
        <v>18</v>
      </c>
      <c r="F365" t="s">
        <v>126</v>
      </c>
      <c r="G365" t="s">
        <v>20</v>
      </c>
      <c r="H365">
        <v>98000</v>
      </c>
      <c r="I365">
        <v>2</v>
      </c>
      <c r="J365">
        <v>2</v>
      </c>
      <c r="K365">
        <v>1</v>
      </c>
      <c r="L365" t="s">
        <v>21</v>
      </c>
      <c r="M365" t="s">
        <v>29</v>
      </c>
      <c r="N365" t="s">
        <v>34</v>
      </c>
      <c r="O365" t="s">
        <v>38</v>
      </c>
      <c r="P365" t="str">
        <f t="shared" si="25"/>
        <v>40-49</v>
      </c>
      <c r="Q365" t="str">
        <f t="shared" si="26"/>
        <v>High</v>
      </c>
      <c r="R365" t="str">
        <f t="shared" si="27"/>
        <v>Junior</v>
      </c>
      <c r="S365" t="str">
        <f t="shared" si="28"/>
        <v>Needs Improvement</v>
      </c>
      <c r="T365" s="4" t="str">
        <f t="shared" si="29"/>
        <v>Dissatisfied</v>
      </c>
    </row>
    <row r="366" spans="1:20" x14ac:dyDescent="0.3">
      <c r="A366" t="s">
        <v>557</v>
      </c>
      <c r="B366" t="s">
        <v>558</v>
      </c>
      <c r="C366" t="s">
        <v>17</v>
      </c>
      <c r="D366">
        <v>34</v>
      </c>
      <c r="E366" t="s">
        <v>41</v>
      </c>
      <c r="F366" t="s">
        <v>73</v>
      </c>
      <c r="G366" t="s">
        <v>33</v>
      </c>
      <c r="H366">
        <v>25000</v>
      </c>
      <c r="I366">
        <v>13</v>
      </c>
      <c r="J366">
        <v>3</v>
      </c>
      <c r="K366">
        <v>3</v>
      </c>
      <c r="L366" t="s">
        <v>29</v>
      </c>
      <c r="M366" t="s">
        <v>29</v>
      </c>
      <c r="N366" t="s">
        <v>22</v>
      </c>
      <c r="O366" t="s">
        <v>70</v>
      </c>
      <c r="P366" t="str">
        <f t="shared" si="25"/>
        <v>30-39</v>
      </c>
      <c r="Q366" t="str">
        <f t="shared" si="26"/>
        <v>Low</v>
      </c>
      <c r="R366" t="str">
        <f t="shared" si="27"/>
        <v>Senior</v>
      </c>
      <c r="S366" t="str">
        <f t="shared" si="28"/>
        <v>Needs Improvement</v>
      </c>
      <c r="T366" s="4" t="str">
        <f t="shared" si="29"/>
        <v>Neutral</v>
      </c>
    </row>
    <row r="367" spans="1:20" x14ac:dyDescent="0.3">
      <c r="A367" t="s">
        <v>559</v>
      </c>
      <c r="B367" t="s">
        <v>217</v>
      </c>
      <c r="C367" t="s">
        <v>17</v>
      </c>
      <c r="D367">
        <v>25</v>
      </c>
      <c r="E367" t="s">
        <v>66</v>
      </c>
      <c r="F367" t="s">
        <v>82</v>
      </c>
      <c r="G367" t="s">
        <v>46</v>
      </c>
      <c r="H367">
        <v>75000</v>
      </c>
      <c r="I367">
        <v>4</v>
      </c>
      <c r="J367">
        <v>4</v>
      </c>
      <c r="K367">
        <v>4</v>
      </c>
      <c r="L367" t="s">
        <v>29</v>
      </c>
      <c r="M367" t="s">
        <v>29</v>
      </c>
      <c r="N367" t="s">
        <v>34</v>
      </c>
      <c r="O367" t="s">
        <v>70</v>
      </c>
      <c r="P367" t="str">
        <f t="shared" si="25"/>
        <v>20-29</v>
      </c>
      <c r="Q367" t="str">
        <f t="shared" si="26"/>
        <v>High</v>
      </c>
      <c r="R367" t="str">
        <f t="shared" si="27"/>
        <v>Mid-Level</v>
      </c>
      <c r="S367" t="str">
        <f t="shared" si="28"/>
        <v>High Performer</v>
      </c>
      <c r="T367" s="4" t="str">
        <f t="shared" si="29"/>
        <v>Satisfied</v>
      </c>
    </row>
    <row r="368" spans="1:20" x14ac:dyDescent="0.3">
      <c r="A368" t="s">
        <v>560</v>
      </c>
      <c r="B368" t="s">
        <v>261</v>
      </c>
      <c r="C368" t="s">
        <v>17</v>
      </c>
      <c r="D368">
        <v>25</v>
      </c>
      <c r="E368" t="s">
        <v>57</v>
      </c>
      <c r="F368" t="s">
        <v>27</v>
      </c>
      <c r="G368" t="s">
        <v>20</v>
      </c>
      <c r="H368">
        <v>39000</v>
      </c>
      <c r="I368">
        <v>4</v>
      </c>
      <c r="J368">
        <v>2</v>
      </c>
      <c r="K368">
        <v>5</v>
      </c>
      <c r="L368" t="s">
        <v>21</v>
      </c>
      <c r="M368" t="s">
        <v>29</v>
      </c>
      <c r="N368" t="s">
        <v>34</v>
      </c>
      <c r="O368" t="s">
        <v>54</v>
      </c>
      <c r="P368" t="str">
        <f t="shared" si="25"/>
        <v>20-29</v>
      </c>
      <c r="Q368" t="str">
        <f t="shared" si="26"/>
        <v>Low</v>
      </c>
      <c r="R368" t="str">
        <f t="shared" si="27"/>
        <v>Mid-Level</v>
      </c>
      <c r="S368" t="str">
        <f t="shared" si="28"/>
        <v>Needs Improvement</v>
      </c>
      <c r="T368" s="4" t="str">
        <f t="shared" si="29"/>
        <v>Satisfied</v>
      </c>
    </row>
    <row r="369" spans="1:20" x14ac:dyDescent="0.3">
      <c r="A369" t="s">
        <v>561</v>
      </c>
      <c r="B369" t="s">
        <v>223</v>
      </c>
      <c r="C369" t="s">
        <v>37</v>
      </c>
      <c r="D369">
        <v>48</v>
      </c>
      <c r="E369" t="s">
        <v>66</v>
      </c>
      <c r="F369" t="s">
        <v>67</v>
      </c>
      <c r="G369" t="s">
        <v>46</v>
      </c>
      <c r="H369">
        <v>48000</v>
      </c>
      <c r="I369">
        <v>8</v>
      </c>
      <c r="J369">
        <v>2</v>
      </c>
      <c r="K369">
        <v>3</v>
      </c>
      <c r="L369" t="s">
        <v>29</v>
      </c>
      <c r="M369" t="s">
        <v>29</v>
      </c>
      <c r="N369" t="s">
        <v>34</v>
      </c>
      <c r="O369" t="s">
        <v>30</v>
      </c>
      <c r="P369" t="str">
        <f t="shared" si="25"/>
        <v>40-49</v>
      </c>
      <c r="Q369" t="str">
        <f t="shared" si="26"/>
        <v>Medium</v>
      </c>
      <c r="R369" t="str">
        <f t="shared" si="27"/>
        <v>Senior</v>
      </c>
      <c r="S369" t="str">
        <f t="shared" si="28"/>
        <v>Needs Improvement</v>
      </c>
      <c r="T369" s="4" t="str">
        <f t="shared" si="29"/>
        <v>Neutral</v>
      </c>
    </row>
    <row r="370" spans="1:20" x14ac:dyDescent="0.3">
      <c r="A370" t="s">
        <v>562</v>
      </c>
      <c r="B370" t="s">
        <v>347</v>
      </c>
      <c r="C370" t="s">
        <v>17</v>
      </c>
      <c r="D370">
        <v>37</v>
      </c>
      <c r="E370" t="s">
        <v>41</v>
      </c>
      <c r="F370" t="s">
        <v>42</v>
      </c>
      <c r="G370" t="s">
        <v>46</v>
      </c>
      <c r="H370">
        <v>107000</v>
      </c>
      <c r="I370">
        <v>2</v>
      </c>
      <c r="J370">
        <v>3</v>
      </c>
      <c r="K370">
        <v>2</v>
      </c>
      <c r="L370" t="s">
        <v>21</v>
      </c>
      <c r="M370" t="s">
        <v>21</v>
      </c>
      <c r="N370" t="s">
        <v>22</v>
      </c>
      <c r="O370" t="s">
        <v>70</v>
      </c>
      <c r="P370" t="str">
        <f t="shared" si="25"/>
        <v>30-39</v>
      </c>
      <c r="Q370" t="str">
        <f t="shared" si="26"/>
        <v>High</v>
      </c>
      <c r="R370" t="str">
        <f t="shared" si="27"/>
        <v>Junior</v>
      </c>
      <c r="S370" t="str">
        <f t="shared" si="28"/>
        <v>Needs Improvement</v>
      </c>
      <c r="T370" s="4" t="str">
        <f t="shared" si="29"/>
        <v>Dissatisfied</v>
      </c>
    </row>
    <row r="371" spans="1:20" x14ac:dyDescent="0.3">
      <c r="A371" t="s">
        <v>563</v>
      </c>
      <c r="B371" t="s">
        <v>149</v>
      </c>
      <c r="C371" t="s">
        <v>17</v>
      </c>
      <c r="D371">
        <v>54</v>
      </c>
      <c r="E371" t="s">
        <v>66</v>
      </c>
      <c r="F371" t="s">
        <v>82</v>
      </c>
      <c r="G371" t="s">
        <v>28</v>
      </c>
      <c r="H371">
        <v>115000</v>
      </c>
      <c r="I371">
        <v>0</v>
      </c>
      <c r="J371">
        <v>4</v>
      </c>
      <c r="K371">
        <v>3</v>
      </c>
      <c r="L371" t="s">
        <v>29</v>
      </c>
      <c r="M371" t="s">
        <v>29</v>
      </c>
      <c r="N371" t="s">
        <v>34</v>
      </c>
      <c r="O371" t="s">
        <v>43</v>
      </c>
      <c r="P371" t="str">
        <f t="shared" si="25"/>
        <v>50+</v>
      </c>
      <c r="Q371" t="str">
        <f t="shared" si="26"/>
        <v>High</v>
      </c>
      <c r="R371" t="str">
        <f t="shared" si="27"/>
        <v>Junior</v>
      </c>
      <c r="S371" t="str">
        <f t="shared" si="28"/>
        <v>High Performer</v>
      </c>
      <c r="T371" s="4" t="str">
        <f t="shared" si="29"/>
        <v>Neutral</v>
      </c>
    </row>
    <row r="372" spans="1:20" x14ac:dyDescent="0.3">
      <c r="A372" t="s">
        <v>564</v>
      </c>
      <c r="B372" t="s">
        <v>535</v>
      </c>
      <c r="C372" t="s">
        <v>17</v>
      </c>
      <c r="D372">
        <v>42</v>
      </c>
      <c r="E372" t="s">
        <v>49</v>
      </c>
      <c r="F372" t="s">
        <v>50</v>
      </c>
      <c r="G372" t="s">
        <v>33</v>
      </c>
      <c r="H372">
        <v>80000</v>
      </c>
      <c r="I372">
        <v>20</v>
      </c>
      <c r="J372">
        <v>5</v>
      </c>
      <c r="K372">
        <v>4</v>
      </c>
      <c r="L372" t="s">
        <v>21</v>
      </c>
      <c r="M372" t="s">
        <v>29</v>
      </c>
      <c r="N372" t="s">
        <v>34</v>
      </c>
      <c r="O372" t="s">
        <v>38</v>
      </c>
      <c r="P372" t="str">
        <f t="shared" si="25"/>
        <v>40-49</v>
      </c>
      <c r="Q372" t="str">
        <f t="shared" si="26"/>
        <v>High</v>
      </c>
      <c r="R372" t="str">
        <f t="shared" si="27"/>
        <v>Senior</v>
      </c>
      <c r="S372" t="str">
        <f t="shared" si="28"/>
        <v>High Performer</v>
      </c>
      <c r="T372" s="4" t="str">
        <f t="shared" si="29"/>
        <v>Satisfied</v>
      </c>
    </row>
    <row r="373" spans="1:20" x14ac:dyDescent="0.3">
      <c r="A373" t="s">
        <v>565</v>
      </c>
      <c r="B373" t="s">
        <v>221</v>
      </c>
      <c r="C373" t="s">
        <v>17</v>
      </c>
      <c r="D373">
        <v>30</v>
      </c>
      <c r="E373" t="s">
        <v>41</v>
      </c>
      <c r="F373" t="s">
        <v>42</v>
      </c>
      <c r="G373" t="s">
        <v>20</v>
      </c>
      <c r="H373">
        <v>67000</v>
      </c>
      <c r="I373">
        <v>4</v>
      </c>
      <c r="J373">
        <v>2</v>
      </c>
      <c r="K373">
        <v>2</v>
      </c>
      <c r="L373" t="s">
        <v>21</v>
      </c>
      <c r="M373" t="s">
        <v>29</v>
      </c>
      <c r="N373" t="s">
        <v>22</v>
      </c>
      <c r="O373" t="s">
        <v>70</v>
      </c>
      <c r="P373" t="str">
        <f t="shared" si="25"/>
        <v>30-39</v>
      </c>
      <c r="Q373" t="str">
        <f t="shared" si="26"/>
        <v>Medium</v>
      </c>
      <c r="R373" t="str">
        <f t="shared" si="27"/>
        <v>Mid-Level</v>
      </c>
      <c r="S373" t="str">
        <f t="shared" si="28"/>
        <v>Needs Improvement</v>
      </c>
      <c r="T373" s="4" t="str">
        <f t="shared" si="29"/>
        <v>Dissatisfied</v>
      </c>
    </row>
    <row r="374" spans="1:20" x14ac:dyDescent="0.3">
      <c r="A374" t="s">
        <v>566</v>
      </c>
      <c r="B374" t="s">
        <v>201</v>
      </c>
      <c r="C374" t="s">
        <v>17</v>
      </c>
      <c r="D374">
        <v>39</v>
      </c>
      <c r="E374" t="s">
        <v>57</v>
      </c>
      <c r="F374" t="s">
        <v>27</v>
      </c>
      <c r="G374" t="s">
        <v>33</v>
      </c>
      <c r="H374">
        <v>107000</v>
      </c>
      <c r="I374">
        <v>8</v>
      </c>
      <c r="J374">
        <v>2</v>
      </c>
      <c r="K374">
        <v>3</v>
      </c>
      <c r="L374" t="s">
        <v>21</v>
      </c>
      <c r="M374" t="s">
        <v>29</v>
      </c>
      <c r="N374" t="s">
        <v>34</v>
      </c>
      <c r="O374" t="s">
        <v>51</v>
      </c>
      <c r="P374" t="str">
        <f t="shared" si="25"/>
        <v>30-39</v>
      </c>
      <c r="Q374" t="str">
        <f t="shared" si="26"/>
        <v>High</v>
      </c>
      <c r="R374" t="str">
        <f t="shared" si="27"/>
        <v>Senior</v>
      </c>
      <c r="S374" t="str">
        <f t="shared" si="28"/>
        <v>Needs Improvement</v>
      </c>
      <c r="T374" s="4" t="str">
        <f t="shared" si="29"/>
        <v>Neutral</v>
      </c>
    </row>
    <row r="375" spans="1:20" x14ac:dyDescent="0.3">
      <c r="A375" t="s">
        <v>567</v>
      </c>
      <c r="B375" t="s">
        <v>142</v>
      </c>
      <c r="C375" t="s">
        <v>17</v>
      </c>
      <c r="D375">
        <v>38</v>
      </c>
      <c r="E375" t="s">
        <v>18</v>
      </c>
      <c r="F375" t="s">
        <v>126</v>
      </c>
      <c r="G375" t="s">
        <v>46</v>
      </c>
      <c r="H375">
        <v>90000</v>
      </c>
      <c r="I375">
        <v>17</v>
      </c>
      <c r="J375">
        <v>3</v>
      </c>
      <c r="K375">
        <v>2</v>
      </c>
      <c r="L375" t="s">
        <v>21</v>
      </c>
      <c r="M375" t="s">
        <v>21</v>
      </c>
      <c r="N375" t="s">
        <v>34</v>
      </c>
      <c r="O375" t="s">
        <v>70</v>
      </c>
      <c r="P375" t="str">
        <f t="shared" si="25"/>
        <v>30-39</v>
      </c>
      <c r="Q375" t="str">
        <f t="shared" si="26"/>
        <v>High</v>
      </c>
      <c r="R375" t="str">
        <f t="shared" si="27"/>
        <v>Senior</v>
      </c>
      <c r="S375" t="str">
        <f t="shared" si="28"/>
        <v>Needs Improvement</v>
      </c>
      <c r="T375" s="4" t="str">
        <f t="shared" si="29"/>
        <v>Dissatisfied</v>
      </c>
    </row>
    <row r="376" spans="1:20" x14ac:dyDescent="0.3">
      <c r="A376" t="s">
        <v>568</v>
      </c>
      <c r="B376" t="s">
        <v>205</v>
      </c>
      <c r="C376" t="s">
        <v>37</v>
      </c>
      <c r="D376">
        <v>28</v>
      </c>
      <c r="E376" t="s">
        <v>49</v>
      </c>
      <c r="F376" t="s">
        <v>27</v>
      </c>
      <c r="G376" t="s">
        <v>46</v>
      </c>
      <c r="H376">
        <v>57000</v>
      </c>
      <c r="I376">
        <v>7</v>
      </c>
      <c r="J376">
        <v>3</v>
      </c>
      <c r="K376">
        <v>4</v>
      </c>
      <c r="L376" t="s">
        <v>21</v>
      </c>
      <c r="M376" t="s">
        <v>29</v>
      </c>
      <c r="N376" t="s">
        <v>22</v>
      </c>
      <c r="O376" t="s">
        <v>43</v>
      </c>
      <c r="P376" t="str">
        <f t="shared" si="25"/>
        <v>20-29</v>
      </c>
      <c r="Q376" t="str">
        <f t="shared" si="26"/>
        <v>Medium</v>
      </c>
      <c r="R376" t="str">
        <f t="shared" si="27"/>
        <v>Senior</v>
      </c>
      <c r="S376" t="str">
        <f t="shared" si="28"/>
        <v>Needs Improvement</v>
      </c>
      <c r="T376" s="4" t="str">
        <f t="shared" si="29"/>
        <v>Satisfied</v>
      </c>
    </row>
    <row r="377" spans="1:20" x14ac:dyDescent="0.3">
      <c r="A377" t="s">
        <v>569</v>
      </c>
      <c r="B377" t="s">
        <v>92</v>
      </c>
      <c r="C377" t="s">
        <v>37</v>
      </c>
      <c r="D377">
        <v>33</v>
      </c>
      <c r="E377" t="s">
        <v>26</v>
      </c>
      <c r="F377" t="s">
        <v>50</v>
      </c>
      <c r="G377" t="s">
        <v>20</v>
      </c>
      <c r="H377">
        <v>26000</v>
      </c>
      <c r="I377">
        <v>12</v>
      </c>
      <c r="J377">
        <v>4</v>
      </c>
      <c r="K377">
        <v>1</v>
      </c>
      <c r="L377" t="s">
        <v>29</v>
      </c>
      <c r="M377" t="s">
        <v>29</v>
      </c>
      <c r="N377" t="s">
        <v>22</v>
      </c>
      <c r="O377" t="s">
        <v>43</v>
      </c>
      <c r="P377" t="str">
        <f t="shared" si="25"/>
        <v>30-39</v>
      </c>
      <c r="Q377" t="str">
        <f t="shared" si="26"/>
        <v>Low</v>
      </c>
      <c r="R377" t="str">
        <f t="shared" si="27"/>
        <v>Senior</v>
      </c>
      <c r="S377" t="str">
        <f t="shared" si="28"/>
        <v>High Performer</v>
      </c>
      <c r="T377" s="4" t="str">
        <f t="shared" si="29"/>
        <v>Dissatisfied</v>
      </c>
    </row>
    <row r="378" spans="1:20" x14ac:dyDescent="0.3">
      <c r="A378" t="s">
        <v>570</v>
      </c>
      <c r="B378" t="s">
        <v>102</v>
      </c>
      <c r="C378" t="s">
        <v>37</v>
      </c>
      <c r="D378">
        <v>42</v>
      </c>
      <c r="E378" t="s">
        <v>49</v>
      </c>
      <c r="F378" t="s">
        <v>50</v>
      </c>
      <c r="G378" t="s">
        <v>20</v>
      </c>
      <c r="H378">
        <v>65000</v>
      </c>
      <c r="I378">
        <v>18</v>
      </c>
      <c r="J378">
        <v>3</v>
      </c>
      <c r="K378">
        <v>3</v>
      </c>
      <c r="L378" t="s">
        <v>29</v>
      </c>
      <c r="M378" t="s">
        <v>29</v>
      </c>
      <c r="N378" t="s">
        <v>34</v>
      </c>
      <c r="O378" t="s">
        <v>38</v>
      </c>
      <c r="P378" t="str">
        <f t="shared" si="25"/>
        <v>40-49</v>
      </c>
      <c r="Q378" t="str">
        <f t="shared" si="26"/>
        <v>Medium</v>
      </c>
      <c r="R378" t="str">
        <f t="shared" si="27"/>
        <v>Senior</v>
      </c>
      <c r="S378" t="str">
        <f t="shared" si="28"/>
        <v>Needs Improvement</v>
      </c>
      <c r="T378" s="4" t="str">
        <f t="shared" si="29"/>
        <v>Neutral</v>
      </c>
    </row>
    <row r="379" spans="1:20" x14ac:dyDescent="0.3">
      <c r="A379" t="s">
        <v>571</v>
      </c>
      <c r="B379" t="s">
        <v>40</v>
      </c>
      <c r="C379" t="s">
        <v>17</v>
      </c>
      <c r="D379">
        <v>44</v>
      </c>
      <c r="E379" t="s">
        <v>57</v>
      </c>
      <c r="F379" t="s">
        <v>27</v>
      </c>
      <c r="G379" t="s">
        <v>33</v>
      </c>
      <c r="H379">
        <v>30000</v>
      </c>
      <c r="I379">
        <v>8</v>
      </c>
      <c r="J379">
        <v>4</v>
      </c>
      <c r="K379">
        <v>2</v>
      </c>
      <c r="L379" t="s">
        <v>21</v>
      </c>
      <c r="M379" t="s">
        <v>21</v>
      </c>
      <c r="N379" t="s">
        <v>22</v>
      </c>
      <c r="O379" t="s">
        <v>54</v>
      </c>
      <c r="P379" t="str">
        <f t="shared" si="25"/>
        <v>40-49</v>
      </c>
      <c r="Q379" t="str">
        <f t="shared" si="26"/>
        <v>Low</v>
      </c>
      <c r="R379" t="str">
        <f t="shared" si="27"/>
        <v>Senior</v>
      </c>
      <c r="S379" t="str">
        <f t="shared" si="28"/>
        <v>High Performer</v>
      </c>
      <c r="T379" s="4" t="str">
        <f t="shared" si="29"/>
        <v>Dissatisfied</v>
      </c>
    </row>
    <row r="380" spans="1:20" x14ac:dyDescent="0.3">
      <c r="A380" t="s">
        <v>572</v>
      </c>
      <c r="B380" t="s">
        <v>541</v>
      </c>
      <c r="C380" t="s">
        <v>37</v>
      </c>
      <c r="D380">
        <v>50</v>
      </c>
      <c r="E380" t="s">
        <v>18</v>
      </c>
      <c r="F380" t="s">
        <v>19</v>
      </c>
      <c r="G380" t="s">
        <v>33</v>
      </c>
      <c r="H380">
        <v>35000</v>
      </c>
      <c r="I380">
        <v>3</v>
      </c>
      <c r="J380">
        <v>4</v>
      </c>
      <c r="K380">
        <v>4</v>
      </c>
      <c r="L380" t="s">
        <v>21</v>
      </c>
      <c r="M380" t="s">
        <v>29</v>
      </c>
      <c r="N380" t="s">
        <v>34</v>
      </c>
      <c r="O380" t="s">
        <v>70</v>
      </c>
      <c r="P380" t="str">
        <f t="shared" si="25"/>
        <v>50+</v>
      </c>
      <c r="Q380" t="str">
        <f t="shared" si="26"/>
        <v>Low</v>
      </c>
      <c r="R380" t="str">
        <f t="shared" si="27"/>
        <v>Mid-Level</v>
      </c>
      <c r="S380" t="str">
        <f t="shared" si="28"/>
        <v>High Performer</v>
      </c>
      <c r="T380" s="4" t="str">
        <f t="shared" si="29"/>
        <v>Satisfied</v>
      </c>
    </row>
    <row r="381" spans="1:20" x14ac:dyDescent="0.3">
      <c r="A381" t="s">
        <v>573</v>
      </c>
      <c r="B381" t="s">
        <v>142</v>
      </c>
      <c r="C381" t="s">
        <v>17</v>
      </c>
      <c r="D381">
        <v>43</v>
      </c>
      <c r="E381" t="s">
        <v>57</v>
      </c>
      <c r="F381" t="s">
        <v>50</v>
      </c>
      <c r="G381" t="s">
        <v>20</v>
      </c>
      <c r="H381">
        <v>62000</v>
      </c>
      <c r="I381">
        <v>18</v>
      </c>
      <c r="J381">
        <v>4</v>
      </c>
      <c r="K381">
        <v>3</v>
      </c>
      <c r="L381" t="s">
        <v>29</v>
      </c>
      <c r="M381" t="s">
        <v>29</v>
      </c>
      <c r="N381" t="s">
        <v>34</v>
      </c>
      <c r="O381" t="s">
        <v>70</v>
      </c>
      <c r="P381" t="str">
        <f t="shared" si="25"/>
        <v>40-49</v>
      </c>
      <c r="Q381" t="str">
        <f t="shared" si="26"/>
        <v>Medium</v>
      </c>
      <c r="R381" t="str">
        <f t="shared" si="27"/>
        <v>Senior</v>
      </c>
      <c r="S381" t="str">
        <f t="shared" si="28"/>
        <v>High Performer</v>
      </c>
      <c r="T381" s="4" t="str">
        <f t="shared" si="29"/>
        <v>Neutral</v>
      </c>
    </row>
    <row r="382" spans="1:20" x14ac:dyDescent="0.3">
      <c r="A382" t="s">
        <v>574</v>
      </c>
      <c r="B382" t="s">
        <v>476</v>
      </c>
      <c r="C382" t="s">
        <v>17</v>
      </c>
      <c r="D382">
        <v>22</v>
      </c>
      <c r="E382" t="s">
        <v>66</v>
      </c>
      <c r="F382" t="s">
        <v>82</v>
      </c>
      <c r="G382" t="s">
        <v>28</v>
      </c>
      <c r="H382">
        <v>115000</v>
      </c>
      <c r="I382">
        <v>1</v>
      </c>
      <c r="J382">
        <v>2</v>
      </c>
      <c r="K382">
        <v>5</v>
      </c>
      <c r="L382" t="s">
        <v>29</v>
      </c>
      <c r="M382" t="s">
        <v>29</v>
      </c>
      <c r="N382" t="s">
        <v>34</v>
      </c>
      <c r="O382" t="s">
        <v>51</v>
      </c>
      <c r="P382" t="str">
        <f t="shared" si="25"/>
        <v>20-29</v>
      </c>
      <c r="Q382" t="str">
        <f t="shared" si="26"/>
        <v>High</v>
      </c>
      <c r="R382" t="str">
        <f t="shared" si="27"/>
        <v>Junior</v>
      </c>
      <c r="S382" t="str">
        <f t="shared" si="28"/>
        <v>Needs Improvement</v>
      </c>
      <c r="T382" s="4" t="str">
        <f t="shared" si="29"/>
        <v>Satisfied</v>
      </c>
    </row>
    <row r="383" spans="1:20" x14ac:dyDescent="0.3">
      <c r="A383" t="s">
        <v>575</v>
      </c>
      <c r="B383" t="s">
        <v>125</v>
      </c>
      <c r="C383" t="s">
        <v>17</v>
      </c>
      <c r="D383">
        <v>40</v>
      </c>
      <c r="E383" t="s">
        <v>41</v>
      </c>
      <c r="F383" t="s">
        <v>73</v>
      </c>
      <c r="G383" t="s">
        <v>33</v>
      </c>
      <c r="H383">
        <v>52000</v>
      </c>
      <c r="I383">
        <v>8</v>
      </c>
      <c r="J383">
        <v>5</v>
      </c>
      <c r="K383">
        <v>4</v>
      </c>
      <c r="L383" t="s">
        <v>21</v>
      </c>
      <c r="M383" t="s">
        <v>29</v>
      </c>
      <c r="N383" t="s">
        <v>22</v>
      </c>
      <c r="O383" t="s">
        <v>75</v>
      </c>
      <c r="P383" t="str">
        <f t="shared" si="25"/>
        <v>40-49</v>
      </c>
      <c r="Q383" t="str">
        <f t="shared" si="26"/>
        <v>Medium</v>
      </c>
      <c r="R383" t="str">
        <f t="shared" si="27"/>
        <v>Senior</v>
      </c>
      <c r="S383" t="str">
        <f t="shared" si="28"/>
        <v>High Performer</v>
      </c>
      <c r="T383" s="4" t="str">
        <f t="shared" si="29"/>
        <v>Satisfied</v>
      </c>
    </row>
    <row r="384" spans="1:20" x14ac:dyDescent="0.3">
      <c r="A384" t="s">
        <v>576</v>
      </c>
      <c r="B384" t="s">
        <v>166</v>
      </c>
      <c r="C384" t="s">
        <v>37</v>
      </c>
      <c r="D384">
        <v>25</v>
      </c>
      <c r="E384" t="s">
        <v>49</v>
      </c>
      <c r="F384" t="s">
        <v>27</v>
      </c>
      <c r="G384" t="s">
        <v>33</v>
      </c>
      <c r="H384">
        <v>110000</v>
      </c>
      <c r="I384">
        <v>4</v>
      </c>
      <c r="J384">
        <v>3</v>
      </c>
      <c r="K384">
        <v>3</v>
      </c>
      <c r="L384" t="s">
        <v>21</v>
      </c>
      <c r="M384" t="s">
        <v>29</v>
      </c>
      <c r="N384" t="s">
        <v>22</v>
      </c>
      <c r="O384" t="s">
        <v>75</v>
      </c>
      <c r="P384" t="str">
        <f t="shared" si="25"/>
        <v>20-29</v>
      </c>
      <c r="Q384" t="str">
        <f t="shared" si="26"/>
        <v>High</v>
      </c>
      <c r="R384" t="str">
        <f t="shared" si="27"/>
        <v>Mid-Level</v>
      </c>
      <c r="S384" t="str">
        <f t="shared" si="28"/>
        <v>Needs Improvement</v>
      </c>
      <c r="T384" s="4" t="str">
        <f t="shared" si="29"/>
        <v>Neutral</v>
      </c>
    </row>
    <row r="385" spans="1:20" x14ac:dyDescent="0.3">
      <c r="A385" t="s">
        <v>577</v>
      </c>
      <c r="B385" t="s">
        <v>541</v>
      </c>
      <c r="C385" t="s">
        <v>37</v>
      </c>
      <c r="D385">
        <v>27</v>
      </c>
      <c r="E385" t="s">
        <v>57</v>
      </c>
      <c r="F385" t="s">
        <v>50</v>
      </c>
      <c r="G385" t="s">
        <v>20</v>
      </c>
      <c r="H385">
        <v>87000</v>
      </c>
      <c r="I385">
        <v>6</v>
      </c>
      <c r="J385">
        <v>2</v>
      </c>
      <c r="K385">
        <v>2</v>
      </c>
      <c r="L385" t="s">
        <v>21</v>
      </c>
      <c r="M385" t="s">
        <v>21</v>
      </c>
      <c r="N385" t="s">
        <v>22</v>
      </c>
      <c r="O385" t="s">
        <v>54</v>
      </c>
      <c r="P385" t="str">
        <f t="shared" si="25"/>
        <v>20-29</v>
      </c>
      <c r="Q385" t="str">
        <f t="shared" si="26"/>
        <v>High</v>
      </c>
      <c r="R385" t="str">
        <f t="shared" si="27"/>
        <v>Mid-Level</v>
      </c>
      <c r="S385" t="str">
        <f t="shared" si="28"/>
        <v>Needs Improvement</v>
      </c>
      <c r="T385" s="4" t="str">
        <f t="shared" si="29"/>
        <v>Dissatisfied</v>
      </c>
    </row>
    <row r="386" spans="1:20" x14ac:dyDescent="0.3">
      <c r="A386" t="s">
        <v>578</v>
      </c>
      <c r="B386" t="s">
        <v>297</v>
      </c>
      <c r="C386" t="s">
        <v>17</v>
      </c>
      <c r="D386">
        <v>23</v>
      </c>
      <c r="E386" t="s">
        <v>18</v>
      </c>
      <c r="F386" t="s">
        <v>126</v>
      </c>
      <c r="G386" t="s">
        <v>33</v>
      </c>
      <c r="H386">
        <v>28000</v>
      </c>
      <c r="I386">
        <v>2</v>
      </c>
      <c r="J386">
        <v>3</v>
      </c>
      <c r="K386">
        <v>4</v>
      </c>
      <c r="L386" t="s">
        <v>21</v>
      </c>
      <c r="M386" t="s">
        <v>29</v>
      </c>
      <c r="N386" t="s">
        <v>22</v>
      </c>
      <c r="O386" t="s">
        <v>75</v>
      </c>
      <c r="P386" t="str">
        <f t="shared" ref="P386:P449" si="30">IF(D386&lt;30,"20-29",IF(D386&lt;40,"30-39",IF(D386&lt;50,"40-49","50+")))</f>
        <v>20-29</v>
      </c>
      <c r="Q386" t="str">
        <f t="shared" ref="Q386:Q449" si="31">IF(H386&lt;40000,"Low",IF(H386&lt;70000,"Medium","High"))</f>
        <v>Low</v>
      </c>
      <c r="R386" t="str">
        <f t="shared" ref="R386:R449" si="32">IF(I386&lt;3,"Junior",IF(I386&lt;7,"Mid-Level","Senior"))</f>
        <v>Junior</v>
      </c>
      <c r="S386" t="str">
        <f t="shared" ref="S386:S449" si="33">IF(J386&gt;=4,"High Performer","Needs Improvement")</f>
        <v>Needs Improvement</v>
      </c>
      <c r="T386" s="4" t="str">
        <f t="shared" ref="T386:T449" si="34">IF(K386&gt;=4,"Satisfied",IF(K386=3,"Neutral","Dissatisfied"))</f>
        <v>Satisfied</v>
      </c>
    </row>
    <row r="387" spans="1:20" x14ac:dyDescent="0.3">
      <c r="A387" t="s">
        <v>579</v>
      </c>
      <c r="B387" t="s">
        <v>249</v>
      </c>
      <c r="C387" t="s">
        <v>37</v>
      </c>
      <c r="D387">
        <v>43</v>
      </c>
      <c r="E387" t="s">
        <v>66</v>
      </c>
      <c r="F387" t="s">
        <v>67</v>
      </c>
      <c r="G387" t="s">
        <v>33</v>
      </c>
      <c r="H387">
        <v>62000</v>
      </c>
      <c r="I387">
        <v>0</v>
      </c>
      <c r="J387">
        <v>3</v>
      </c>
      <c r="K387">
        <v>3</v>
      </c>
      <c r="L387" t="s">
        <v>29</v>
      </c>
      <c r="M387" t="s">
        <v>29</v>
      </c>
      <c r="N387" t="s">
        <v>34</v>
      </c>
      <c r="O387" t="s">
        <v>75</v>
      </c>
      <c r="P387" t="str">
        <f t="shared" si="30"/>
        <v>40-49</v>
      </c>
      <c r="Q387" t="str">
        <f t="shared" si="31"/>
        <v>Medium</v>
      </c>
      <c r="R387" t="str">
        <f t="shared" si="32"/>
        <v>Junior</v>
      </c>
      <c r="S387" t="str">
        <f t="shared" si="33"/>
        <v>Needs Improvement</v>
      </c>
      <c r="T387" s="4" t="str">
        <f t="shared" si="34"/>
        <v>Neutral</v>
      </c>
    </row>
    <row r="388" spans="1:20" x14ac:dyDescent="0.3">
      <c r="A388" t="s">
        <v>580</v>
      </c>
      <c r="B388" t="s">
        <v>166</v>
      </c>
      <c r="C388" t="s">
        <v>17</v>
      </c>
      <c r="D388">
        <v>22</v>
      </c>
      <c r="E388" t="s">
        <v>49</v>
      </c>
      <c r="F388" t="s">
        <v>50</v>
      </c>
      <c r="G388" t="s">
        <v>28</v>
      </c>
      <c r="H388">
        <v>72000</v>
      </c>
      <c r="I388">
        <v>1</v>
      </c>
      <c r="J388">
        <v>2</v>
      </c>
      <c r="K388">
        <v>2</v>
      </c>
      <c r="L388" t="s">
        <v>21</v>
      </c>
      <c r="M388" t="s">
        <v>29</v>
      </c>
      <c r="N388" t="s">
        <v>22</v>
      </c>
      <c r="O388" t="s">
        <v>23</v>
      </c>
      <c r="P388" t="str">
        <f t="shared" si="30"/>
        <v>20-29</v>
      </c>
      <c r="Q388" t="str">
        <f t="shared" si="31"/>
        <v>High</v>
      </c>
      <c r="R388" t="str">
        <f t="shared" si="32"/>
        <v>Junior</v>
      </c>
      <c r="S388" t="str">
        <f t="shared" si="33"/>
        <v>Needs Improvement</v>
      </c>
      <c r="T388" s="4" t="str">
        <f t="shared" si="34"/>
        <v>Dissatisfied</v>
      </c>
    </row>
    <row r="389" spans="1:20" x14ac:dyDescent="0.3">
      <c r="A389" t="s">
        <v>581</v>
      </c>
      <c r="B389" t="s">
        <v>122</v>
      </c>
      <c r="C389" t="s">
        <v>37</v>
      </c>
      <c r="D389">
        <v>43</v>
      </c>
      <c r="E389" t="s">
        <v>41</v>
      </c>
      <c r="F389" t="s">
        <v>42</v>
      </c>
      <c r="G389" t="s">
        <v>33</v>
      </c>
      <c r="H389">
        <v>119000</v>
      </c>
      <c r="I389">
        <v>1</v>
      </c>
      <c r="J389">
        <v>3</v>
      </c>
      <c r="K389">
        <v>3</v>
      </c>
      <c r="L389" t="s">
        <v>21</v>
      </c>
      <c r="M389" t="s">
        <v>29</v>
      </c>
      <c r="N389" t="s">
        <v>22</v>
      </c>
      <c r="O389" t="s">
        <v>43</v>
      </c>
      <c r="P389" t="str">
        <f t="shared" si="30"/>
        <v>40-49</v>
      </c>
      <c r="Q389" t="str">
        <f t="shared" si="31"/>
        <v>High</v>
      </c>
      <c r="R389" t="str">
        <f t="shared" si="32"/>
        <v>Junior</v>
      </c>
      <c r="S389" t="str">
        <f t="shared" si="33"/>
        <v>Needs Improvement</v>
      </c>
      <c r="T389" s="4" t="str">
        <f t="shared" si="34"/>
        <v>Neutral</v>
      </c>
    </row>
    <row r="390" spans="1:20" x14ac:dyDescent="0.3">
      <c r="A390" t="s">
        <v>582</v>
      </c>
      <c r="B390" t="s">
        <v>347</v>
      </c>
      <c r="C390" t="s">
        <v>17</v>
      </c>
      <c r="D390">
        <v>34</v>
      </c>
      <c r="E390" t="s">
        <v>18</v>
      </c>
      <c r="F390" t="s">
        <v>19</v>
      </c>
      <c r="G390" t="s">
        <v>46</v>
      </c>
      <c r="H390">
        <v>118000</v>
      </c>
      <c r="I390">
        <v>7</v>
      </c>
      <c r="J390">
        <v>4</v>
      </c>
      <c r="K390">
        <v>3</v>
      </c>
      <c r="L390" t="s">
        <v>21</v>
      </c>
      <c r="M390" t="s">
        <v>29</v>
      </c>
      <c r="N390" t="s">
        <v>34</v>
      </c>
      <c r="O390" t="s">
        <v>30</v>
      </c>
      <c r="P390" t="str">
        <f t="shared" si="30"/>
        <v>30-39</v>
      </c>
      <c r="Q390" t="str">
        <f t="shared" si="31"/>
        <v>High</v>
      </c>
      <c r="R390" t="str">
        <f t="shared" si="32"/>
        <v>Senior</v>
      </c>
      <c r="S390" t="str">
        <f t="shared" si="33"/>
        <v>High Performer</v>
      </c>
      <c r="T390" s="4" t="str">
        <f t="shared" si="34"/>
        <v>Neutral</v>
      </c>
    </row>
    <row r="391" spans="1:20" x14ac:dyDescent="0.3">
      <c r="A391" t="s">
        <v>583</v>
      </c>
      <c r="B391" t="s">
        <v>448</v>
      </c>
      <c r="C391" t="s">
        <v>37</v>
      </c>
      <c r="D391">
        <v>48</v>
      </c>
      <c r="E391" t="s">
        <v>18</v>
      </c>
      <c r="F391" t="s">
        <v>19</v>
      </c>
      <c r="G391" t="s">
        <v>20</v>
      </c>
      <c r="H391">
        <v>99000</v>
      </c>
      <c r="I391">
        <v>10</v>
      </c>
      <c r="J391">
        <v>4</v>
      </c>
      <c r="K391">
        <v>2</v>
      </c>
      <c r="L391" t="s">
        <v>29</v>
      </c>
      <c r="M391" t="s">
        <v>29</v>
      </c>
      <c r="N391" t="s">
        <v>34</v>
      </c>
      <c r="O391" t="s">
        <v>30</v>
      </c>
      <c r="P391" t="str">
        <f t="shared" si="30"/>
        <v>40-49</v>
      </c>
      <c r="Q391" t="str">
        <f t="shared" si="31"/>
        <v>High</v>
      </c>
      <c r="R391" t="str">
        <f t="shared" si="32"/>
        <v>Senior</v>
      </c>
      <c r="S391" t="str">
        <f t="shared" si="33"/>
        <v>High Performer</v>
      </c>
      <c r="T391" s="4" t="str">
        <f t="shared" si="34"/>
        <v>Dissatisfied</v>
      </c>
    </row>
    <row r="392" spans="1:20" x14ac:dyDescent="0.3">
      <c r="A392" t="s">
        <v>584</v>
      </c>
      <c r="B392" t="s">
        <v>278</v>
      </c>
      <c r="C392" t="s">
        <v>17</v>
      </c>
      <c r="D392">
        <v>22</v>
      </c>
      <c r="E392" t="s">
        <v>49</v>
      </c>
      <c r="F392" t="s">
        <v>27</v>
      </c>
      <c r="G392" t="s">
        <v>46</v>
      </c>
      <c r="H392">
        <v>54000</v>
      </c>
      <c r="I392">
        <v>1</v>
      </c>
      <c r="J392">
        <v>3</v>
      </c>
      <c r="K392">
        <v>4</v>
      </c>
      <c r="L392" t="s">
        <v>21</v>
      </c>
      <c r="M392" t="s">
        <v>29</v>
      </c>
      <c r="N392" t="s">
        <v>22</v>
      </c>
      <c r="O392" t="s">
        <v>51</v>
      </c>
      <c r="P392" t="str">
        <f t="shared" si="30"/>
        <v>20-29</v>
      </c>
      <c r="Q392" t="str">
        <f t="shared" si="31"/>
        <v>Medium</v>
      </c>
      <c r="R392" t="str">
        <f t="shared" si="32"/>
        <v>Junior</v>
      </c>
      <c r="S392" t="str">
        <f t="shared" si="33"/>
        <v>Needs Improvement</v>
      </c>
      <c r="T392" s="4" t="str">
        <f t="shared" si="34"/>
        <v>Satisfied</v>
      </c>
    </row>
    <row r="393" spans="1:20" x14ac:dyDescent="0.3">
      <c r="A393" t="s">
        <v>585</v>
      </c>
      <c r="B393" t="s">
        <v>586</v>
      </c>
      <c r="C393" t="s">
        <v>37</v>
      </c>
      <c r="D393">
        <v>41</v>
      </c>
      <c r="E393" t="s">
        <v>18</v>
      </c>
      <c r="F393" t="s">
        <v>19</v>
      </c>
      <c r="G393" t="s">
        <v>28</v>
      </c>
      <c r="H393">
        <v>62000</v>
      </c>
      <c r="I393">
        <v>4</v>
      </c>
      <c r="J393">
        <v>5</v>
      </c>
      <c r="K393">
        <v>3</v>
      </c>
      <c r="L393" t="s">
        <v>21</v>
      </c>
      <c r="M393" t="s">
        <v>29</v>
      </c>
      <c r="N393" t="s">
        <v>22</v>
      </c>
      <c r="O393" t="s">
        <v>51</v>
      </c>
      <c r="P393" t="str">
        <f t="shared" si="30"/>
        <v>40-49</v>
      </c>
      <c r="Q393" t="str">
        <f t="shared" si="31"/>
        <v>Medium</v>
      </c>
      <c r="R393" t="str">
        <f t="shared" si="32"/>
        <v>Mid-Level</v>
      </c>
      <c r="S393" t="str">
        <f t="shared" si="33"/>
        <v>High Performer</v>
      </c>
      <c r="T393" s="4" t="str">
        <f t="shared" si="34"/>
        <v>Neutral</v>
      </c>
    </row>
    <row r="394" spans="1:20" x14ac:dyDescent="0.3">
      <c r="A394" t="s">
        <v>587</v>
      </c>
      <c r="B394" t="s">
        <v>176</v>
      </c>
      <c r="C394" t="s">
        <v>37</v>
      </c>
      <c r="D394">
        <v>32</v>
      </c>
      <c r="E394" t="s">
        <v>66</v>
      </c>
      <c r="F394" t="s">
        <v>82</v>
      </c>
      <c r="G394" t="s">
        <v>28</v>
      </c>
      <c r="H394">
        <v>80000</v>
      </c>
      <c r="I394">
        <v>0</v>
      </c>
      <c r="J394">
        <v>5</v>
      </c>
      <c r="K394">
        <v>5</v>
      </c>
      <c r="L394" t="s">
        <v>21</v>
      </c>
      <c r="M394" t="s">
        <v>29</v>
      </c>
      <c r="N394" t="s">
        <v>22</v>
      </c>
      <c r="O394" t="s">
        <v>54</v>
      </c>
      <c r="P394" t="str">
        <f t="shared" si="30"/>
        <v>30-39</v>
      </c>
      <c r="Q394" t="str">
        <f t="shared" si="31"/>
        <v>High</v>
      </c>
      <c r="R394" t="str">
        <f t="shared" si="32"/>
        <v>Junior</v>
      </c>
      <c r="S394" t="str">
        <f t="shared" si="33"/>
        <v>High Performer</v>
      </c>
      <c r="T394" s="4" t="str">
        <f t="shared" si="34"/>
        <v>Satisfied</v>
      </c>
    </row>
    <row r="395" spans="1:20" x14ac:dyDescent="0.3">
      <c r="A395" t="s">
        <v>588</v>
      </c>
      <c r="B395" t="s">
        <v>256</v>
      </c>
      <c r="C395" t="s">
        <v>17</v>
      </c>
      <c r="D395">
        <v>44</v>
      </c>
      <c r="E395" t="s">
        <v>49</v>
      </c>
      <c r="F395" t="s">
        <v>50</v>
      </c>
      <c r="G395" t="s">
        <v>46</v>
      </c>
      <c r="H395">
        <v>41000</v>
      </c>
      <c r="I395">
        <v>3</v>
      </c>
      <c r="J395">
        <v>2</v>
      </c>
      <c r="K395">
        <v>1</v>
      </c>
      <c r="L395" t="s">
        <v>21</v>
      </c>
      <c r="M395" t="s">
        <v>29</v>
      </c>
      <c r="N395" t="s">
        <v>22</v>
      </c>
      <c r="O395" t="s">
        <v>75</v>
      </c>
      <c r="P395" t="str">
        <f t="shared" si="30"/>
        <v>40-49</v>
      </c>
      <c r="Q395" t="str">
        <f t="shared" si="31"/>
        <v>Medium</v>
      </c>
      <c r="R395" t="str">
        <f t="shared" si="32"/>
        <v>Mid-Level</v>
      </c>
      <c r="S395" t="str">
        <f t="shared" si="33"/>
        <v>Needs Improvement</v>
      </c>
      <c r="T395" s="4" t="str">
        <f t="shared" si="34"/>
        <v>Dissatisfied</v>
      </c>
    </row>
    <row r="396" spans="1:20" x14ac:dyDescent="0.3">
      <c r="A396" t="s">
        <v>589</v>
      </c>
      <c r="B396" t="s">
        <v>138</v>
      </c>
      <c r="C396" t="s">
        <v>37</v>
      </c>
      <c r="D396">
        <v>50</v>
      </c>
      <c r="E396" t="s">
        <v>49</v>
      </c>
      <c r="F396" t="s">
        <v>50</v>
      </c>
      <c r="G396" t="s">
        <v>28</v>
      </c>
      <c r="H396">
        <v>83000</v>
      </c>
      <c r="I396">
        <v>18</v>
      </c>
      <c r="J396">
        <v>4</v>
      </c>
      <c r="K396">
        <v>2</v>
      </c>
      <c r="L396" t="s">
        <v>29</v>
      </c>
      <c r="M396" t="s">
        <v>29</v>
      </c>
      <c r="N396" t="s">
        <v>22</v>
      </c>
      <c r="O396" t="s">
        <v>38</v>
      </c>
      <c r="P396" t="str">
        <f t="shared" si="30"/>
        <v>50+</v>
      </c>
      <c r="Q396" t="str">
        <f t="shared" si="31"/>
        <v>High</v>
      </c>
      <c r="R396" t="str">
        <f t="shared" si="32"/>
        <v>Senior</v>
      </c>
      <c r="S396" t="str">
        <f t="shared" si="33"/>
        <v>High Performer</v>
      </c>
      <c r="T396" s="4" t="str">
        <f t="shared" si="34"/>
        <v>Dissatisfied</v>
      </c>
    </row>
    <row r="397" spans="1:20" x14ac:dyDescent="0.3">
      <c r="A397" t="s">
        <v>590</v>
      </c>
      <c r="B397" t="s">
        <v>32</v>
      </c>
      <c r="C397" t="s">
        <v>37</v>
      </c>
      <c r="D397">
        <v>31</v>
      </c>
      <c r="E397" t="s">
        <v>41</v>
      </c>
      <c r="F397" t="s">
        <v>42</v>
      </c>
      <c r="G397" t="s">
        <v>33</v>
      </c>
      <c r="H397">
        <v>102000</v>
      </c>
      <c r="I397">
        <v>10</v>
      </c>
      <c r="J397">
        <v>5</v>
      </c>
      <c r="K397">
        <v>5</v>
      </c>
      <c r="L397" t="s">
        <v>29</v>
      </c>
      <c r="M397" t="s">
        <v>21</v>
      </c>
      <c r="N397" t="s">
        <v>22</v>
      </c>
      <c r="O397" t="s">
        <v>38</v>
      </c>
      <c r="P397" t="str">
        <f t="shared" si="30"/>
        <v>30-39</v>
      </c>
      <c r="Q397" t="str">
        <f t="shared" si="31"/>
        <v>High</v>
      </c>
      <c r="R397" t="str">
        <f t="shared" si="32"/>
        <v>Senior</v>
      </c>
      <c r="S397" t="str">
        <f t="shared" si="33"/>
        <v>High Performer</v>
      </c>
      <c r="T397" s="4" t="str">
        <f t="shared" si="34"/>
        <v>Satisfied</v>
      </c>
    </row>
    <row r="398" spans="1:20" x14ac:dyDescent="0.3">
      <c r="A398" t="s">
        <v>591</v>
      </c>
      <c r="B398" t="s">
        <v>147</v>
      </c>
      <c r="C398" t="s">
        <v>17</v>
      </c>
      <c r="D398">
        <v>37</v>
      </c>
      <c r="E398" t="s">
        <v>26</v>
      </c>
      <c r="F398" t="s">
        <v>50</v>
      </c>
      <c r="G398" t="s">
        <v>28</v>
      </c>
      <c r="H398">
        <v>37000</v>
      </c>
      <c r="I398">
        <v>8</v>
      </c>
      <c r="J398">
        <v>3</v>
      </c>
      <c r="K398">
        <v>4</v>
      </c>
      <c r="L398" t="s">
        <v>29</v>
      </c>
      <c r="M398" t="s">
        <v>29</v>
      </c>
      <c r="N398" t="s">
        <v>34</v>
      </c>
      <c r="O398" t="s">
        <v>70</v>
      </c>
      <c r="P398" t="str">
        <f t="shared" si="30"/>
        <v>30-39</v>
      </c>
      <c r="Q398" t="str">
        <f t="shared" si="31"/>
        <v>Low</v>
      </c>
      <c r="R398" t="str">
        <f t="shared" si="32"/>
        <v>Senior</v>
      </c>
      <c r="S398" t="str">
        <f t="shared" si="33"/>
        <v>Needs Improvement</v>
      </c>
      <c r="T398" s="4" t="str">
        <f t="shared" si="34"/>
        <v>Satisfied</v>
      </c>
    </row>
    <row r="399" spans="1:20" x14ac:dyDescent="0.3">
      <c r="A399" t="s">
        <v>592</v>
      </c>
      <c r="B399" t="s">
        <v>114</v>
      </c>
      <c r="C399" t="s">
        <v>17</v>
      </c>
      <c r="D399">
        <v>54</v>
      </c>
      <c r="E399" t="s">
        <v>18</v>
      </c>
      <c r="F399" t="s">
        <v>126</v>
      </c>
      <c r="G399" t="s">
        <v>46</v>
      </c>
      <c r="H399">
        <v>39000</v>
      </c>
      <c r="I399">
        <v>13</v>
      </c>
      <c r="J399">
        <v>3</v>
      </c>
      <c r="K399">
        <v>5</v>
      </c>
      <c r="L399" t="s">
        <v>29</v>
      </c>
      <c r="M399" t="s">
        <v>29</v>
      </c>
      <c r="N399" t="s">
        <v>34</v>
      </c>
      <c r="O399" t="s">
        <v>51</v>
      </c>
      <c r="P399" t="str">
        <f t="shared" si="30"/>
        <v>50+</v>
      </c>
      <c r="Q399" t="str">
        <f t="shared" si="31"/>
        <v>Low</v>
      </c>
      <c r="R399" t="str">
        <f t="shared" si="32"/>
        <v>Senior</v>
      </c>
      <c r="S399" t="str">
        <f t="shared" si="33"/>
        <v>Needs Improvement</v>
      </c>
      <c r="T399" s="4" t="str">
        <f t="shared" si="34"/>
        <v>Satisfied</v>
      </c>
    </row>
    <row r="400" spans="1:20" x14ac:dyDescent="0.3">
      <c r="A400" t="s">
        <v>593</v>
      </c>
      <c r="B400" t="s">
        <v>278</v>
      </c>
      <c r="C400" t="s">
        <v>17</v>
      </c>
      <c r="D400">
        <v>47</v>
      </c>
      <c r="E400" t="s">
        <v>18</v>
      </c>
      <c r="F400" t="s">
        <v>19</v>
      </c>
      <c r="G400" t="s">
        <v>28</v>
      </c>
      <c r="H400">
        <v>67000</v>
      </c>
      <c r="I400">
        <v>15</v>
      </c>
      <c r="J400">
        <v>5</v>
      </c>
      <c r="K400">
        <v>1</v>
      </c>
      <c r="L400" t="s">
        <v>29</v>
      </c>
      <c r="M400" t="s">
        <v>29</v>
      </c>
      <c r="N400" t="s">
        <v>34</v>
      </c>
      <c r="O400" t="s">
        <v>51</v>
      </c>
      <c r="P400" t="str">
        <f t="shared" si="30"/>
        <v>40-49</v>
      </c>
      <c r="Q400" t="str">
        <f t="shared" si="31"/>
        <v>Medium</v>
      </c>
      <c r="R400" t="str">
        <f t="shared" si="32"/>
        <v>Senior</v>
      </c>
      <c r="S400" t="str">
        <f t="shared" si="33"/>
        <v>High Performer</v>
      </c>
      <c r="T400" s="4" t="str">
        <f t="shared" si="34"/>
        <v>Dissatisfied</v>
      </c>
    </row>
    <row r="401" spans="1:20" x14ac:dyDescent="0.3">
      <c r="A401" t="s">
        <v>594</v>
      </c>
      <c r="B401" t="s">
        <v>197</v>
      </c>
      <c r="C401" t="s">
        <v>37</v>
      </c>
      <c r="D401">
        <v>22</v>
      </c>
      <c r="E401" t="s">
        <v>26</v>
      </c>
      <c r="F401" t="s">
        <v>27</v>
      </c>
      <c r="G401" t="s">
        <v>33</v>
      </c>
      <c r="H401">
        <v>44000</v>
      </c>
      <c r="I401">
        <v>1</v>
      </c>
      <c r="J401">
        <v>3</v>
      </c>
      <c r="K401">
        <v>3</v>
      </c>
      <c r="L401" t="s">
        <v>29</v>
      </c>
      <c r="M401" t="s">
        <v>29</v>
      </c>
      <c r="N401" t="s">
        <v>34</v>
      </c>
      <c r="O401" t="s">
        <v>51</v>
      </c>
      <c r="P401" t="str">
        <f t="shared" si="30"/>
        <v>20-29</v>
      </c>
      <c r="Q401" t="str">
        <f t="shared" si="31"/>
        <v>Medium</v>
      </c>
      <c r="R401" t="str">
        <f t="shared" si="32"/>
        <v>Junior</v>
      </c>
      <c r="S401" t="str">
        <f t="shared" si="33"/>
        <v>Needs Improvement</v>
      </c>
      <c r="T401" s="4" t="str">
        <f t="shared" si="34"/>
        <v>Neutral</v>
      </c>
    </row>
    <row r="402" spans="1:20" x14ac:dyDescent="0.3">
      <c r="A402" t="s">
        <v>595</v>
      </c>
      <c r="B402" t="s">
        <v>486</v>
      </c>
      <c r="C402" t="s">
        <v>37</v>
      </c>
      <c r="D402">
        <v>22</v>
      </c>
      <c r="E402" t="s">
        <v>49</v>
      </c>
      <c r="F402" t="s">
        <v>50</v>
      </c>
      <c r="G402" t="s">
        <v>20</v>
      </c>
      <c r="H402">
        <v>66000</v>
      </c>
      <c r="I402">
        <v>1</v>
      </c>
      <c r="J402">
        <v>5</v>
      </c>
      <c r="K402">
        <v>5</v>
      </c>
      <c r="L402" t="s">
        <v>21</v>
      </c>
      <c r="M402" t="s">
        <v>29</v>
      </c>
      <c r="N402" t="s">
        <v>22</v>
      </c>
      <c r="O402" t="s">
        <v>30</v>
      </c>
      <c r="P402" t="str">
        <f t="shared" si="30"/>
        <v>20-29</v>
      </c>
      <c r="Q402" t="str">
        <f t="shared" si="31"/>
        <v>Medium</v>
      </c>
      <c r="R402" t="str">
        <f t="shared" si="32"/>
        <v>Junior</v>
      </c>
      <c r="S402" t="str">
        <f t="shared" si="33"/>
        <v>High Performer</v>
      </c>
      <c r="T402" s="4" t="str">
        <f t="shared" si="34"/>
        <v>Satisfied</v>
      </c>
    </row>
    <row r="403" spans="1:20" x14ac:dyDescent="0.3">
      <c r="A403" t="s">
        <v>596</v>
      </c>
      <c r="B403" t="s">
        <v>586</v>
      </c>
      <c r="C403" t="s">
        <v>37</v>
      </c>
      <c r="D403">
        <v>39</v>
      </c>
      <c r="E403" t="s">
        <v>18</v>
      </c>
      <c r="F403" t="s">
        <v>19</v>
      </c>
      <c r="G403" t="s">
        <v>28</v>
      </c>
      <c r="H403">
        <v>75000</v>
      </c>
      <c r="I403">
        <v>7</v>
      </c>
      <c r="J403">
        <v>2</v>
      </c>
      <c r="K403">
        <v>2</v>
      </c>
      <c r="L403" t="s">
        <v>29</v>
      </c>
      <c r="M403" t="s">
        <v>29</v>
      </c>
      <c r="N403" t="s">
        <v>34</v>
      </c>
      <c r="O403" t="s">
        <v>43</v>
      </c>
      <c r="P403" t="str">
        <f t="shared" si="30"/>
        <v>30-39</v>
      </c>
      <c r="Q403" t="str">
        <f t="shared" si="31"/>
        <v>High</v>
      </c>
      <c r="R403" t="str">
        <f t="shared" si="32"/>
        <v>Senior</v>
      </c>
      <c r="S403" t="str">
        <f t="shared" si="33"/>
        <v>Needs Improvement</v>
      </c>
      <c r="T403" s="4" t="str">
        <f t="shared" si="34"/>
        <v>Dissatisfied</v>
      </c>
    </row>
    <row r="404" spans="1:20" x14ac:dyDescent="0.3">
      <c r="A404" t="s">
        <v>597</v>
      </c>
      <c r="B404" t="s">
        <v>502</v>
      </c>
      <c r="C404" t="s">
        <v>17</v>
      </c>
      <c r="D404">
        <v>47</v>
      </c>
      <c r="E404" t="s">
        <v>49</v>
      </c>
      <c r="F404" t="s">
        <v>27</v>
      </c>
      <c r="G404" t="s">
        <v>28</v>
      </c>
      <c r="H404">
        <v>31000</v>
      </c>
      <c r="I404">
        <v>17</v>
      </c>
      <c r="J404">
        <v>3</v>
      </c>
      <c r="K404">
        <v>4</v>
      </c>
      <c r="L404" t="s">
        <v>29</v>
      </c>
      <c r="M404" t="s">
        <v>29</v>
      </c>
      <c r="N404" t="s">
        <v>22</v>
      </c>
      <c r="O404" t="s">
        <v>75</v>
      </c>
      <c r="P404" t="str">
        <f t="shared" si="30"/>
        <v>40-49</v>
      </c>
      <c r="Q404" t="str">
        <f t="shared" si="31"/>
        <v>Low</v>
      </c>
      <c r="R404" t="str">
        <f t="shared" si="32"/>
        <v>Senior</v>
      </c>
      <c r="S404" t="str">
        <f t="shared" si="33"/>
        <v>Needs Improvement</v>
      </c>
      <c r="T404" s="4" t="str">
        <f t="shared" si="34"/>
        <v>Satisfied</v>
      </c>
    </row>
    <row r="405" spans="1:20" x14ac:dyDescent="0.3">
      <c r="A405" t="s">
        <v>598</v>
      </c>
      <c r="B405" t="s">
        <v>109</v>
      </c>
      <c r="C405" t="s">
        <v>17</v>
      </c>
      <c r="D405">
        <v>31</v>
      </c>
      <c r="E405" t="s">
        <v>18</v>
      </c>
      <c r="F405" t="s">
        <v>126</v>
      </c>
      <c r="G405" t="s">
        <v>46</v>
      </c>
      <c r="H405">
        <v>99000</v>
      </c>
      <c r="I405">
        <v>10</v>
      </c>
      <c r="J405">
        <v>5</v>
      </c>
      <c r="K405">
        <v>2</v>
      </c>
      <c r="L405" t="s">
        <v>29</v>
      </c>
      <c r="M405" t="s">
        <v>29</v>
      </c>
      <c r="N405" t="s">
        <v>34</v>
      </c>
      <c r="O405" t="s">
        <v>23</v>
      </c>
      <c r="P405" t="str">
        <f t="shared" si="30"/>
        <v>30-39</v>
      </c>
      <c r="Q405" t="str">
        <f t="shared" si="31"/>
        <v>High</v>
      </c>
      <c r="R405" t="str">
        <f t="shared" si="32"/>
        <v>Senior</v>
      </c>
      <c r="S405" t="str">
        <f t="shared" si="33"/>
        <v>High Performer</v>
      </c>
      <c r="T405" s="4" t="str">
        <f t="shared" si="34"/>
        <v>Dissatisfied</v>
      </c>
    </row>
    <row r="406" spans="1:20" x14ac:dyDescent="0.3">
      <c r="A406" t="s">
        <v>599</v>
      </c>
      <c r="B406" t="s">
        <v>162</v>
      </c>
      <c r="C406" t="s">
        <v>37</v>
      </c>
      <c r="D406">
        <v>48</v>
      </c>
      <c r="E406" t="s">
        <v>57</v>
      </c>
      <c r="F406" t="s">
        <v>27</v>
      </c>
      <c r="G406" t="s">
        <v>20</v>
      </c>
      <c r="H406">
        <v>37000</v>
      </c>
      <c r="I406">
        <v>13</v>
      </c>
      <c r="J406">
        <v>3</v>
      </c>
      <c r="K406">
        <v>5</v>
      </c>
      <c r="L406" t="s">
        <v>21</v>
      </c>
      <c r="M406" t="s">
        <v>29</v>
      </c>
      <c r="N406" t="s">
        <v>22</v>
      </c>
      <c r="O406" t="s">
        <v>70</v>
      </c>
      <c r="P406" t="str">
        <f t="shared" si="30"/>
        <v>40-49</v>
      </c>
      <c r="Q406" t="str">
        <f t="shared" si="31"/>
        <v>Low</v>
      </c>
      <c r="R406" t="str">
        <f t="shared" si="32"/>
        <v>Senior</v>
      </c>
      <c r="S406" t="str">
        <f t="shared" si="33"/>
        <v>Needs Improvement</v>
      </c>
      <c r="T406" s="4" t="str">
        <f t="shared" si="34"/>
        <v>Satisfied</v>
      </c>
    </row>
    <row r="407" spans="1:20" x14ac:dyDescent="0.3">
      <c r="A407" t="s">
        <v>600</v>
      </c>
      <c r="B407" t="s">
        <v>158</v>
      </c>
      <c r="C407" t="s">
        <v>37</v>
      </c>
      <c r="D407">
        <v>35</v>
      </c>
      <c r="E407" t="s">
        <v>57</v>
      </c>
      <c r="F407" t="s">
        <v>27</v>
      </c>
      <c r="G407" t="s">
        <v>46</v>
      </c>
      <c r="H407">
        <v>83000</v>
      </c>
      <c r="I407">
        <v>14</v>
      </c>
      <c r="J407">
        <v>5</v>
      </c>
      <c r="K407">
        <v>2</v>
      </c>
      <c r="L407" t="s">
        <v>21</v>
      </c>
      <c r="M407" t="s">
        <v>29</v>
      </c>
      <c r="N407" t="s">
        <v>22</v>
      </c>
      <c r="O407" t="s">
        <v>70</v>
      </c>
      <c r="P407" t="str">
        <f t="shared" si="30"/>
        <v>30-39</v>
      </c>
      <c r="Q407" t="str">
        <f t="shared" si="31"/>
        <v>High</v>
      </c>
      <c r="R407" t="str">
        <f t="shared" si="32"/>
        <v>Senior</v>
      </c>
      <c r="S407" t="str">
        <f t="shared" si="33"/>
        <v>High Performer</v>
      </c>
      <c r="T407" s="4" t="str">
        <f t="shared" si="34"/>
        <v>Dissatisfied</v>
      </c>
    </row>
    <row r="408" spans="1:20" x14ac:dyDescent="0.3">
      <c r="A408" t="s">
        <v>601</v>
      </c>
      <c r="B408" t="s">
        <v>497</v>
      </c>
      <c r="C408" t="s">
        <v>37</v>
      </c>
      <c r="D408">
        <v>30</v>
      </c>
      <c r="E408" t="s">
        <v>41</v>
      </c>
      <c r="F408" t="s">
        <v>42</v>
      </c>
      <c r="G408" t="s">
        <v>20</v>
      </c>
      <c r="H408">
        <v>92000</v>
      </c>
      <c r="I408">
        <v>9</v>
      </c>
      <c r="J408">
        <v>2</v>
      </c>
      <c r="K408">
        <v>2</v>
      </c>
      <c r="L408" t="s">
        <v>21</v>
      </c>
      <c r="M408" t="s">
        <v>29</v>
      </c>
      <c r="N408" t="s">
        <v>34</v>
      </c>
      <c r="O408" t="s">
        <v>75</v>
      </c>
      <c r="P408" t="str">
        <f t="shared" si="30"/>
        <v>30-39</v>
      </c>
      <c r="Q408" t="str">
        <f t="shared" si="31"/>
        <v>High</v>
      </c>
      <c r="R408" t="str">
        <f t="shared" si="32"/>
        <v>Senior</v>
      </c>
      <c r="S408" t="str">
        <f t="shared" si="33"/>
        <v>Needs Improvement</v>
      </c>
      <c r="T408" s="4" t="str">
        <f t="shared" si="34"/>
        <v>Dissatisfied</v>
      </c>
    </row>
    <row r="409" spans="1:20" x14ac:dyDescent="0.3">
      <c r="A409" t="s">
        <v>602</v>
      </c>
      <c r="B409" t="s">
        <v>330</v>
      </c>
      <c r="C409" t="s">
        <v>17</v>
      </c>
      <c r="D409">
        <v>26</v>
      </c>
      <c r="E409" t="s">
        <v>66</v>
      </c>
      <c r="F409" t="s">
        <v>82</v>
      </c>
      <c r="G409" t="s">
        <v>20</v>
      </c>
      <c r="H409">
        <v>79000</v>
      </c>
      <c r="I409">
        <v>5</v>
      </c>
      <c r="J409">
        <v>3</v>
      </c>
      <c r="K409">
        <v>2</v>
      </c>
      <c r="L409" t="s">
        <v>29</v>
      </c>
      <c r="M409" t="s">
        <v>29</v>
      </c>
      <c r="N409" t="s">
        <v>22</v>
      </c>
      <c r="O409" t="s">
        <v>30</v>
      </c>
      <c r="P409" t="str">
        <f t="shared" si="30"/>
        <v>20-29</v>
      </c>
      <c r="Q409" t="str">
        <f t="shared" si="31"/>
        <v>High</v>
      </c>
      <c r="R409" t="str">
        <f t="shared" si="32"/>
        <v>Mid-Level</v>
      </c>
      <c r="S409" t="str">
        <f t="shared" si="33"/>
        <v>Needs Improvement</v>
      </c>
      <c r="T409" s="4" t="str">
        <f t="shared" si="34"/>
        <v>Dissatisfied</v>
      </c>
    </row>
    <row r="410" spans="1:20" x14ac:dyDescent="0.3">
      <c r="A410" t="s">
        <v>603</v>
      </c>
      <c r="B410" t="s">
        <v>36</v>
      </c>
      <c r="C410" t="s">
        <v>17</v>
      </c>
      <c r="D410">
        <v>30</v>
      </c>
      <c r="E410" t="s">
        <v>26</v>
      </c>
      <c r="F410" t="s">
        <v>27</v>
      </c>
      <c r="G410" t="s">
        <v>28</v>
      </c>
      <c r="H410">
        <v>114000</v>
      </c>
      <c r="I410">
        <v>9</v>
      </c>
      <c r="J410">
        <v>5</v>
      </c>
      <c r="K410">
        <v>2</v>
      </c>
      <c r="L410" t="s">
        <v>29</v>
      </c>
      <c r="M410" t="s">
        <v>29</v>
      </c>
      <c r="N410" t="s">
        <v>34</v>
      </c>
      <c r="O410" t="s">
        <v>30</v>
      </c>
      <c r="P410" t="str">
        <f t="shared" si="30"/>
        <v>30-39</v>
      </c>
      <c r="Q410" t="str">
        <f t="shared" si="31"/>
        <v>High</v>
      </c>
      <c r="R410" t="str">
        <f t="shared" si="32"/>
        <v>Senior</v>
      </c>
      <c r="S410" t="str">
        <f t="shared" si="33"/>
        <v>High Performer</v>
      </c>
      <c r="T410" s="4" t="str">
        <f t="shared" si="34"/>
        <v>Dissatisfied</v>
      </c>
    </row>
    <row r="411" spans="1:20" x14ac:dyDescent="0.3">
      <c r="A411" t="s">
        <v>604</v>
      </c>
      <c r="B411" t="s">
        <v>16</v>
      </c>
      <c r="C411" t="s">
        <v>37</v>
      </c>
      <c r="D411">
        <v>49</v>
      </c>
      <c r="E411" t="s">
        <v>26</v>
      </c>
      <c r="F411" t="s">
        <v>50</v>
      </c>
      <c r="G411" t="s">
        <v>28</v>
      </c>
      <c r="H411">
        <v>110000</v>
      </c>
      <c r="I411">
        <v>10</v>
      </c>
      <c r="J411">
        <v>4</v>
      </c>
      <c r="K411">
        <v>4</v>
      </c>
      <c r="L411" t="s">
        <v>29</v>
      </c>
      <c r="M411" t="s">
        <v>29</v>
      </c>
      <c r="N411" t="s">
        <v>34</v>
      </c>
      <c r="O411" t="s">
        <v>54</v>
      </c>
      <c r="P411" t="str">
        <f t="shared" si="30"/>
        <v>40-49</v>
      </c>
      <c r="Q411" t="str">
        <f t="shared" si="31"/>
        <v>High</v>
      </c>
      <c r="R411" t="str">
        <f t="shared" si="32"/>
        <v>Senior</v>
      </c>
      <c r="S411" t="str">
        <f t="shared" si="33"/>
        <v>High Performer</v>
      </c>
      <c r="T411" s="4" t="str">
        <f t="shared" si="34"/>
        <v>Satisfied</v>
      </c>
    </row>
    <row r="412" spans="1:20" x14ac:dyDescent="0.3">
      <c r="A412" t="s">
        <v>605</v>
      </c>
      <c r="B412" t="s">
        <v>207</v>
      </c>
      <c r="C412" t="s">
        <v>37</v>
      </c>
      <c r="D412">
        <v>52</v>
      </c>
      <c r="E412" t="s">
        <v>18</v>
      </c>
      <c r="F412" t="s">
        <v>126</v>
      </c>
      <c r="G412" t="s">
        <v>20</v>
      </c>
      <c r="H412">
        <v>88000</v>
      </c>
      <c r="I412">
        <v>5</v>
      </c>
      <c r="J412">
        <v>4</v>
      </c>
      <c r="K412">
        <v>3</v>
      </c>
      <c r="L412" t="s">
        <v>21</v>
      </c>
      <c r="M412" t="s">
        <v>29</v>
      </c>
      <c r="N412" t="s">
        <v>34</v>
      </c>
      <c r="O412" t="s">
        <v>43</v>
      </c>
      <c r="P412" t="str">
        <f t="shared" si="30"/>
        <v>50+</v>
      </c>
      <c r="Q412" t="str">
        <f t="shared" si="31"/>
        <v>High</v>
      </c>
      <c r="R412" t="str">
        <f t="shared" si="32"/>
        <v>Mid-Level</v>
      </c>
      <c r="S412" t="str">
        <f t="shared" si="33"/>
        <v>High Performer</v>
      </c>
      <c r="T412" s="4" t="str">
        <f t="shared" si="34"/>
        <v>Neutral</v>
      </c>
    </row>
    <row r="413" spans="1:20" x14ac:dyDescent="0.3">
      <c r="A413" t="s">
        <v>606</v>
      </c>
      <c r="B413" t="s">
        <v>48</v>
      </c>
      <c r="C413" t="s">
        <v>37</v>
      </c>
      <c r="D413">
        <v>34</v>
      </c>
      <c r="E413" t="s">
        <v>57</v>
      </c>
      <c r="F413" t="s">
        <v>27</v>
      </c>
      <c r="G413" t="s">
        <v>20</v>
      </c>
      <c r="H413">
        <v>65000</v>
      </c>
      <c r="I413">
        <v>3</v>
      </c>
      <c r="J413">
        <v>2</v>
      </c>
      <c r="K413">
        <v>5</v>
      </c>
      <c r="L413" t="s">
        <v>29</v>
      </c>
      <c r="M413" t="s">
        <v>29</v>
      </c>
      <c r="N413" t="s">
        <v>34</v>
      </c>
      <c r="O413" t="s">
        <v>51</v>
      </c>
      <c r="P413" t="str">
        <f t="shared" si="30"/>
        <v>30-39</v>
      </c>
      <c r="Q413" t="str">
        <f t="shared" si="31"/>
        <v>Medium</v>
      </c>
      <c r="R413" t="str">
        <f t="shared" si="32"/>
        <v>Mid-Level</v>
      </c>
      <c r="S413" t="str">
        <f t="shared" si="33"/>
        <v>Needs Improvement</v>
      </c>
      <c r="T413" s="4" t="str">
        <f t="shared" si="34"/>
        <v>Satisfied</v>
      </c>
    </row>
    <row r="414" spans="1:20" x14ac:dyDescent="0.3">
      <c r="A414" t="s">
        <v>607</v>
      </c>
      <c r="B414" t="s">
        <v>608</v>
      </c>
      <c r="C414" t="s">
        <v>17</v>
      </c>
      <c r="D414">
        <v>37</v>
      </c>
      <c r="E414" t="s">
        <v>57</v>
      </c>
      <c r="F414" t="s">
        <v>50</v>
      </c>
      <c r="G414" t="s">
        <v>20</v>
      </c>
      <c r="H414">
        <v>94000</v>
      </c>
      <c r="I414">
        <v>1</v>
      </c>
      <c r="J414">
        <v>2</v>
      </c>
      <c r="K414">
        <v>1</v>
      </c>
      <c r="L414" t="s">
        <v>29</v>
      </c>
      <c r="M414" t="s">
        <v>29</v>
      </c>
      <c r="N414" t="s">
        <v>34</v>
      </c>
      <c r="O414" t="s">
        <v>30</v>
      </c>
      <c r="P414" t="str">
        <f t="shared" si="30"/>
        <v>30-39</v>
      </c>
      <c r="Q414" t="str">
        <f t="shared" si="31"/>
        <v>High</v>
      </c>
      <c r="R414" t="str">
        <f t="shared" si="32"/>
        <v>Junior</v>
      </c>
      <c r="S414" t="str">
        <f t="shared" si="33"/>
        <v>Needs Improvement</v>
      </c>
      <c r="T414" s="4" t="str">
        <f t="shared" si="34"/>
        <v>Dissatisfied</v>
      </c>
    </row>
    <row r="415" spans="1:20" x14ac:dyDescent="0.3">
      <c r="A415" t="s">
        <v>609</v>
      </c>
      <c r="B415" t="s">
        <v>90</v>
      </c>
      <c r="C415" t="s">
        <v>37</v>
      </c>
      <c r="D415">
        <v>26</v>
      </c>
      <c r="E415" t="s">
        <v>41</v>
      </c>
      <c r="F415" t="s">
        <v>42</v>
      </c>
      <c r="G415" t="s">
        <v>46</v>
      </c>
      <c r="H415">
        <v>101000</v>
      </c>
      <c r="I415">
        <v>5</v>
      </c>
      <c r="J415">
        <v>4</v>
      </c>
      <c r="K415">
        <v>1</v>
      </c>
      <c r="L415" t="s">
        <v>29</v>
      </c>
      <c r="M415" t="s">
        <v>29</v>
      </c>
      <c r="N415" t="s">
        <v>34</v>
      </c>
      <c r="O415" t="s">
        <v>30</v>
      </c>
      <c r="P415" t="str">
        <f t="shared" si="30"/>
        <v>20-29</v>
      </c>
      <c r="Q415" t="str">
        <f t="shared" si="31"/>
        <v>High</v>
      </c>
      <c r="R415" t="str">
        <f t="shared" si="32"/>
        <v>Mid-Level</v>
      </c>
      <c r="S415" t="str">
        <f t="shared" si="33"/>
        <v>High Performer</v>
      </c>
      <c r="T415" s="4" t="str">
        <f t="shared" si="34"/>
        <v>Dissatisfied</v>
      </c>
    </row>
    <row r="416" spans="1:20" x14ac:dyDescent="0.3">
      <c r="A416" t="s">
        <v>610</v>
      </c>
      <c r="B416" t="s">
        <v>84</v>
      </c>
      <c r="C416" t="s">
        <v>37</v>
      </c>
      <c r="D416">
        <v>25</v>
      </c>
      <c r="E416" t="s">
        <v>49</v>
      </c>
      <c r="F416" t="s">
        <v>50</v>
      </c>
      <c r="G416" t="s">
        <v>33</v>
      </c>
      <c r="H416">
        <v>57000</v>
      </c>
      <c r="I416">
        <v>2</v>
      </c>
      <c r="J416">
        <v>4</v>
      </c>
      <c r="K416">
        <v>1</v>
      </c>
      <c r="L416" t="s">
        <v>21</v>
      </c>
      <c r="M416" t="s">
        <v>21</v>
      </c>
      <c r="N416" t="s">
        <v>22</v>
      </c>
      <c r="O416" t="s">
        <v>70</v>
      </c>
      <c r="P416" t="str">
        <f t="shared" si="30"/>
        <v>20-29</v>
      </c>
      <c r="Q416" t="str">
        <f t="shared" si="31"/>
        <v>Medium</v>
      </c>
      <c r="R416" t="str">
        <f t="shared" si="32"/>
        <v>Junior</v>
      </c>
      <c r="S416" t="str">
        <f t="shared" si="33"/>
        <v>High Performer</v>
      </c>
      <c r="T416" s="4" t="str">
        <f t="shared" si="34"/>
        <v>Dissatisfied</v>
      </c>
    </row>
    <row r="417" spans="1:20" x14ac:dyDescent="0.3">
      <c r="A417" t="s">
        <v>611</v>
      </c>
      <c r="B417" t="s">
        <v>238</v>
      </c>
      <c r="C417" t="s">
        <v>17</v>
      </c>
      <c r="D417">
        <v>48</v>
      </c>
      <c r="E417" t="s">
        <v>49</v>
      </c>
      <c r="F417" t="s">
        <v>50</v>
      </c>
      <c r="G417" t="s">
        <v>28</v>
      </c>
      <c r="H417">
        <v>77000</v>
      </c>
      <c r="I417">
        <v>3</v>
      </c>
      <c r="J417">
        <v>5</v>
      </c>
      <c r="K417">
        <v>4</v>
      </c>
      <c r="L417" t="s">
        <v>21</v>
      </c>
      <c r="M417" t="s">
        <v>29</v>
      </c>
      <c r="N417" t="s">
        <v>34</v>
      </c>
      <c r="O417" t="s">
        <v>75</v>
      </c>
      <c r="P417" t="str">
        <f t="shared" si="30"/>
        <v>40-49</v>
      </c>
      <c r="Q417" t="str">
        <f t="shared" si="31"/>
        <v>High</v>
      </c>
      <c r="R417" t="str">
        <f t="shared" si="32"/>
        <v>Mid-Level</v>
      </c>
      <c r="S417" t="str">
        <f t="shared" si="33"/>
        <v>High Performer</v>
      </c>
      <c r="T417" s="4" t="str">
        <f t="shared" si="34"/>
        <v>Satisfied</v>
      </c>
    </row>
    <row r="418" spans="1:20" x14ac:dyDescent="0.3">
      <c r="A418" t="s">
        <v>612</v>
      </c>
      <c r="B418" t="s">
        <v>53</v>
      </c>
      <c r="C418" t="s">
        <v>17</v>
      </c>
      <c r="D418">
        <v>32</v>
      </c>
      <c r="E418" t="s">
        <v>66</v>
      </c>
      <c r="F418" t="s">
        <v>82</v>
      </c>
      <c r="G418" t="s">
        <v>46</v>
      </c>
      <c r="H418">
        <v>46000</v>
      </c>
      <c r="I418">
        <v>11</v>
      </c>
      <c r="J418">
        <v>5</v>
      </c>
      <c r="K418">
        <v>3</v>
      </c>
      <c r="L418" t="s">
        <v>21</v>
      </c>
      <c r="M418" t="s">
        <v>29</v>
      </c>
      <c r="N418" t="s">
        <v>22</v>
      </c>
      <c r="O418" t="s">
        <v>75</v>
      </c>
      <c r="P418" t="str">
        <f t="shared" si="30"/>
        <v>30-39</v>
      </c>
      <c r="Q418" t="str">
        <f t="shared" si="31"/>
        <v>Medium</v>
      </c>
      <c r="R418" t="str">
        <f t="shared" si="32"/>
        <v>Senior</v>
      </c>
      <c r="S418" t="str">
        <f t="shared" si="33"/>
        <v>High Performer</v>
      </c>
      <c r="T418" s="4" t="str">
        <f t="shared" si="34"/>
        <v>Neutral</v>
      </c>
    </row>
    <row r="419" spans="1:20" x14ac:dyDescent="0.3">
      <c r="A419" t="s">
        <v>613</v>
      </c>
      <c r="B419" t="s">
        <v>269</v>
      </c>
      <c r="C419" t="s">
        <v>17</v>
      </c>
      <c r="D419">
        <v>34</v>
      </c>
      <c r="E419" t="s">
        <v>41</v>
      </c>
      <c r="F419" t="s">
        <v>42</v>
      </c>
      <c r="G419" t="s">
        <v>33</v>
      </c>
      <c r="H419">
        <v>77000</v>
      </c>
      <c r="I419">
        <v>12</v>
      </c>
      <c r="J419">
        <v>4</v>
      </c>
      <c r="K419">
        <v>2</v>
      </c>
      <c r="L419" t="s">
        <v>29</v>
      </c>
      <c r="M419" t="s">
        <v>29</v>
      </c>
      <c r="N419" t="s">
        <v>34</v>
      </c>
      <c r="O419" t="s">
        <v>54</v>
      </c>
      <c r="P419" t="str">
        <f t="shared" si="30"/>
        <v>30-39</v>
      </c>
      <c r="Q419" t="str">
        <f t="shared" si="31"/>
        <v>High</v>
      </c>
      <c r="R419" t="str">
        <f t="shared" si="32"/>
        <v>Senior</v>
      </c>
      <c r="S419" t="str">
        <f t="shared" si="33"/>
        <v>High Performer</v>
      </c>
      <c r="T419" s="4" t="str">
        <f t="shared" si="34"/>
        <v>Dissatisfied</v>
      </c>
    </row>
    <row r="420" spans="1:20" x14ac:dyDescent="0.3">
      <c r="A420" t="s">
        <v>614</v>
      </c>
      <c r="B420" t="s">
        <v>320</v>
      </c>
      <c r="C420" t="s">
        <v>17</v>
      </c>
      <c r="D420">
        <v>28</v>
      </c>
      <c r="E420" t="s">
        <v>57</v>
      </c>
      <c r="F420" t="s">
        <v>50</v>
      </c>
      <c r="G420" t="s">
        <v>33</v>
      </c>
      <c r="H420">
        <v>52000</v>
      </c>
      <c r="I420">
        <v>4</v>
      </c>
      <c r="J420">
        <v>2</v>
      </c>
      <c r="K420">
        <v>2</v>
      </c>
      <c r="L420" t="s">
        <v>21</v>
      </c>
      <c r="M420" t="s">
        <v>29</v>
      </c>
      <c r="N420" t="s">
        <v>34</v>
      </c>
      <c r="O420" t="s">
        <v>23</v>
      </c>
      <c r="P420" t="str">
        <f t="shared" si="30"/>
        <v>20-29</v>
      </c>
      <c r="Q420" t="str">
        <f t="shared" si="31"/>
        <v>Medium</v>
      </c>
      <c r="R420" t="str">
        <f t="shared" si="32"/>
        <v>Mid-Level</v>
      </c>
      <c r="S420" t="str">
        <f t="shared" si="33"/>
        <v>Needs Improvement</v>
      </c>
      <c r="T420" s="4" t="str">
        <f t="shared" si="34"/>
        <v>Dissatisfied</v>
      </c>
    </row>
    <row r="421" spans="1:20" x14ac:dyDescent="0.3">
      <c r="A421" t="s">
        <v>615</v>
      </c>
      <c r="B421" t="s">
        <v>302</v>
      </c>
      <c r="C421" t="s">
        <v>37</v>
      </c>
      <c r="D421">
        <v>32</v>
      </c>
      <c r="E421" t="s">
        <v>66</v>
      </c>
      <c r="F421" t="s">
        <v>82</v>
      </c>
      <c r="G421" t="s">
        <v>20</v>
      </c>
      <c r="H421">
        <v>75000</v>
      </c>
      <c r="I421">
        <v>0</v>
      </c>
      <c r="J421">
        <v>2</v>
      </c>
      <c r="K421">
        <v>1</v>
      </c>
      <c r="L421" t="s">
        <v>29</v>
      </c>
      <c r="M421" t="s">
        <v>29</v>
      </c>
      <c r="N421" t="s">
        <v>34</v>
      </c>
      <c r="O421" t="s">
        <v>75</v>
      </c>
      <c r="P421" t="str">
        <f t="shared" si="30"/>
        <v>30-39</v>
      </c>
      <c r="Q421" t="str">
        <f t="shared" si="31"/>
        <v>High</v>
      </c>
      <c r="R421" t="str">
        <f t="shared" si="32"/>
        <v>Junior</v>
      </c>
      <c r="S421" t="str">
        <f t="shared" si="33"/>
        <v>Needs Improvement</v>
      </c>
      <c r="T421" s="4" t="str">
        <f t="shared" si="34"/>
        <v>Dissatisfied</v>
      </c>
    </row>
    <row r="422" spans="1:20" x14ac:dyDescent="0.3">
      <c r="A422" t="s">
        <v>616</v>
      </c>
      <c r="B422" t="s">
        <v>397</v>
      </c>
      <c r="C422" t="s">
        <v>17</v>
      </c>
      <c r="D422">
        <v>29</v>
      </c>
      <c r="E422" t="s">
        <v>18</v>
      </c>
      <c r="F422" t="s">
        <v>126</v>
      </c>
      <c r="G422" t="s">
        <v>33</v>
      </c>
      <c r="H422">
        <v>62000</v>
      </c>
      <c r="I422">
        <v>8</v>
      </c>
      <c r="J422">
        <v>3</v>
      </c>
      <c r="K422">
        <v>5</v>
      </c>
      <c r="L422" t="s">
        <v>29</v>
      </c>
      <c r="M422" t="s">
        <v>29</v>
      </c>
      <c r="N422" t="s">
        <v>34</v>
      </c>
      <c r="O422" t="s">
        <v>75</v>
      </c>
      <c r="P422" t="str">
        <f t="shared" si="30"/>
        <v>20-29</v>
      </c>
      <c r="Q422" t="str">
        <f t="shared" si="31"/>
        <v>Medium</v>
      </c>
      <c r="R422" t="str">
        <f t="shared" si="32"/>
        <v>Senior</v>
      </c>
      <c r="S422" t="str">
        <f t="shared" si="33"/>
        <v>Needs Improvement</v>
      </c>
      <c r="T422" s="4" t="str">
        <f t="shared" si="34"/>
        <v>Satisfied</v>
      </c>
    </row>
    <row r="423" spans="1:20" x14ac:dyDescent="0.3">
      <c r="A423" t="s">
        <v>617</v>
      </c>
      <c r="B423" t="s">
        <v>618</v>
      </c>
      <c r="C423" t="s">
        <v>37</v>
      </c>
      <c r="D423">
        <v>37</v>
      </c>
      <c r="E423" t="s">
        <v>18</v>
      </c>
      <c r="F423" t="s">
        <v>19</v>
      </c>
      <c r="G423" t="s">
        <v>28</v>
      </c>
      <c r="H423">
        <v>115000</v>
      </c>
      <c r="I423">
        <v>16</v>
      </c>
      <c r="J423">
        <v>2</v>
      </c>
      <c r="K423">
        <v>5</v>
      </c>
      <c r="L423" t="s">
        <v>29</v>
      </c>
      <c r="M423" t="s">
        <v>29</v>
      </c>
      <c r="N423" t="s">
        <v>34</v>
      </c>
      <c r="O423" t="s">
        <v>30</v>
      </c>
      <c r="P423" t="str">
        <f t="shared" si="30"/>
        <v>30-39</v>
      </c>
      <c r="Q423" t="str">
        <f t="shared" si="31"/>
        <v>High</v>
      </c>
      <c r="R423" t="str">
        <f t="shared" si="32"/>
        <v>Senior</v>
      </c>
      <c r="S423" t="str">
        <f t="shared" si="33"/>
        <v>Needs Improvement</v>
      </c>
      <c r="T423" s="4" t="str">
        <f t="shared" si="34"/>
        <v>Satisfied</v>
      </c>
    </row>
    <row r="424" spans="1:20" x14ac:dyDescent="0.3">
      <c r="A424" t="s">
        <v>619</v>
      </c>
      <c r="B424" t="s">
        <v>328</v>
      </c>
      <c r="C424" t="s">
        <v>17</v>
      </c>
      <c r="D424">
        <v>23</v>
      </c>
      <c r="E424" t="s">
        <v>57</v>
      </c>
      <c r="F424" t="s">
        <v>27</v>
      </c>
      <c r="G424" t="s">
        <v>33</v>
      </c>
      <c r="H424">
        <v>120000</v>
      </c>
      <c r="I424">
        <v>2</v>
      </c>
      <c r="J424">
        <v>2</v>
      </c>
      <c r="K424">
        <v>2</v>
      </c>
      <c r="L424" t="s">
        <v>21</v>
      </c>
      <c r="M424" t="s">
        <v>21</v>
      </c>
      <c r="N424" t="s">
        <v>34</v>
      </c>
      <c r="O424" t="s">
        <v>38</v>
      </c>
      <c r="P424" t="str">
        <f t="shared" si="30"/>
        <v>20-29</v>
      </c>
      <c r="Q424" t="str">
        <f t="shared" si="31"/>
        <v>High</v>
      </c>
      <c r="R424" t="str">
        <f t="shared" si="32"/>
        <v>Junior</v>
      </c>
      <c r="S424" t="str">
        <f t="shared" si="33"/>
        <v>Needs Improvement</v>
      </c>
      <c r="T424" s="4" t="str">
        <f t="shared" si="34"/>
        <v>Dissatisfied</v>
      </c>
    </row>
    <row r="425" spans="1:20" x14ac:dyDescent="0.3">
      <c r="A425" t="s">
        <v>620</v>
      </c>
      <c r="B425" t="s">
        <v>77</v>
      </c>
      <c r="C425" t="s">
        <v>37</v>
      </c>
      <c r="D425">
        <v>38</v>
      </c>
      <c r="E425" t="s">
        <v>41</v>
      </c>
      <c r="F425" t="s">
        <v>42</v>
      </c>
      <c r="G425" t="s">
        <v>33</v>
      </c>
      <c r="H425">
        <v>84000</v>
      </c>
      <c r="I425">
        <v>15</v>
      </c>
      <c r="J425">
        <v>2</v>
      </c>
      <c r="K425">
        <v>5</v>
      </c>
      <c r="L425" t="s">
        <v>29</v>
      </c>
      <c r="M425" t="s">
        <v>29</v>
      </c>
      <c r="N425" t="s">
        <v>34</v>
      </c>
      <c r="O425" t="s">
        <v>54</v>
      </c>
      <c r="P425" t="str">
        <f t="shared" si="30"/>
        <v>30-39</v>
      </c>
      <c r="Q425" t="str">
        <f t="shared" si="31"/>
        <v>High</v>
      </c>
      <c r="R425" t="str">
        <f t="shared" si="32"/>
        <v>Senior</v>
      </c>
      <c r="S425" t="str">
        <f t="shared" si="33"/>
        <v>Needs Improvement</v>
      </c>
      <c r="T425" s="4" t="str">
        <f t="shared" si="34"/>
        <v>Satisfied</v>
      </c>
    </row>
    <row r="426" spans="1:20" x14ac:dyDescent="0.3">
      <c r="A426" t="s">
        <v>621</v>
      </c>
      <c r="B426" t="s">
        <v>357</v>
      </c>
      <c r="C426" t="s">
        <v>37</v>
      </c>
      <c r="D426">
        <v>42</v>
      </c>
      <c r="E426" t="s">
        <v>41</v>
      </c>
      <c r="F426" t="s">
        <v>42</v>
      </c>
      <c r="G426" t="s">
        <v>33</v>
      </c>
      <c r="H426">
        <v>44000</v>
      </c>
      <c r="I426">
        <v>5</v>
      </c>
      <c r="J426">
        <v>3</v>
      </c>
      <c r="K426">
        <v>2</v>
      </c>
      <c r="L426" t="s">
        <v>29</v>
      </c>
      <c r="M426" t="s">
        <v>29</v>
      </c>
      <c r="N426" t="s">
        <v>34</v>
      </c>
      <c r="O426" t="s">
        <v>38</v>
      </c>
      <c r="P426" t="str">
        <f t="shared" si="30"/>
        <v>40-49</v>
      </c>
      <c r="Q426" t="str">
        <f t="shared" si="31"/>
        <v>Medium</v>
      </c>
      <c r="R426" t="str">
        <f t="shared" si="32"/>
        <v>Mid-Level</v>
      </c>
      <c r="S426" t="str">
        <f t="shared" si="33"/>
        <v>Needs Improvement</v>
      </c>
      <c r="T426" s="4" t="str">
        <f t="shared" si="34"/>
        <v>Dissatisfied</v>
      </c>
    </row>
    <row r="427" spans="1:20" x14ac:dyDescent="0.3">
      <c r="A427" t="s">
        <v>622</v>
      </c>
      <c r="B427" t="s">
        <v>282</v>
      </c>
      <c r="C427" t="s">
        <v>17</v>
      </c>
      <c r="D427">
        <v>46</v>
      </c>
      <c r="E427" t="s">
        <v>57</v>
      </c>
      <c r="F427" t="s">
        <v>50</v>
      </c>
      <c r="G427" t="s">
        <v>46</v>
      </c>
      <c r="H427">
        <v>117000</v>
      </c>
      <c r="I427">
        <v>6</v>
      </c>
      <c r="J427">
        <v>4</v>
      </c>
      <c r="K427">
        <v>4</v>
      </c>
      <c r="L427" t="s">
        <v>21</v>
      </c>
      <c r="M427" t="s">
        <v>29</v>
      </c>
      <c r="N427" t="s">
        <v>34</v>
      </c>
      <c r="O427" t="s">
        <v>23</v>
      </c>
      <c r="P427" t="str">
        <f t="shared" si="30"/>
        <v>40-49</v>
      </c>
      <c r="Q427" t="str">
        <f t="shared" si="31"/>
        <v>High</v>
      </c>
      <c r="R427" t="str">
        <f t="shared" si="32"/>
        <v>Mid-Level</v>
      </c>
      <c r="S427" t="str">
        <f t="shared" si="33"/>
        <v>High Performer</v>
      </c>
      <c r="T427" s="4" t="str">
        <f t="shared" si="34"/>
        <v>Satisfied</v>
      </c>
    </row>
    <row r="428" spans="1:20" x14ac:dyDescent="0.3">
      <c r="A428" t="s">
        <v>623</v>
      </c>
      <c r="B428" t="s">
        <v>381</v>
      </c>
      <c r="C428" t="s">
        <v>37</v>
      </c>
      <c r="D428">
        <v>49</v>
      </c>
      <c r="E428" t="s">
        <v>57</v>
      </c>
      <c r="F428" t="s">
        <v>50</v>
      </c>
      <c r="G428" t="s">
        <v>28</v>
      </c>
      <c r="H428">
        <v>67000</v>
      </c>
      <c r="I428">
        <v>10</v>
      </c>
      <c r="J428">
        <v>3</v>
      </c>
      <c r="K428">
        <v>5</v>
      </c>
      <c r="L428" t="s">
        <v>29</v>
      </c>
      <c r="M428" t="s">
        <v>29</v>
      </c>
      <c r="N428" t="s">
        <v>34</v>
      </c>
      <c r="O428" t="s">
        <v>38</v>
      </c>
      <c r="P428" t="str">
        <f t="shared" si="30"/>
        <v>40-49</v>
      </c>
      <c r="Q428" t="str">
        <f t="shared" si="31"/>
        <v>Medium</v>
      </c>
      <c r="R428" t="str">
        <f t="shared" si="32"/>
        <v>Senior</v>
      </c>
      <c r="S428" t="str">
        <f t="shared" si="33"/>
        <v>Needs Improvement</v>
      </c>
      <c r="T428" s="4" t="str">
        <f t="shared" si="34"/>
        <v>Satisfied</v>
      </c>
    </row>
    <row r="429" spans="1:20" x14ac:dyDescent="0.3">
      <c r="A429" t="s">
        <v>624</v>
      </c>
      <c r="B429" t="s">
        <v>625</v>
      </c>
      <c r="C429" t="s">
        <v>17</v>
      </c>
      <c r="D429">
        <v>29</v>
      </c>
      <c r="E429" t="s">
        <v>41</v>
      </c>
      <c r="F429" t="s">
        <v>73</v>
      </c>
      <c r="G429" t="s">
        <v>46</v>
      </c>
      <c r="H429">
        <v>108000</v>
      </c>
      <c r="I429">
        <v>8</v>
      </c>
      <c r="J429">
        <v>3</v>
      </c>
      <c r="K429">
        <v>2</v>
      </c>
      <c r="L429" t="s">
        <v>21</v>
      </c>
      <c r="M429" t="s">
        <v>21</v>
      </c>
      <c r="N429" t="s">
        <v>22</v>
      </c>
      <c r="O429" t="s">
        <v>54</v>
      </c>
      <c r="P429" t="str">
        <f t="shared" si="30"/>
        <v>20-29</v>
      </c>
      <c r="Q429" t="str">
        <f t="shared" si="31"/>
        <v>High</v>
      </c>
      <c r="R429" t="str">
        <f t="shared" si="32"/>
        <v>Senior</v>
      </c>
      <c r="S429" t="str">
        <f t="shared" si="33"/>
        <v>Needs Improvement</v>
      </c>
      <c r="T429" s="4" t="str">
        <f t="shared" si="34"/>
        <v>Dissatisfied</v>
      </c>
    </row>
    <row r="430" spans="1:20" x14ac:dyDescent="0.3">
      <c r="A430" t="s">
        <v>626</v>
      </c>
      <c r="B430" t="s">
        <v>207</v>
      </c>
      <c r="C430" t="s">
        <v>17</v>
      </c>
      <c r="D430">
        <v>38</v>
      </c>
      <c r="E430" t="s">
        <v>18</v>
      </c>
      <c r="F430" t="s">
        <v>126</v>
      </c>
      <c r="G430" t="s">
        <v>20</v>
      </c>
      <c r="H430">
        <v>63000</v>
      </c>
      <c r="I430">
        <v>0</v>
      </c>
      <c r="J430">
        <v>3</v>
      </c>
      <c r="K430">
        <v>3</v>
      </c>
      <c r="L430" t="s">
        <v>29</v>
      </c>
      <c r="M430" t="s">
        <v>29</v>
      </c>
      <c r="N430" t="s">
        <v>34</v>
      </c>
      <c r="O430" t="s">
        <v>38</v>
      </c>
      <c r="P430" t="str">
        <f t="shared" si="30"/>
        <v>30-39</v>
      </c>
      <c r="Q430" t="str">
        <f t="shared" si="31"/>
        <v>Medium</v>
      </c>
      <c r="R430" t="str">
        <f t="shared" si="32"/>
        <v>Junior</v>
      </c>
      <c r="S430" t="str">
        <f t="shared" si="33"/>
        <v>Needs Improvement</v>
      </c>
      <c r="T430" s="4" t="str">
        <f t="shared" si="34"/>
        <v>Neutral</v>
      </c>
    </row>
    <row r="431" spans="1:20" x14ac:dyDescent="0.3">
      <c r="A431" t="s">
        <v>627</v>
      </c>
      <c r="B431" t="s">
        <v>486</v>
      </c>
      <c r="C431" t="s">
        <v>17</v>
      </c>
      <c r="D431">
        <v>31</v>
      </c>
      <c r="E431" t="s">
        <v>66</v>
      </c>
      <c r="F431" t="s">
        <v>67</v>
      </c>
      <c r="G431" t="s">
        <v>28</v>
      </c>
      <c r="H431">
        <v>101000</v>
      </c>
      <c r="I431">
        <v>3</v>
      </c>
      <c r="J431">
        <v>4</v>
      </c>
      <c r="K431">
        <v>2</v>
      </c>
      <c r="L431" t="s">
        <v>29</v>
      </c>
      <c r="M431" t="s">
        <v>29</v>
      </c>
      <c r="N431" t="s">
        <v>22</v>
      </c>
      <c r="O431" t="s">
        <v>43</v>
      </c>
      <c r="P431" t="str">
        <f t="shared" si="30"/>
        <v>30-39</v>
      </c>
      <c r="Q431" t="str">
        <f t="shared" si="31"/>
        <v>High</v>
      </c>
      <c r="R431" t="str">
        <f t="shared" si="32"/>
        <v>Mid-Level</v>
      </c>
      <c r="S431" t="str">
        <f t="shared" si="33"/>
        <v>High Performer</v>
      </c>
      <c r="T431" s="4" t="str">
        <f t="shared" si="34"/>
        <v>Dissatisfied</v>
      </c>
    </row>
    <row r="432" spans="1:20" x14ac:dyDescent="0.3">
      <c r="A432" t="s">
        <v>628</v>
      </c>
      <c r="B432" t="s">
        <v>25</v>
      </c>
      <c r="C432" t="s">
        <v>17</v>
      </c>
      <c r="D432">
        <v>34</v>
      </c>
      <c r="E432" t="s">
        <v>18</v>
      </c>
      <c r="F432" t="s">
        <v>19</v>
      </c>
      <c r="G432" t="s">
        <v>33</v>
      </c>
      <c r="H432">
        <v>72000</v>
      </c>
      <c r="I432">
        <v>13</v>
      </c>
      <c r="J432">
        <v>4</v>
      </c>
      <c r="K432">
        <v>3</v>
      </c>
      <c r="L432" t="s">
        <v>29</v>
      </c>
      <c r="M432" t="s">
        <v>29</v>
      </c>
      <c r="N432" t="s">
        <v>34</v>
      </c>
      <c r="O432" t="s">
        <v>75</v>
      </c>
      <c r="P432" t="str">
        <f t="shared" si="30"/>
        <v>30-39</v>
      </c>
      <c r="Q432" t="str">
        <f t="shared" si="31"/>
        <v>High</v>
      </c>
      <c r="R432" t="str">
        <f t="shared" si="32"/>
        <v>Senior</v>
      </c>
      <c r="S432" t="str">
        <f t="shared" si="33"/>
        <v>High Performer</v>
      </c>
      <c r="T432" s="4" t="str">
        <f t="shared" si="34"/>
        <v>Neutral</v>
      </c>
    </row>
    <row r="433" spans="1:20" x14ac:dyDescent="0.3">
      <c r="A433" t="s">
        <v>629</v>
      </c>
      <c r="B433" t="s">
        <v>188</v>
      </c>
      <c r="C433" t="s">
        <v>17</v>
      </c>
      <c r="D433">
        <v>29</v>
      </c>
      <c r="E433" t="s">
        <v>49</v>
      </c>
      <c r="F433" t="s">
        <v>27</v>
      </c>
      <c r="G433" t="s">
        <v>46</v>
      </c>
      <c r="H433">
        <v>72000</v>
      </c>
      <c r="I433">
        <v>8</v>
      </c>
      <c r="J433">
        <v>5</v>
      </c>
      <c r="K433">
        <v>2</v>
      </c>
      <c r="L433" t="s">
        <v>21</v>
      </c>
      <c r="M433" t="s">
        <v>29</v>
      </c>
      <c r="N433" t="s">
        <v>22</v>
      </c>
      <c r="O433" t="s">
        <v>75</v>
      </c>
      <c r="P433" t="str">
        <f t="shared" si="30"/>
        <v>20-29</v>
      </c>
      <c r="Q433" t="str">
        <f t="shared" si="31"/>
        <v>High</v>
      </c>
      <c r="R433" t="str">
        <f t="shared" si="32"/>
        <v>Senior</v>
      </c>
      <c r="S433" t="str">
        <f t="shared" si="33"/>
        <v>High Performer</v>
      </c>
      <c r="T433" s="4" t="str">
        <f t="shared" si="34"/>
        <v>Dissatisfied</v>
      </c>
    </row>
    <row r="434" spans="1:20" x14ac:dyDescent="0.3">
      <c r="A434" t="s">
        <v>630</v>
      </c>
      <c r="B434" t="s">
        <v>273</v>
      </c>
      <c r="C434" t="s">
        <v>37</v>
      </c>
      <c r="D434">
        <v>29</v>
      </c>
      <c r="E434" t="s">
        <v>66</v>
      </c>
      <c r="F434" t="s">
        <v>67</v>
      </c>
      <c r="G434" t="s">
        <v>28</v>
      </c>
      <c r="H434">
        <v>104000</v>
      </c>
      <c r="I434">
        <v>8</v>
      </c>
      <c r="J434">
        <v>3</v>
      </c>
      <c r="K434">
        <v>4</v>
      </c>
      <c r="L434" t="s">
        <v>21</v>
      </c>
      <c r="M434" t="s">
        <v>29</v>
      </c>
      <c r="N434" t="s">
        <v>34</v>
      </c>
      <c r="O434" t="s">
        <v>23</v>
      </c>
      <c r="P434" t="str">
        <f t="shared" si="30"/>
        <v>20-29</v>
      </c>
      <c r="Q434" t="str">
        <f t="shared" si="31"/>
        <v>High</v>
      </c>
      <c r="R434" t="str">
        <f t="shared" si="32"/>
        <v>Senior</v>
      </c>
      <c r="S434" t="str">
        <f t="shared" si="33"/>
        <v>Needs Improvement</v>
      </c>
      <c r="T434" s="4" t="str">
        <f t="shared" si="34"/>
        <v>Satisfied</v>
      </c>
    </row>
    <row r="435" spans="1:20" x14ac:dyDescent="0.3">
      <c r="A435" t="s">
        <v>631</v>
      </c>
      <c r="B435" t="s">
        <v>244</v>
      </c>
      <c r="C435" t="s">
        <v>37</v>
      </c>
      <c r="D435">
        <v>36</v>
      </c>
      <c r="E435" t="s">
        <v>18</v>
      </c>
      <c r="F435" t="s">
        <v>19</v>
      </c>
      <c r="G435" t="s">
        <v>28</v>
      </c>
      <c r="H435">
        <v>112000</v>
      </c>
      <c r="I435">
        <v>7</v>
      </c>
      <c r="J435">
        <v>4</v>
      </c>
      <c r="K435">
        <v>5</v>
      </c>
      <c r="L435" t="s">
        <v>21</v>
      </c>
      <c r="M435" t="s">
        <v>29</v>
      </c>
      <c r="N435" t="s">
        <v>34</v>
      </c>
      <c r="O435" t="s">
        <v>38</v>
      </c>
      <c r="P435" t="str">
        <f t="shared" si="30"/>
        <v>30-39</v>
      </c>
      <c r="Q435" t="str">
        <f t="shared" si="31"/>
        <v>High</v>
      </c>
      <c r="R435" t="str">
        <f t="shared" si="32"/>
        <v>Senior</v>
      </c>
      <c r="S435" t="str">
        <f t="shared" si="33"/>
        <v>High Performer</v>
      </c>
      <c r="T435" s="4" t="str">
        <f t="shared" si="34"/>
        <v>Satisfied</v>
      </c>
    </row>
    <row r="436" spans="1:20" x14ac:dyDescent="0.3">
      <c r="A436" t="s">
        <v>632</v>
      </c>
      <c r="B436" t="s">
        <v>633</v>
      </c>
      <c r="C436" t="s">
        <v>17</v>
      </c>
      <c r="D436">
        <v>52</v>
      </c>
      <c r="E436" t="s">
        <v>18</v>
      </c>
      <c r="F436" t="s">
        <v>19</v>
      </c>
      <c r="G436" t="s">
        <v>33</v>
      </c>
      <c r="H436">
        <v>70000</v>
      </c>
      <c r="I436">
        <v>6</v>
      </c>
      <c r="J436">
        <v>2</v>
      </c>
      <c r="K436">
        <v>1</v>
      </c>
      <c r="L436" t="s">
        <v>21</v>
      </c>
      <c r="M436" t="s">
        <v>21</v>
      </c>
      <c r="N436" t="s">
        <v>22</v>
      </c>
      <c r="O436" t="s">
        <v>38</v>
      </c>
      <c r="P436" t="str">
        <f t="shared" si="30"/>
        <v>50+</v>
      </c>
      <c r="Q436" t="str">
        <f t="shared" si="31"/>
        <v>High</v>
      </c>
      <c r="R436" t="str">
        <f t="shared" si="32"/>
        <v>Mid-Level</v>
      </c>
      <c r="S436" t="str">
        <f t="shared" si="33"/>
        <v>Needs Improvement</v>
      </c>
      <c r="T436" s="4" t="str">
        <f t="shared" si="34"/>
        <v>Dissatisfied</v>
      </c>
    </row>
    <row r="437" spans="1:20" x14ac:dyDescent="0.3">
      <c r="A437" t="s">
        <v>634</v>
      </c>
      <c r="B437" t="s">
        <v>199</v>
      </c>
      <c r="C437" t="s">
        <v>17</v>
      </c>
      <c r="D437">
        <v>26</v>
      </c>
      <c r="E437" t="s">
        <v>49</v>
      </c>
      <c r="F437" t="s">
        <v>50</v>
      </c>
      <c r="G437" t="s">
        <v>28</v>
      </c>
      <c r="H437">
        <v>63000</v>
      </c>
      <c r="I437">
        <v>5</v>
      </c>
      <c r="J437">
        <v>2</v>
      </c>
      <c r="K437">
        <v>1</v>
      </c>
      <c r="L437" t="s">
        <v>21</v>
      </c>
      <c r="M437" t="s">
        <v>21</v>
      </c>
      <c r="N437" t="s">
        <v>22</v>
      </c>
      <c r="O437" t="s">
        <v>23</v>
      </c>
      <c r="P437" t="str">
        <f t="shared" si="30"/>
        <v>20-29</v>
      </c>
      <c r="Q437" t="str">
        <f t="shared" si="31"/>
        <v>Medium</v>
      </c>
      <c r="R437" t="str">
        <f t="shared" si="32"/>
        <v>Mid-Level</v>
      </c>
      <c r="S437" t="str">
        <f t="shared" si="33"/>
        <v>Needs Improvement</v>
      </c>
      <c r="T437" s="4" t="str">
        <f t="shared" si="34"/>
        <v>Dissatisfied</v>
      </c>
    </row>
    <row r="438" spans="1:20" x14ac:dyDescent="0.3">
      <c r="A438" t="s">
        <v>635</v>
      </c>
      <c r="B438" t="s">
        <v>217</v>
      </c>
      <c r="C438" t="s">
        <v>37</v>
      </c>
      <c r="D438">
        <v>46</v>
      </c>
      <c r="E438" t="s">
        <v>66</v>
      </c>
      <c r="F438" t="s">
        <v>82</v>
      </c>
      <c r="G438" t="s">
        <v>20</v>
      </c>
      <c r="H438">
        <v>44000</v>
      </c>
      <c r="I438">
        <v>16</v>
      </c>
      <c r="J438">
        <v>4</v>
      </c>
      <c r="K438">
        <v>3</v>
      </c>
      <c r="L438" t="s">
        <v>21</v>
      </c>
      <c r="M438" t="s">
        <v>29</v>
      </c>
      <c r="N438" t="s">
        <v>22</v>
      </c>
      <c r="O438" t="s">
        <v>23</v>
      </c>
      <c r="P438" t="str">
        <f t="shared" si="30"/>
        <v>40-49</v>
      </c>
      <c r="Q438" t="str">
        <f t="shared" si="31"/>
        <v>Medium</v>
      </c>
      <c r="R438" t="str">
        <f t="shared" si="32"/>
        <v>Senior</v>
      </c>
      <c r="S438" t="str">
        <f t="shared" si="33"/>
        <v>High Performer</v>
      </c>
      <c r="T438" s="4" t="str">
        <f t="shared" si="34"/>
        <v>Neutral</v>
      </c>
    </row>
    <row r="439" spans="1:20" x14ac:dyDescent="0.3">
      <c r="A439" t="s">
        <v>636</v>
      </c>
      <c r="B439" t="s">
        <v>94</v>
      </c>
      <c r="C439" t="s">
        <v>17</v>
      </c>
      <c r="D439">
        <v>41</v>
      </c>
      <c r="E439" t="s">
        <v>57</v>
      </c>
      <c r="F439" t="s">
        <v>27</v>
      </c>
      <c r="G439" t="s">
        <v>20</v>
      </c>
      <c r="H439">
        <v>71000</v>
      </c>
      <c r="I439">
        <v>5</v>
      </c>
      <c r="J439">
        <v>3</v>
      </c>
      <c r="K439">
        <v>4</v>
      </c>
      <c r="L439" t="s">
        <v>21</v>
      </c>
      <c r="M439" t="s">
        <v>29</v>
      </c>
      <c r="N439" t="s">
        <v>34</v>
      </c>
      <c r="O439" t="s">
        <v>23</v>
      </c>
      <c r="P439" t="str">
        <f t="shared" si="30"/>
        <v>40-49</v>
      </c>
      <c r="Q439" t="str">
        <f t="shared" si="31"/>
        <v>High</v>
      </c>
      <c r="R439" t="str">
        <f t="shared" si="32"/>
        <v>Mid-Level</v>
      </c>
      <c r="S439" t="str">
        <f t="shared" si="33"/>
        <v>Needs Improvement</v>
      </c>
      <c r="T439" s="4" t="str">
        <f t="shared" si="34"/>
        <v>Satisfied</v>
      </c>
    </row>
    <row r="440" spans="1:20" x14ac:dyDescent="0.3">
      <c r="A440" t="s">
        <v>637</v>
      </c>
      <c r="B440" t="s">
        <v>397</v>
      </c>
      <c r="C440" t="s">
        <v>37</v>
      </c>
      <c r="D440">
        <v>47</v>
      </c>
      <c r="E440" t="s">
        <v>66</v>
      </c>
      <c r="F440" t="s">
        <v>67</v>
      </c>
      <c r="G440" t="s">
        <v>33</v>
      </c>
      <c r="H440">
        <v>85000</v>
      </c>
      <c r="I440">
        <v>1</v>
      </c>
      <c r="J440">
        <v>5</v>
      </c>
      <c r="K440">
        <v>1</v>
      </c>
      <c r="L440" t="s">
        <v>29</v>
      </c>
      <c r="M440" t="s">
        <v>21</v>
      </c>
      <c r="N440" t="s">
        <v>34</v>
      </c>
      <c r="O440" t="s">
        <v>43</v>
      </c>
      <c r="P440" t="str">
        <f t="shared" si="30"/>
        <v>40-49</v>
      </c>
      <c r="Q440" t="str">
        <f t="shared" si="31"/>
        <v>High</v>
      </c>
      <c r="R440" t="str">
        <f t="shared" si="32"/>
        <v>Junior</v>
      </c>
      <c r="S440" t="str">
        <f t="shared" si="33"/>
        <v>High Performer</v>
      </c>
      <c r="T440" s="4" t="str">
        <f t="shared" si="34"/>
        <v>Dissatisfied</v>
      </c>
    </row>
    <row r="441" spans="1:20" x14ac:dyDescent="0.3">
      <c r="A441" t="s">
        <v>638</v>
      </c>
      <c r="B441" t="s">
        <v>372</v>
      </c>
      <c r="C441" t="s">
        <v>17</v>
      </c>
      <c r="D441">
        <v>37</v>
      </c>
      <c r="E441" t="s">
        <v>26</v>
      </c>
      <c r="F441" t="s">
        <v>50</v>
      </c>
      <c r="G441" t="s">
        <v>28</v>
      </c>
      <c r="H441">
        <v>89000</v>
      </c>
      <c r="I441">
        <v>14</v>
      </c>
      <c r="J441">
        <v>3</v>
      </c>
      <c r="K441">
        <v>3</v>
      </c>
      <c r="L441" t="s">
        <v>29</v>
      </c>
      <c r="M441" t="s">
        <v>29</v>
      </c>
      <c r="N441" t="s">
        <v>34</v>
      </c>
      <c r="O441" t="s">
        <v>51</v>
      </c>
      <c r="P441" t="str">
        <f t="shared" si="30"/>
        <v>30-39</v>
      </c>
      <c r="Q441" t="str">
        <f t="shared" si="31"/>
        <v>High</v>
      </c>
      <c r="R441" t="str">
        <f t="shared" si="32"/>
        <v>Senior</v>
      </c>
      <c r="S441" t="str">
        <f t="shared" si="33"/>
        <v>Needs Improvement</v>
      </c>
      <c r="T441" s="4" t="str">
        <f t="shared" si="34"/>
        <v>Neutral</v>
      </c>
    </row>
    <row r="442" spans="1:20" x14ac:dyDescent="0.3">
      <c r="A442" t="s">
        <v>639</v>
      </c>
      <c r="B442" t="s">
        <v>263</v>
      </c>
      <c r="C442" t="s">
        <v>17</v>
      </c>
      <c r="D442">
        <v>55</v>
      </c>
      <c r="E442" t="s">
        <v>66</v>
      </c>
      <c r="F442" t="s">
        <v>82</v>
      </c>
      <c r="G442" t="s">
        <v>46</v>
      </c>
      <c r="H442">
        <v>87000</v>
      </c>
      <c r="I442">
        <v>6</v>
      </c>
      <c r="J442">
        <v>4</v>
      </c>
      <c r="K442">
        <v>5</v>
      </c>
      <c r="L442" t="s">
        <v>21</v>
      </c>
      <c r="M442" t="s">
        <v>21</v>
      </c>
      <c r="N442" t="s">
        <v>22</v>
      </c>
      <c r="O442" t="s">
        <v>30</v>
      </c>
      <c r="P442" t="str">
        <f t="shared" si="30"/>
        <v>50+</v>
      </c>
      <c r="Q442" t="str">
        <f t="shared" si="31"/>
        <v>High</v>
      </c>
      <c r="R442" t="str">
        <f t="shared" si="32"/>
        <v>Mid-Level</v>
      </c>
      <c r="S442" t="str">
        <f t="shared" si="33"/>
        <v>High Performer</v>
      </c>
      <c r="T442" s="4" t="str">
        <f t="shared" si="34"/>
        <v>Satisfied</v>
      </c>
    </row>
    <row r="443" spans="1:20" x14ac:dyDescent="0.3">
      <c r="A443" t="s">
        <v>640</v>
      </c>
      <c r="B443" t="s">
        <v>529</v>
      </c>
      <c r="C443" t="s">
        <v>17</v>
      </c>
      <c r="D443">
        <v>23</v>
      </c>
      <c r="E443" t="s">
        <v>66</v>
      </c>
      <c r="F443" t="s">
        <v>82</v>
      </c>
      <c r="G443" t="s">
        <v>33</v>
      </c>
      <c r="H443">
        <v>87000</v>
      </c>
      <c r="I443">
        <v>2</v>
      </c>
      <c r="J443">
        <v>4</v>
      </c>
      <c r="K443">
        <v>4</v>
      </c>
      <c r="L443" t="s">
        <v>21</v>
      </c>
      <c r="M443" t="s">
        <v>29</v>
      </c>
      <c r="N443" t="s">
        <v>22</v>
      </c>
      <c r="O443" t="s">
        <v>30</v>
      </c>
      <c r="P443" t="str">
        <f t="shared" si="30"/>
        <v>20-29</v>
      </c>
      <c r="Q443" t="str">
        <f t="shared" si="31"/>
        <v>High</v>
      </c>
      <c r="R443" t="str">
        <f t="shared" si="32"/>
        <v>Junior</v>
      </c>
      <c r="S443" t="str">
        <f t="shared" si="33"/>
        <v>High Performer</v>
      </c>
      <c r="T443" s="4" t="str">
        <f t="shared" si="34"/>
        <v>Satisfied</v>
      </c>
    </row>
    <row r="444" spans="1:20" x14ac:dyDescent="0.3">
      <c r="A444" t="s">
        <v>641</v>
      </c>
      <c r="B444" t="s">
        <v>642</v>
      </c>
      <c r="C444" t="s">
        <v>37</v>
      </c>
      <c r="D444">
        <v>24</v>
      </c>
      <c r="E444" t="s">
        <v>57</v>
      </c>
      <c r="F444" t="s">
        <v>50</v>
      </c>
      <c r="G444" t="s">
        <v>20</v>
      </c>
      <c r="H444">
        <v>35000</v>
      </c>
      <c r="I444">
        <v>2</v>
      </c>
      <c r="J444">
        <v>5</v>
      </c>
      <c r="K444">
        <v>2</v>
      </c>
      <c r="L444" t="s">
        <v>21</v>
      </c>
      <c r="M444" t="s">
        <v>21</v>
      </c>
      <c r="N444" t="s">
        <v>22</v>
      </c>
      <c r="O444" t="s">
        <v>51</v>
      </c>
      <c r="P444" t="str">
        <f t="shared" si="30"/>
        <v>20-29</v>
      </c>
      <c r="Q444" t="str">
        <f t="shared" si="31"/>
        <v>Low</v>
      </c>
      <c r="R444" t="str">
        <f t="shared" si="32"/>
        <v>Junior</v>
      </c>
      <c r="S444" t="str">
        <f t="shared" si="33"/>
        <v>High Performer</v>
      </c>
      <c r="T444" s="4" t="str">
        <f t="shared" si="34"/>
        <v>Dissatisfied</v>
      </c>
    </row>
    <row r="445" spans="1:20" x14ac:dyDescent="0.3">
      <c r="A445" t="s">
        <v>643</v>
      </c>
      <c r="B445" t="s">
        <v>194</v>
      </c>
      <c r="C445" t="s">
        <v>17</v>
      </c>
      <c r="D445">
        <v>40</v>
      </c>
      <c r="E445" t="s">
        <v>49</v>
      </c>
      <c r="F445" t="s">
        <v>27</v>
      </c>
      <c r="G445" t="s">
        <v>46</v>
      </c>
      <c r="H445">
        <v>114000</v>
      </c>
      <c r="I445">
        <v>5</v>
      </c>
      <c r="J445">
        <v>4</v>
      </c>
      <c r="K445">
        <v>3</v>
      </c>
      <c r="L445" t="s">
        <v>21</v>
      </c>
      <c r="M445" t="s">
        <v>29</v>
      </c>
      <c r="N445" t="s">
        <v>22</v>
      </c>
      <c r="O445" t="s">
        <v>43</v>
      </c>
      <c r="P445" t="str">
        <f t="shared" si="30"/>
        <v>40-49</v>
      </c>
      <c r="Q445" t="str">
        <f t="shared" si="31"/>
        <v>High</v>
      </c>
      <c r="R445" t="str">
        <f t="shared" si="32"/>
        <v>Mid-Level</v>
      </c>
      <c r="S445" t="str">
        <f t="shared" si="33"/>
        <v>High Performer</v>
      </c>
      <c r="T445" s="4" t="str">
        <f t="shared" si="34"/>
        <v>Neutral</v>
      </c>
    </row>
    <row r="446" spans="1:20" x14ac:dyDescent="0.3">
      <c r="A446" t="s">
        <v>644</v>
      </c>
      <c r="B446" t="s">
        <v>372</v>
      </c>
      <c r="C446" t="s">
        <v>17</v>
      </c>
      <c r="D446">
        <v>23</v>
      </c>
      <c r="E446" t="s">
        <v>41</v>
      </c>
      <c r="F446" t="s">
        <v>42</v>
      </c>
      <c r="G446" t="s">
        <v>20</v>
      </c>
      <c r="H446">
        <v>26000</v>
      </c>
      <c r="I446">
        <v>2</v>
      </c>
      <c r="J446">
        <v>2</v>
      </c>
      <c r="K446">
        <v>4</v>
      </c>
      <c r="L446" t="s">
        <v>21</v>
      </c>
      <c r="M446" t="s">
        <v>29</v>
      </c>
      <c r="N446" t="s">
        <v>22</v>
      </c>
      <c r="O446" t="s">
        <v>54</v>
      </c>
      <c r="P446" t="str">
        <f t="shared" si="30"/>
        <v>20-29</v>
      </c>
      <c r="Q446" t="str">
        <f t="shared" si="31"/>
        <v>Low</v>
      </c>
      <c r="R446" t="str">
        <f t="shared" si="32"/>
        <v>Junior</v>
      </c>
      <c r="S446" t="str">
        <f t="shared" si="33"/>
        <v>Needs Improvement</v>
      </c>
      <c r="T446" s="4" t="str">
        <f t="shared" si="34"/>
        <v>Satisfied</v>
      </c>
    </row>
    <row r="447" spans="1:20" x14ac:dyDescent="0.3">
      <c r="A447" t="s">
        <v>645</v>
      </c>
      <c r="B447" t="s">
        <v>125</v>
      </c>
      <c r="C447" t="s">
        <v>37</v>
      </c>
      <c r="D447">
        <v>26</v>
      </c>
      <c r="E447" t="s">
        <v>26</v>
      </c>
      <c r="F447" t="s">
        <v>50</v>
      </c>
      <c r="G447" t="s">
        <v>33</v>
      </c>
      <c r="H447">
        <v>85000</v>
      </c>
      <c r="I447">
        <v>5</v>
      </c>
      <c r="J447">
        <v>5</v>
      </c>
      <c r="K447">
        <v>2</v>
      </c>
      <c r="L447" t="s">
        <v>21</v>
      </c>
      <c r="M447" t="s">
        <v>21</v>
      </c>
      <c r="N447" t="s">
        <v>34</v>
      </c>
      <c r="O447" t="s">
        <v>43</v>
      </c>
      <c r="P447" t="str">
        <f t="shared" si="30"/>
        <v>20-29</v>
      </c>
      <c r="Q447" t="str">
        <f t="shared" si="31"/>
        <v>High</v>
      </c>
      <c r="R447" t="str">
        <f t="shared" si="32"/>
        <v>Mid-Level</v>
      </c>
      <c r="S447" t="str">
        <f t="shared" si="33"/>
        <v>High Performer</v>
      </c>
      <c r="T447" s="4" t="str">
        <f t="shared" si="34"/>
        <v>Dissatisfied</v>
      </c>
    </row>
    <row r="448" spans="1:20" x14ac:dyDescent="0.3">
      <c r="A448" t="s">
        <v>646</v>
      </c>
      <c r="B448" t="s">
        <v>376</v>
      </c>
      <c r="C448" t="s">
        <v>17</v>
      </c>
      <c r="D448">
        <v>35</v>
      </c>
      <c r="E448" t="s">
        <v>49</v>
      </c>
      <c r="F448" t="s">
        <v>27</v>
      </c>
      <c r="G448" t="s">
        <v>28</v>
      </c>
      <c r="H448">
        <v>54000</v>
      </c>
      <c r="I448">
        <v>3</v>
      </c>
      <c r="J448">
        <v>5</v>
      </c>
      <c r="K448">
        <v>2</v>
      </c>
      <c r="L448" t="s">
        <v>21</v>
      </c>
      <c r="M448" t="s">
        <v>21</v>
      </c>
      <c r="N448" t="s">
        <v>34</v>
      </c>
      <c r="O448" t="s">
        <v>51</v>
      </c>
      <c r="P448" t="str">
        <f t="shared" si="30"/>
        <v>30-39</v>
      </c>
      <c r="Q448" t="str">
        <f t="shared" si="31"/>
        <v>Medium</v>
      </c>
      <c r="R448" t="str">
        <f t="shared" si="32"/>
        <v>Mid-Level</v>
      </c>
      <c r="S448" t="str">
        <f t="shared" si="33"/>
        <v>High Performer</v>
      </c>
      <c r="T448" s="4" t="str">
        <f t="shared" si="34"/>
        <v>Dissatisfied</v>
      </c>
    </row>
    <row r="449" spans="1:20" x14ac:dyDescent="0.3">
      <c r="A449" t="s">
        <v>647</v>
      </c>
      <c r="B449" t="s">
        <v>221</v>
      </c>
      <c r="C449" t="s">
        <v>17</v>
      </c>
      <c r="D449">
        <v>40</v>
      </c>
      <c r="E449" t="s">
        <v>57</v>
      </c>
      <c r="F449" t="s">
        <v>50</v>
      </c>
      <c r="G449" t="s">
        <v>20</v>
      </c>
      <c r="H449">
        <v>48000</v>
      </c>
      <c r="I449">
        <v>7</v>
      </c>
      <c r="J449">
        <v>4</v>
      </c>
      <c r="K449">
        <v>5</v>
      </c>
      <c r="L449" t="s">
        <v>21</v>
      </c>
      <c r="M449" t="s">
        <v>29</v>
      </c>
      <c r="N449" t="s">
        <v>34</v>
      </c>
      <c r="O449" t="s">
        <v>38</v>
      </c>
      <c r="P449" t="str">
        <f t="shared" si="30"/>
        <v>40-49</v>
      </c>
      <c r="Q449" t="str">
        <f t="shared" si="31"/>
        <v>Medium</v>
      </c>
      <c r="R449" t="str">
        <f t="shared" si="32"/>
        <v>Senior</v>
      </c>
      <c r="S449" t="str">
        <f t="shared" si="33"/>
        <v>High Performer</v>
      </c>
      <c r="T449" s="4" t="str">
        <f t="shared" si="34"/>
        <v>Satisfied</v>
      </c>
    </row>
    <row r="450" spans="1:20" x14ac:dyDescent="0.3">
      <c r="A450" t="s">
        <v>648</v>
      </c>
      <c r="B450" t="s">
        <v>414</v>
      </c>
      <c r="C450" t="s">
        <v>17</v>
      </c>
      <c r="D450">
        <v>40</v>
      </c>
      <c r="E450" t="s">
        <v>66</v>
      </c>
      <c r="F450" t="s">
        <v>82</v>
      </c>
      <c r="G450" t="s">
        <v>33</v>
      </c>
      <c r="H450">
        <v>60000</v>
      </c>
      <c r="I450">
        <v>14</v>
      </c>
      <c r="J450">
        <v>5</v>
      </c>
      <c r="K450">
        <v>1</v>
      </c>
      <c r="L450" t="s">
        <v>21</v>
      </c>
      <c r="M450" t="s">
        <v>21</v>
      </c>
      <c r="N450" t="s">
        <v>22</v>
      </c>
      <c r="O450" t="s">
        <v>30</v>
      </c>
      <c r="P450" t="str">
        <f t="shared" ref="P450:P513" si="35">IF(D450&lt;30,"20-29",IF(D450&lt;40,"30-39",IF(D450&lt;50,"40-49","50+")))</f>
        <v>40-49</v>
      </c>
      <c r="Q450" t="str">
        <f t="shared" ref="Q450:Q513" si="36">IF(H450&lt;40000,"Low",IF(H450&lt;70000,"Medium","High"))</f>
        <v>Medium</v>
      </c>
      <c r="R450" t="str">
        <f t="shared" ref="R450:R513" si="37">IF(I450&lt;3,"Junior",IF(I450&lt;7,"Mid-Level","Senior"))</f>
        <v>Senior</v>
      </c>
      <c r="S450" t="str">
        <f t="shared" ref="S450:S513" si="38">IF(J450&gt;=4,"High Performer","Needs Improvement")</f>
        <v>High Performer</v>
      </c>
      <c r="T450" s="4" t="str">
        <f t="shared" ref="T450:T513" si="39">IF(K450&gt;=4,"Satisfied",IF(K450=3,"Neutral","Dissatisfied"))</f>
        <v>Dissatisfied</v>
      </c>
    </row>
    <row r="451" spans="1:20" x14ac:dyDescent="0.3">
      <c r="A451" t="s">
        <v>649</v>
      </c>
      <c r="B451" t="s">
        <v>136</v>
      </c>
      <c r="C451" t="s">
        <v>37</v>
      </c>
      <c r="D451">
        <v>33</v>
      </c>
      <c r="E451" t="s">
        <v>57</v>
      </c>
      <c r="F451" t="s">
        <v>50</v>
      </c>
      <c r="G451" t="s">
        <v>20</v>
      </c>
      <c r="H451">
        <v>73000</v>
      </c>
      <c r="I451">
        <v>12</v>
      </c>
      <c r="J451">
        <v>3</v>
      </c>
      <c r="K451">
        <v>2</v>
      </c>
      <c r="L451" t="s">
        <v>29</v>
      </c>
      <c r="M451" t="s">
        <v>29</v>
      </c>
      <c r="N451" t="s">
        <v>34</v>
      </c>
      <c r="O451" t="s">
        <v>51</v>
      </c>
      <c r="P451" t="str">
        <f t="shared" si="35"/>
        <v>30-39</v>
      </c>
      <c r="Q451" t="str">
        <f t="shared" si="36"/>
        <v>High</v>
      </c>
      <c r="R451" t="str">
        <f t="shared" si="37"/>
        <v>Senior</v>
      </c>
      <c r="S451" t="str">
        <f t="shared" si="38"/>
        <v>Needs Improvement</v>
      </c>
      <c r="T451" s="4" t="str">
        <f t="shared" si="39"/>
        <v>Dissatisfied</v>
      </c>
    </row>
    <row r="452" spans="1:20" x14ac:dyDescent="0.3">
      <c r="A452" t="s">
        <v>650</v>
      </c>
      <c r="B452" t="s">
        <v>132</v>
      </c>
      <c r="C452" t="s">
        <v>37</v>
      </c>
      <c r="D452">
        <v>38</v>
      </c>
      <c r="E452" t="s">
        <v>49</v>
      </c>
      <c r="F452" t="s">
        <v>27</v>
      </c>
      <c r="G452" t="s">
        <v>33</v>
      </c>
      <c r="H452">
        <v>45000</v>
      </c>
      <c r="I452">
        <v>11</v>
      </c>
      <c r="J452">
        <v>2</v>
      </c>
      <c r="K452">
        <v>4</v>
      </c>
      <c r="L452" t="s">
        <v>29</v>
      </c>
      <c r="M452" t="s">
        <v>29</v>
      </c>
      <c r="N452" t="s">
        <v>34</v>
      </c>
      <c r="O452" t="s">
        <v>23</v>
      </c>
      <c r="P452" t="str">
        <f t="shared" si="35"/>
        <v>30-39</v>
      </c>
      <c r="Q452" t="str">
        <f t="shared" si="36"/>
        <v>Medium</v>
      </c>
      <c r="R452" t="str">
        <f t="shared" si="37"/>
        <v>Senior</v>
      </c>
      <c r="S452" t="str">
        <f t="shared" si="38"/>
        <v>Needs Improvement</v>
      </c>
      <c r="T452" s="4" t="str">
        <f t="shared" si="39"/>
        <v>Satisfied</v>
      </c>
    </row>
    <row r="453" spans="1:20" x14ac:dyDescent="0.3">
      <c r="A453" t="s">
        <v>651</v>
      </c>
      <c r="B453" t="s">
        <v>284</v>
      </c>
      <c r="C453" t="s">
        <v>17</v>
      </c>
      <c r="D453">
        <v>34</v>
      </c>
      <c r="E453" t="s">
        <v>66</v>
      </c>
      <c r="F453" t="s">
        <v>67</v>
      </c>
      <c r="G453" t="s">
        <v>46</v>
      </c>
      <c r="H453">
        <v>69000</v>
      </c>
      <c r="I453">
        <v>12</v>
      </c>
      <c r="J453">
        <v>3</v>
      </c>
      <c r="K453">
        <v>4</v>
      </c>
      <c r="L453" t="s">
        <v>21</v>
      </c>
      <c r="M453" t="s">
        <v>29</v>
      </c>
      <c r="N453" t="s">
        <v>34</v>
      </c>
      <c r="O453" t="s">
        <v>75</v>
      </c>
      <c r="P453" t="str">
        <f t="shared" si="35"/>
        <v>30-39</v>
      </c>
      <c r="Q453" t="str">
        <f t="shared" si="36"/>
        <v>Medium</v>
      </c>
      <c r="R453" t="str">
        <f t="shared" si="37"/>
        <v>Senior</v>
      </c>
      <c r="S453" t="str">
        <f t="shared" si="38"/>
        <v>Needs Improvement</v>
      </c>
      <c r="T453" s="4" t="str">
        <f t="shared" si="39"/>
        <v>Satisfied</v>
      </c>
    </row>
    <row r="454" spans="1:20" x14ac:dyDescent="0.3">
      <c r="A454" t="s">
        <v>652</v>
      </c>
      <c r="B454" t="s">
        <v>116</v>
      </c>
      <c r="C454" t="s">
        <v>37</v>
      </c>
      <c r="D454">
        <v>42</v>
      </c>
      <c r="E454" t="s">
        <v>57</v>
      </c>
      <c r="F454" t="s">
        <v>50</v>
      </c>
      <c r="G454" t="s">
        <v>20</v>
      </c>
      <c r="H454">
        <v>109000</v>
      </c>
      <c r="I454">
        <v>16</v>
      </c>
      <c r="J454">
        <v>3</v>
      </c>
      <c r="K454">
        <v>5</v>
      </c>
      <c r="L454" t="s">
        <v>21</v>
      </c>
      <c r="M454" t="s">
        <v>29</v>
      </c>
      <c r="N454" t="s">
        <v>22</v>
      </c>
      <c r="O454" t="s">
        <v>51</v>
      </c>
      <c r="P454" t="str">
        <f t="shared" si="35"/>
        <v>40-49</v>
      </c>
      <c r="Q454" t="str">
        <f t="shared" si="36"/>
        <v>High</v>
      </c>
      <c r="R454" t="str">
        <f t="shared" si="37"/>
        <v>Senior</v>
      </c>
      <c r="S454" t="str">
        <f t="shared" si="38"/>
        <v>Needs Improvement</v>
      </c>
      <c r="T454" s="4" t="str">
        <f t="shared" si="39"/>
        <v>Satisfied</v>
      </c>
    </row>
    <row r="455" spans="1:20" x14ac:dyDescent="0.3">
      <c r="A455" t="s">
        <v>653</v>
      </c>
      <c r="B455" t="s">
        <v>84</v>
      </c>
      <c r="C455" t="s">
        <v>37</v>
      </c>
      <c r="D455">
        <v>35</v>
      </c>
      <c r="E455" t="s">
        <v>41</v>
      </c>
      <c r="F455" t="s">
        <v>42</v>
      </c>
      <c r="G455" t="s">
        <v>33</v>
      </c>
      <c r="H455">
        <v>85000</v>
      </c>
      <c r="I455">
        <v>12</v>
      </c>
      <c r="J455">
        <v>2</v>
      </c>
      <c r="K455">
        <v>1</v>
      </c>
      <c r="L455" t="s">
        <v>21</v>
      </c>
      <c r="M455" t="s">
        <v>29</v>
      </c>
      <c r="N455" t="s">
        <v>34</v>
      </c>
      <c r="O455" t="s">
        <v>43</v>
      </c>
      <c r="P455" t="str">
        <f t="shared" si="35"/>
        <v>30-39</v>
      </c>
      <c r="Q455" t="str">
        <f t="shared" si="36"/>
        <v>High</v>
      </c>
      <c r="R455" t="str">
        <f t="shared" si="37"/>
        <v>Senior</v>
      </c>
      <c r="S455" t="str">
        <f t="shared" si="38"/>
        <v>Needs Improvement</v>
      </c>
      <c r="T455" s="4" t="str">
        <f t="shared" si="39"/>
        <v>Dissatisfied</v>
      </c>
    </row>
    <row r="456" spans="1:20" x14ac:dyDescent="0.3">
      <c r="A456" t="s">
        <v>654</v>
      </c>
      <c r="B456" t="s">
        <v>191</v>
      </c>
      <c r="C456" t="s">
        <v>17</v>
      </c>
      <c r="D456">
        <v>24</v>
      </c>
      <c r="E456" t="s">
        <v>57</v>
      </c>
      <c r="F456" t="s">
        <v>50</v>
      </c>
      <c r="G456" t="s">
        <v>46</v>
      </c>
      <c r="H456">
        <v>100000</v>
      </c>
      <c r="I456">
        <v>3</v>
      </c>
      <c r="J456">
        <v>2</v>
      </c>
      <c r="K456">
        <v>1</v>
      </c>
      <c r="L456" t="s">
        <v>21</v>
      </c>
      <c r="M456" t="s">
        <v>21</v>
      </c>
      <c r="N456" t="s">
        <v>22</v>
      </c>
      <c r="O456" t="s">
        <v>51</v>
      </c>
      <c r="P456" t="str">
        <f t="shared" si="35"/>
        <v>20-29</v>
      </c>
      <c r="Q456" t="str">
        <f t="shared" si="36"/>
        <v>High</v>
      </c>
      <c r="R456" t="str">
        <f t="shared" si="37"/>
        <v>Mid-Level</v>
      </c>
      <c r="S456" t="str">
        <f t="shared" si="38"/>
        <v>Needs Improvement</v>
      </c>
      <c r="T456" s="4" t="str">
        <f t="shared" si="39"/>
        <v>Dissatisfied</v>
      </c>
    </row>
    <row r="457" spans="1:20" x14ac:dyDescent="0.3">
      <c r="A457" t="s">
        <v>655</v>
      </c>
      <c r="B457" t="s">
        <v>79</v>
      </c>
      <c r="C457" t="s">
        <v>17</v>
      </c>
      <c r="D457">
        <v>48</v>
      </c>
      <c r="E457" t="s">
        <v>18</v>
      </c>
      <c r="F457" t="s">
        <v>126</v>
      </c>
      <c r="G457" t="s">
        <v>46</v>
      </c>
      <c r="H457">
        <v>95000</v>
      </c>
      <c r="I457">
        <v>2</v>
      </c>
      <c r="J457">
        <v>3</v>
      </c>
      <c r="K457">
        <v>5</v>
      </c>
      <c r="L457" t="s">
        <v>21</v>
      </c>
      <c r="M457" t="s">
        <v>29</v>
      </c>
      <c r="N457" t="s">
        <v>34</v>
      </c>
      <c r="O457" t="s">
        <v>43</v>
      </c>
      <c r="P457" t="str">
        <f t="shared" si="35"/>
        <v>40-49</v>
      </c>
      <c r="Q457" t="str">
        <f t="shared" si="36"/>
        <v>High</v>
      </c>
      <c r="R457" t="str">
        <f t="shared" si="37"/>
        <v>Junior</v>
      </c>
      <c r="S457" t="str">
        <f t="shared" si="38"/>
        <v>Needs Improvement</v>
      </c>
      <c r="T457" s="4" t="str">
        <f t="shared" si="39"/>
        <v>Satisfied</v>
      </c>
    </row>
    <row r="458" spans="1:20" x14ac:dyDescent="0.3">
      <c r="A458" t="s">
        <v>656</v>
      </c>
      <c r="B458" t="s">
        <v>98</v>
      </c>
      <c r="C458" t="s">
        <v>37</v>
      </c>
      <c r="D458">
        <v>31</v>
      </c>
      <c r="E458" t="s">
        <v>66</v>
      </c>
      <c r="F458" t="s">
        <v>67</v>
      </c>
      <c r="G458" t="s">
        <v>46</v>
      </c>
      <c r="H458">
        <v>78000</v>
      </c>
      <c r="I458">
        <v>5</v>
      </c>
      <c r="J458">
        <v>2</v>
      </c>
      <c r="K458">
        <v>3</v>
      </c>
      <c r="L458" t="s">
        <v>21</v>
      </c>
      <c r="M458" t="s">
        <v>29</v>
      </c>
      <c r="N458" t="s">
        <v>34</v>
      </c>
      <c r="O458" t="s">
        <v>54</v>
      </c>
      <c r="P458" t="str">
        <f t="shared" si="35"/>
        <v>30-39</v>
      </c>
      <c r="Q458" t="str">
        <f t="shared" si="36"/>
        <v>High</v>
      </c>
      <c r="R458" t="str">
        <f t="shared" si="37"/>
        <v>Mid-Level</v>
      </c>
      <c r="S458" t="str">
        <f t="shared" si="38"/>
        <v>Needs Improvement</v>
      </c>
      <c r="T458" s="4" t="str">
        <f t="shared" si="39"/>
        <v>Neutral</v>
      </c>
    </row>
    <row r="459" spans="1:20" x14ac:dyDescent="0.3">
      <c r="A459" t="s">
        <v>657</v>
      </c>
      <c r="B459" t="s">
        <v>302</v>
      </c>
      <c r="C459" t="s">
        <v>37</v>
      </c>
      <c r="D459">
        <v>55</v>
      </c>
      <c r="E459" t="s">
        <v>41</v>
      </c>
      <c r="F459" t="s">
        <v>73</v>
      </c>
      <c r="G459" t="s">
        <v>28</v>
      </c>
      <c r="H459">
        <v>43000</v>
      </c>
      <c r="I459">
        <v>1</v>
      </c>
      <c r="J459">
        <v>4</v>
      </c>
      <c r="K459">
        <v>5</v>
      </c>
      <c r="L459" t="s">
        <v>21</v>
      </c>
      <c r="M459" t="s">
        <v>29</v>
      </c>
      <c r="N459" t="s">
        <v>22</v>
      </c>
      <c r="O459" t="s">
        <v>23</v>
      </c>
      <c r="P459" t="str">
        <f t="shared" si="35"/>
        <v>50+</v>
      </c>
      <c r="Q459" t="str">
        <f t="shared" si="36"/>
        <v>Medium</v>
      </c>
      <c r="R459" t="str">
        <f t="shared" si="37"/>
        <v>Junior</v>
      </c>
      <c r="S459" t="str">
        <f t="shared" si="38"/>
        <v>High Performer</v>
      </c>
      <c r="T459" s="4" t="str">
        <f t="shared" si="39"/>
        <v>Satisfied</v>
      </c>
    </row>
    <row r="460" spans="1:20" x14ac:dyDescent="0.3">
      <c r="A460" t="s">
        <v>658</v>
      </c>
      <c r="B460" t="s">
        <v>221</v>
      </c>
      <c r="C460" t="s">
        <v>37</v>
      </c>
      <c r="D460">
        <v>51</v>
      </c>
      <c r="E460" t="s">
        <v>26</v>
      </c>
      <c r="F460" t="s">
        <v>50</v>
      </c>
      <c r="G460" t="s">
        <v>33</v>
      </c>
      <c r="H460">
        <v>94000</v>
      </c>
      <c r="I460">
        <v>9</v>
      </c>
      <c r="J460">
        <v>2</v>
      </c>
      <c r="K460">
        <v>2</v>
      </c>
      <c r="L460" t="s">
        <v>29</v>
      </c>
      <c r="M460" t="s">
        <v>29</v>
      </c>
      <c r="N460" t="s">
        <v>22</v>
      </c>
      <c r="O460" t="s">
        <v>38</v>
      </c>
      <c r="P460" t="str">
        <f t="shared" si="35"/>
        <v>50+</v>
      </c>
      <c r="Q460" t="str">
        <f t="shared" si="36"/>
        <v>High</v>
      </c>
      <c r="R460" t="str">
        <f t="shared" si="37"/>
        <v>Senior</v>
      </c>
      <c r="S460" t="str">
        <f t="shared" si="38"/>
        <v>Needs Improvement</v>
      </c>
      <c r="T460" s="4" t="str">
        <f t="shared" si="39"/>
        <v>Dissatisfied</v>
      </c>
    </row>
    <row r="461" spans="1:20" x14ac:dyDescent="0.3">
      <c r="A461" t="s">
        <v>659</v>
      </c>
      <c r="B461" t="s">
        <v>205</v>
      </c>
      <c r="C461" t="s">
        <v>37</v>
      </c>
      <c r="D461">
        <v>54</v>
      </c>
      <c r="E461" t="s">
        <v>49</v>
      </c>
      <c r="F461" t="s">
        <v>27</v>
      </c>
      <c r="G461" t="s">
        <v>28</v>
      </c>
      <c r="H461">
        <v>108000</v>
      </c>
      <c r="I461">
        <v>11</v>
      </c>
      <c r="J461">
        <v>2</v>
      </c>
      <c r="K461">
        <v>1</v>
      </c>
      <c r="L461" t="s">
        <v>21</v>
      </c>
      <c r="M461" t="s">
        <v>29</v>
      </c>
      <c r="N461" t="s">
        <v>22</v>
      </c>
      <c r="O461" t="s">
        <v>51</v>
      </c>
      <c r="P461" t="str">
        <f t="shared" si="35"/>
        <v>50+</v>
      </c>
      <c r="Q461" t="str">
        <f t="shared" si="36"/>
        <v>High</v>
      </c>
      <c r="R461" t="str">
        <f t="shared" si="37"/>
        <v>Senior</v>
      </c>
      <c r="S461" t="str">
        <f t="shared" si="38"/>
        <v>Needs Improvement</v>
      </c>
      <c r="T461" s="4" t="str">
        <f t="shared" si="39"/>
        <v>Dissatisfied</v>
      </c>
    </row>
    <row r="462" spans="1:20" x14ac:dyDescent="0.3">
      <c r="A462" t="s">
        <v>660</v>
      </c>
      <c r="B462" t="s">
        <v>84</v>
      </c>
      <c r="C462" t="s">
        <v>37</v>
      </c>
      <c r="D462">
        <v>49</v>
      </c>
      <c r="E462" t="s">
        <v>26</v>
      </c>
      <c r="F462" t="s">
        <v>27</v>
      </c>
      <c r="G462" t="s">
        <v>28</v>
      </c>
      <c r="H462">
        <v>44000</v>
      </c>
      <c r="I462">
        <v>4</v>
      </c>
      <c r="J462">
        <v>2</v>
      </c>
      <c r="K462">
        <v>2</v>
      </c>
      <c r="L462" t="s">
        <v>29</v>
      </c>
      <c r="M462" t="s">
        <v>29</v>
      </c>
      <c r="N462" t="s">
        <v>22</v>
      </c>
      <c r="O462" t="s">
        <v>70</v>
      </c>
      <c r="P462" t="str">
        <f t="shared" si="35"/>
        <v>40-49</v>
      </c>
      <c r="Q462" t="str">
        <f t="shared" si="36"/>
        <v>Medium</v>
      </c>
      <c r="R462" t="str">
        <f t="shared" si="37"/>
        <v>Mid-Level</v>
      </c>
      <c r="S462" t="str">
        <f t="shared" si="38"/>
        <v>Needs Improvement</v>
      </c>
      <c r="T462" s="4" t="str">
        <f t="shared" si="39"/>
        <v>Dissatisfied</v>
      </c>
    </row>
    <row r="463" spans="1:20" x14ac:dyDescent="0.3">
      <c r="A463" t="s">
        <v>661</v>
      </c>
      <c r="B463" t="s">
        <v>357</v>
      </c>
      <c r="C463" t="s">
        <v>37</v>
      </c>
      <c r="D463">
        <v>51</v>
      </c>
      <c r="E463" t="s">
        <v>18</v>
      </c>
      <c r="F463" t="s">
        <v>126</v>
      </c>
      <c r="G463" t="s">
        <v>33</v>
      </c>
      <c r="H463">
        <v>32000</v>
      </c>
      <c r="I463">
        <v>10</v>
      </c>
      <c r="J463">
        <v>3</v>
      </c>
      <c r="K463">
        <v>4</v>
      </c>
      <c r="L463" t="s">
        <v>21</v>
      </c>
      <c r="M463" t="s">
        <v>29</v>
      </c>
      <c r="N463" t="s">
        <v>34</v>
      </c>
      <c r="O463" t="s">
        <v>23</v>
      </c>
      <c r="P463" t="str">
        <f t="shared" si="35"/>
        <v>50+</v>
      </c>
      <c r="Q463" t="str">
        <f t="shared" si="36"/>
        <v>Low</v>
      </c>
      <c r="R463" t="str">
        <f t="shared" si="37"/>
        <v>Senior</v>
      </c>
      <c r="S463" t="str">
        <f t="shared" si="38"/>
        <v>Needs Improvement</v>
      </c>
      <c r="T463" s="4" t="str">
        <f t="shared" si="39"/>
        <v>Satisfied</v>
      </c>
    </row>
    <row r="464" spans="1:20" x14ac:dyDescent="0.3">
      <c r="A464" t="s">
        <v>662</v>
      </c>
      <c r="B464" t="s">
        <v>61</v>
      </c>
      <c r="C464" t="s">
        <v>37</v>
      </c>
      <c r="D464">
        <v>31</v>
      </c>
      <c r="E464" t="s">
        <v>26</v>
      </c>
      <c r="F464" t="s">
        <v>50</v>
      </c>
      <c r="G464" t="s">
        <v>46</v>
      </c>
      <c r="H464">
        <v>47000</v>
      </c>
      <c r="I464">
        <v>5</v>
      </c>
      <c r="J464">
        <v>3</v>
      </c>
      <c r="K464">
        <v>2</v>
      </c>
      <c r="L464" t="s">
        <v>21</v>
      </c>
      <c r="M464" t="s">
        <v>21</v>
      </c>
      <c r="N464" t="s">
        <v>22</v>
      </c>
      <c r="O464" t="s">
        <v>70</v>
      </c>
      <c r="P464" t="str">
        <f t="shared" si="35"/>
        <v>30-39</v>
      </c>
      <c r="Q464" t="str">
        <f t="shared" si="36"/>
        <v>Medium</v>
      </c>
      <c r="R464" t="str">
        <f t="shared" si="37"/>
        <v>Mid-Level</v>
      </c>
      <c r="S464" t="str">
        <f t="shared" si="38"/>
        <v>Needs Improvement</v>
      </c>
      <c r="T464" s="4" t="str">
        <f t="shared" si="39"/>
        <v>Dissatisfied</v>
      </c>
    </row>
    <row r="465" spans="1:20" x14ac:dyDescent="0.3">
      <c r="A465" t="s">
        <v>663</v>
      </c>
      <c r="B465" t="s">
        <v>295</v>
      </c>
      <c r="C465" t="s">
        <v>37</v>
      </c>
      <c r="D465">
        <v>48</v>
      </c>
      <c r="E465" t="s">
        <v>49</v>
      </c>
      <c r="F465" t="s">
        <v>27</v>
      </c>
      <c r="G465" t="s">
        <v>28</v>
      </c>
      <c r="H465">
        <v>36000</v>
      </c>
      <c r="I465">
        <v>10</v>
      </c>
      <c r="J465">
        <v>5</v>
      </c>
      <c r="K465">
        <v>1</v>
      </c>
      <c r="L465" t="s">
        <v>29</v>
      </c>
      <c r="M465" t="s">
        <v>29</v>
      </c>
      <c r="N465" t="s">
        <v>34</v>
      </c>
      <c r="O465" t="s">
        <v>23</v>
      </c>
      <c r="P465" t="str">
        <f t="shared" si="35"/>
        <v>40-49</v>
      </c>
      <c r="Q465" t="str">
        <f t="shared" si="36"/>
        <v>Low</v>
      </c>
      <c r="R465" t="str">
        <f t="shared" si="37"/>
        <v>Senior</v>
      </c>
      <c r="S465" t="str">
        <f t="shared" si="38"/>
        <v>High Performer</v>
      </c>
      <c r="T465" s="4" t="str">
        <f t="shared" si="39"/>
        <v>Dissatisfied</v>
      </c>
    </row>
    <row r="466" spans="1:20" x14ac:dyDescent="0.3">
      <c r="A466" t="s">
        <v>664</v>
      </c>
      <c r="B466" t="s">
        <v>191</v>
      </c>
      <c r="C466" t="s">
        <v>37</v>
      </c>
      <c r="D466">
        <v>42</v>
      </c>
      <c r="E466" t="s">
        <v>66</v>
      </c>
      <c r="F466" t="s">
        <v>67</v>
      </c>
      <c r="G466" t="s">
        <v>28</v>
      </c>
      <c r="H466">
        <v>55000</v>
      </c>
      <c r="I466">
        <v>17</v>
      </c>
      <c r="J466">
        <v>2</v>
      </c>
      <c r="K466">
        <v>1</v>
      </c>
      <c r="L466" t="s">
        <v>21</v>
      </c>
      <c r="M466" t="s">
        <v>21</v>
      </c>
      <c r="N466" t="s">
        <v>22</v>
      </c>
      <c r="O466" t="s">
        <v>38</v>
      </c>
      <c r="P466" t="str">
        <f t="shared" si="35"/>
        <v>40-49</v>
      </c>
      <c r="Q466" t="str">
        <f t="shared" si="36"/>
        <v>Medium</v>
      </c>
      <c r="R466" t="str">
        <f t="shared" si="37"/>
        <v>Senior</v>
      </c>
      <c r="S466" t="str">
        <f t="shared" si="38"/>
        <v>Needs Improvement</v>
      </c>
      <c r="T466" s="4" t="str">
        <f t="shared" si="39"/>
        <v>Dissatisfied</v>
      </c>
    </row>
    <row r="467" spans="1:20" x14ac:dyDescent="0.3">
      <c r="A467" t="s">
        <v>665</v>
      </c>
      <c r="B467" t="s">
        <v>666</v>
      </c>
      <c r="C467" t="s">
        <v>17</v>
      </c>
      <c r="D467">
        <v>37</v>
      </c>
      <c r="E467" t="s">
        <v>26</v>
      </c>
      <c r="F467" t="s">
        <v>27</v>
      </c>
      <c r="G467" t="s">
        <v>46</v>
      </c>
      <c r="H467">
        <v>84000</v>
      </c>
      <c r="I467">
        <v>16</v>
      </c>
      <c r="J467">
        <v>4</v>
      </c>
      <c r="K467">
        <v>4</v>
      </c>
      <c r="L467" t="s">
        <v>29</v>
      </c>
      <c r="M467" t="s">
        <v>29</v>
      </c>
      <c r="N467" t="s">
        <v>22</v>
      </c>
      <c r="O467" t="s">
        <v>75</v>
      </c>
      <c r="P467" t="str">
        <f t="shared" si="35"/>
        <v>30-39</v>
      </c>
      <c r="Q467" t="str">
        <f t="shared" si="36"/>
        <v>High</v>
      </c>
      <c r="R467" t="str">
        <f t="shared" si="37"/>
        <v>Senior</v>
      </c>
      <c r="S467" t="str">
        <f t="shared" si="38"/>
        <v>High Performer</v>
      </c>
      <c r="T467" s="4" t="str">
        <f t="shared" si="39"/>
        <v>Satisfied</v>
      </c>
    </row>
    <row r="468" spans="1:20" x14ac:dyDescent="0.3">
      <c r="A468" t="s">
        <v>667</v>
      </c>
      <c r="B468" t="s">
        <v>292</v>
      </c>
      <c r="C468" t="s">
        <v>37</v>
      </c>
      <c r="D468">
        <v>34</v>
      </c>
      <c r="E468" t="s">
        <v>41</v>
      </c>
      <c r="F468" t="s">
        <v>42</v>
      </c>
      <c r="G468" t="s">
        <v>46</v>
      </c>
      <c r="H468">
        <v>45000</v>
      </c>
      <c r="I468">
        <v>10</v>
      </c>
      <c r="J468">
        <v>4</v>
      </c>
      <c r="K468">
        <v>1</v>
      </c>
      <c r="L468" t="s">
        <v>21</v>
      </c>
      <c r="M468" t="s">
        <v>21</v>
      </c>
      <c r="N468" t="s">
        <v>22</v>
      </c>
      <c r="O468" t="s">
        <v>51</v>
      </c>
      <c r="P468" t="str">
        <f t="shared" si="35"/>
        <v>30-39</v>
      </c>
      <c r="Q468" t="str">
        <f t="shared" si="36"/>
        <v>Medium</v>
      </c>
      <c r="R468" t="str">
        <f t="shared" si="37"/>
        <v>Senior</v>
      </c>
      <c r="S468" t="str">
        <f t="shared" si="38"/>
        <v>High Performer</v>
      </c>
      <c r="T468" s="4" t="str">
        <f t="shared" si="39"/>
        <v>Dissatisfied</v>
      </c>
    </row>
    <row r="469" spans="1:20" x14ac:dyDescent="0.3">
      <c r="A469" t="s">
        <v>668</v>
      </c>
      <c r="B469" t="s">
        <v>372</v>
      </c>
      <c r="C469" t="s">
        <v>37</v>
      </c>
      <c r="D469">
        <v>29</v>
      </c>
      <c r="E469" t="s">
        <v>66</v>
      </c>
      <c r="F469" t="s">
        <v>82</v>
      </c>
      <c r="G469" t="s">
        <v>46</v>
      </c>
      <c r="H469">
        <v>99000</v>
      </c>
      <c r="I469">
        <v>8</v>
      </c>
      <c r="J469">
        <v>2</v>
      </c>
      <c r="K469">
        <v>2</v>
      </c>
      <c r="L469" t="s">
        <v>29</v>
      </c>
      <c r="M469" t="s">
        <v>29</v>
      </c>
      <c r="N469" t="s">
        <v>34</v>
      </c>
      <c r="O469" t="s">
        <v>54</v>
      </c>
      <c r="P469" t="str">
        <f t="shared" si="35"/>
        <v>20-29</v>
      </c>
      <c r="Q469" t="str">
        <f t="shared" si="36"/>
        <v>High</v>
      </c>
      <c r="R469" t="str">
        <f t="shared" si="37"/>
        <v>Senior</v>
      </c>
      <c r="S469" t="str">
        <f t="shared" si="38"/>
        <v>Needs Improvement</v>
      </c>
      <c r="T469" s="4" t="str">
        <f t="shared" si="39"/>
        <v>Dissatisfied</v>
      </c>
    </row>
    <row r="470" spans="1:20" x14ac:dyDescent="0.3">
      <c r="A470" t="s">
        <v>669</v>
      </c>
      <c r="B470" t="s">
        <v>354</v>
      </c>
      <c r="C470" t="s">
        <v>17</v>
      </c>
      <c r="D470">
        <v>44</v>
      </c>
      <c r="E470" t="s">
        <v>66</v>
      </c>
      <c r="F470" t="s">
        <v>67</v>
      </c>
      <c r="G470" t="s">
        <v>46</v>
      </c>
      <c r="H470">
        <v>28000</v>
      </c>
      <c r="I470">
        <v>9</v>
      </c>
      <c r="J470">
        <v>4</v>
      </c>
      <c r="K470">
        <v>2</v>
      </c>
      <c r="L470" t="s">
        <v>21</v>
      </c>
      <c r="M470" t="s">
        <v>29</v>
      </c>
      <c r="N470" t="s">
        <v>34</v>
      </c>
      <c r="O470" t="s">
        <v>75</v>
      </c>
      <c r="P470" t="str">
        <f t="shared" si="35"/>
        <v>40-49</v>
      </c>
      <c r="Q470" t="str">
        <f t="shared" si="36"/>
        <v>Low</v>
      </c>
      <c r="R470" t="str">
        <f t="shared" si="37"/>
        <v>Senior</v>
      </c>
      <c r="S470" t="str">
        <f t="shared" si="38"/>
        <v>High Performer</v>
      </c>
      <c r="T470" s="4" t="str">
        <f t="shared" si="39"/>
        <v>Dissatisfied</v>
      </c>
    </row>
    <row r="471" spans="1:20" x14ac:dyDescent="0.3">
      <c r="A471" t="s">
        <v>670</v>
      </c>
      <c r="B471" t="s">
        <v>40</v>
      </c>
      <c r="C471" t="s">
        <v>17</v>
      </c>
      <c r="D471">
        <v>41</v>
      </c>
      <c r="E471" t="s">
        <v>49</v>
      </c>
      <c r="F471" t="s">
        <v>27</v>
      </c>
      <c r="G471" t="s">
        <v>33</v>
      </c>
      <c r="H471">
        <v>43000</v>
      </c>
      <c r="I471">
        <v>12</v>
      </c>
      <c r="J471">
        <v>5</v>
      </c>
      <c r="K471">
        <v>3</v>
      </c>
      <c r="L471" t="s">
        <v>21</v>
      </c>
      <c r="M471" t="s">
        <v>29</v>
      </c>
      <c r="N471" t="s">
        <v>34</v>
      </c>
      <c r="O471" t="s">
        <v>70</v>
      </c>
      <c r="P471" t="str">
        <f t="shared" si="35"/>
        <v>40-49</v>
      </c>
      <c r="Q471" t="str">
        <f t="shared" si="36"/>
        <v>Medium</v>
      </c>
      <c r="R471" t="str">
        <f t="shared" si="37"/>
        <v>Senior</v>
      </c>
      <c r="S471" t="str">
        <f t="shared" si="38"/>
        <v>High Performer</v>
      </c>
      <c r="T471" s="4" t="str">
        <f t="shared" si="39"/>
        <v>Neutral</v>
      </c>
    </row>
    <row r="472" spans="1:20" x14ac:dyDescent="0.3">
      <c r="A472" t="s">
        <v>671</v>
      </c>
      <c r="B472" t="s">
        <v>370</v>
      </c>
      <c r="C472" t="s">
        <v>17</v>
      </c>
      <c r="D472">
        <v>39</v>
      </c>
      <c r="E472" t="s">
        <v>18</v>
      </c>
      <c r="F472" t="s">
        <v>19</v>
      </c>
      <c r="G472" t="s">
        <v>28</v>
      </c>
      <c r="H472">
        <v>34000</v>
      </c>
      <c r="I472">
        <v>4</v>
      </c>
      <c r="J472">
        <v>2</v>
      </c>
      <c r="K472">
        <v>5</v>
      </c>
      <c r="L472" t="s">
        <v>21</v>
      </c>
      <c r="M472" t="s">
        <v>29</v>
      </c>
      <c r="N472" t="s">
        <v>34</v>
      </c>
      <c r="O472" t="s">
        <v>75</v>
      </c>
      <c r="P472" t="str">
        <f t="shared" si="35"/>
        <v>30-39</v>
      </c>
      <c r="Q472" t="str">
        <f t="shared" si="36"/>
        <v>Low</v>
      </c>
      <c r="R472" t="str">
        <f t="shared" si="37"/>
        <v>Mid-Level</v>
      </c>
      <c r="S472" t="str">
        <f t="shared" si="38"/>
        <v>Needs Improvement</v>
      </c>
      <c r="T472" s="4" t="str">
        <f t="shared" si="39"/>
        <v>Satisfied</v>
      </c>
    </row>
    <row r="473" spans="1:20" x14ac:dyDescent="0.3">
      <c r="A473" t="s">
        <v>672</v>
      </c>
      <c r="B473" t="s">
        <v>414</v>
      </c>
      <c r="C473" t="s">
        <v>37</v>
      </c>
      <c r="D473">
        <v>41</v>
      </c>
      <c r="E473" t="s">
        <v>49</v>
      </c>
      <c r="F473" t="s">
        <v>50</v>
      </c>
      <c r="G473" t="s">
        <v>20</v>
      </c>
      <c r="H473">
        <v>41000</v>
      </c>
      <c r="I473">
        <v>10</v>
      </c>
      <c r="J473">
        <v>5</v>
      </c>
      <c r="K473">
        <v>2</v>
      </c>
      <c r="L473" t="s">
        <v>21</v>
      </c>
      <c r="M473" t="s">
        <v>29</v>
      </c>
      <c r="N473" t="s">
        <v>34</v>
      </c>
      <c r="O473" t="s">
        <v>75</v>
      </c>
      <c r="P473" t="str">
        <f t="shared" si="35"/>
        <v>40-49</v>
      </c>
      <c r="Q473" t="str">
        <f t="shared" si="36"/>
        <v>Medium</v>
      </c>
      <c r="R473" t="str">
        <f t="shared" si="37"/>
        <v>Senior</v>
      </c>
      <c r="S473" t="str">
        <f t="shared" si="38"/>
        <v>High Performer</v>
      </c>
      <c r="T473" s="4" t="str">
        <f t="shared" si="39"/>
        <v>Dissatisfied</v>
      </c>
    </row>
    <row r="474" spans="1:20" x14ac:dyDescent="0.3">
      <c r="A474" t="s">
        <v>673</v>
      </c>
      <c r="B474" t="s">
        <v>267</v>
      </c>
      <c r="C474" t="s">
        <v>37</v>
      </c>
      <c r="D474">
        <v>54</v>
      </c>
      <c r="E474" t="s">
        <v>18</v>
      </c>
      <c r="F474" t="s">
        <v>126</v>
      </c>
      <c r="G474" t="s">
        <v>20</v>
      </c>
      <c r="H474">
        <v>62000</v>
      </c>
      <c r="I474">
        <v>9</v>
      </c>
      <c r="J474">
        <v>3</v>
      </c>
      <c r="K474">
        <v>5</v>
      </c>
      <c r="L474" t="s">
        <v>29</v>
      </c>
      <c r="M474" t="s">
        <v>29</v>
      </c>
      <c r="N474" t="s">
        <v>34</v>
      </c>
      <c r="O474" t="s">
        <v>38</v>
      </c>
      <c r="P474" t="str">
        <f t="shared" si="35"/>
        <v>50+</v>
      </c>
      <c r="Q474" t="str">
        <f t="shared" si="36"/>
        <v>Medium</v>
      </c>
      <c r="R474" t="str">
        <f t="shared" si="37"/>
        <v>Senior</v>
      </c>
      <c r="S474" t="str">
        <f t="shared" si="38"/>
        <v>Needs Improvement</v>
      </c>
      <c r="T474" s="4" t="str">
        <f t="shared" si="39"/>
        <v>Satisfied</v>
      </c>
    </row>
    <row r="475" spans="1:20" x14ac:dyDescent="0.3">
      <c r="A475" t="s">
        <v>674</v>
      </c>
      <c r="B475" t="s">
        <v>142</v>
      </c>
      <c r="C475" t="s">
        <v>17</v>
      </c>
      <c r="D475">
        <v>33</v>
      </c>
      <c r="E475" t="s">
        <v>57</v>
      </c>
      <c r="F475" t="s">
        <v>27</v>
      </c>
      <c r="G475" t="s">
        <v>20</v>
      </c>
      <c r="H475">
        <v>78000</v>
      </c>
      <c r="I475">
        <v>5</v>
      </c>
      <c r="J475">
        <v>5</v>
      </c>
      <c r="K475">
        <v>3</v>
      </c>
      <c r="L475" t="s">
        <v>21</v>
      </c>
      <c r="M475" t="s">
        <v>21</v>
      </c>
      <c r="N475" t="s">
        <v>22</v>
      </c>
      <c r="O475" t="s">
        <v>75</v>
      </c>
      <c r="P475" t="str">
        <f t="shared" si="35"/>
        <v>30-39</v>
      </c>
      <c r="Q475" t="str">
        <f t="shared" si="36"/>
        <v>High</v>
      </c>
      <c r="R475" t="str">
        <f t="shared" si="37"/>
        <v>Mid-Level</v>
      </c>
      <c r="S475" t="str">
        <f t="shared" si="38"/>
        <v>High Performer</v>
      </c>
      <c r="T475" s="4" t="str">
        <f t="shared" si="39"/>
        <v>Neutral</v>
      </c>
    </row>
    <row r="476" spans="1:20" x14ac:dyDescent="0.3">
      <c r="A476" t="s">
        <v>675</v>
      </c>
      <c r="B476" t="s">
        <v>229</v>
      </c>
      <c r="C476" t="s">
        <v>37</v>
      </c>
      <c r="D476">
        <v>54</v>
      </c>
      <c r="E476" t="s">
        <v>57</v>
      </c>
      <c r="F476" t="s">
        <v>50</v>
      </c>
      <c r="G476" t="s">
        <v>20</v>
      </c>
      <c r="H476">
        <v>63000</v>
      </c>
      <c r="I476">
        <v>16</v>
      </c>
      <c r="J476">
        <v>2</v>
      </c>
      <c r="K476">
        <v>5</v>
      </c>
      <c r="L476" t="s">
        <v>21</v>
      </c>
      <c r="M476" t="s">
        <v>29</v>
      </c>
      <c r="N476" t="s">
        <v>34</v>
      </c>
      <c r="O476" t="s">
        <v>51</v>
      </c>
      <c r="P476" t="str">
        <f t="shared" si="35"/>
        <v>50+</v>
      </c>
      <c r="Q476" t="str">
        <f t="shared" si="36"/>
        <v>Medium</v>
      </c>
      <c r="R476" t="str">
        <f t="shared" si="37"/>
        <v>Senior</v>
      </c>
      <c r="S476" t="str">
        <f t="shared" si="38"/>
        <v>Needs Improvement</v>
      </c>
      <c r="T476" s="4" t="str">
        <f t="shared" si="39"/>
        <v>Satisfied</v>
      </c>
    </row>
    <row r="477" spans="1:20" x14ac:dyDescent="0.3">
      <c r="A477" t="s">
        <v>676</v>
      </c>
      <c r="B477" t="s">
        <v>40</v>
      </c>
      <c r="C477" t="s">
        <v>17</v>
      </c>
      <c r="D477">
        <v>24</v>
      </c>
      <c r="E477" t="s">
        <v>18</v>
      </c>
      <c r="F477" t="s">
        <v>126</v>
      </c>
      <c r="G477" t="s">
        <v>46</v>
      </c>
      <c r="H477">
        <v>53000</v>
      </c>
      <c r="I477">
        <v>0</v>
      </c>
      <c r="J477">
        <v>4</v>
      </c>
      <c r="K477">
        <v>4</v>
      </c>
      <c r="L477" t="s">
        <v>21</v>
      </c>
      <c r="M477" t="s">
        <v>29</v>
      </c>
      <c r="N477" t="s">
        <v>22</v>
      </c>
      <c r="O477" t="s">
        <v>70</v>
      </c>
      <c r="P477" t="str">
        <f t="shared" si="35"/>
        <v>20-29</v>
      </c>
      <c r="Q477" t="str">
        <f t="shared" si="36"/>
        <v>Medium</v>
      </c>
      <c r="R477" t="str">
        <f t="shared" si="37"/>
        <v>Junior</v>
      </c>
      <c r="S477" t="str">
        <f t="shared" si="38"/>
        <v>High Performer</v>
      </c>
      <c r="T477" s="4" t="str">
        <f t="shared" si="39"/>
        <v>Satisfied</v>
      </c>
    </row>
    <row r="478" spans="1:20" x14ac:dyDescent="0.3">
      <c r="A478" t="s">
        <v>677</v>
      </c>
      <c r="B478" t="s">
        <v>678</v>
      </c>
      <c r="C478" t="s">
        <v>37</v>
      </c>
      <c r="D478">
        <v>23</v>
      </c>
      <c r="E478" t="s">
        <v>49</v>
      </c>
      <c r="F478" t="s">
        <v>27</v>
      </c>
      <c r="G478" t="s">
        <v>46</v>
      </c>
      <c r="H478">
        <v>55000</v>
      </c>
      <c r="I478">
        <v>2</v>
      </c>
      <c r="J478">
        <v>3</v>
      </c>
      <c r="K478">
        <v>3</v>
      </c>
      <c r="L478" t="s">
        <v>29</v>
      </c>
      <c r="M478" t="s">
        <v>29</v>
      </c>
      <c r="N478" t="s">
        <v>34</v>
      </c>
      <c r="O478" t="s">
        <v>51</v>
      </c>
      <c r="P478" t="str">
        <f t="shared" si="35"/>
        <v>20-29</v>
      </c>
      <c r="Q478" t="str">
        <f t="shared" si="36"/>
        <v>Medium</v>
      </c>
      <c r="R478" t="str">
        <f t="shared" si="37"/>
        <v>Junior</v>
      </c>
      <c r="S478" t="str">
        <f t="shared" si="38"/>
        <v>Needs Improvement</v>
      </c>
      <c r="T478" s="4" t="str">
        <f t="shared" si="39"/>
        <v>Neutral</v>
      </c>
    </row>
    <row r="479" spans="1:20" x14ac:dyDescent="0.3">
      <c r="A479" t="s">
        <v>679</v>
      </c>
      <c r="B479" t="s">
        <v>510</v>
      </c>
      <c r="C479" t="s">
        <v>37</v>
      </c>
      <c r="D479">
        <v>35</v>
      </c>
      <c r="E479" t="s">
        <v>26</v>
      </c>
      <c r="F479" t="s">
        <v>27</v>
      </c>
      <c r="G479" t="s">
        <v>28</v>
      </c>
      <c r="H479">
        <v>100000</v>
      </c>
      <c r="I479">
        <v>14</v>
      </c>
      <c r="J479">
        <v>5</v>
      </c>
      <c r="K479">
        <v>2</v>
      </c>
      <c r="L479" t="s">
        <v>29</v>
      </c>
      <c r="M479" t="s">
        <v>29</v>
      </c>
      <c r="N479" t="s">
        <v>22</v>
      </c>
      <c r="O479" t="s">
        <v>70</v>
      </c>
      <c r="P479" t="str">
        <f t="shared" si="35"/>
        <v>30-39</v>
      </c>
      <c r="Q479" t="str">
        <f t="shared" si="36"/>
        <v>High</v>
      </c>
      <c r="R479" t="str">
        <f t="shared" si="37"/>
        <v>Senior</v>
      </c>
      <c r="S479" t="str">
        <f t="shared" si="38"/>
        <v>High Performer</v>
      </c>
      <c r="T479" s="4" t="str">
        <f t="shared" si="39"/>
        <v>Dissatisfied</v>
      </c>
    </row>
    <row r="480" spans="1:20" x14ac:dyDescent="0.3">
      <c r="A480" t="s">
        <v>680</v>
      </c>
      <c r="B480" t="s">
        <v>372</v>
      </c>
      <c r="C480" t="s">
        <v>37</v>
      </c>
      <c r="D480">
        <v>32</v>
      </c>
      <c r="E480" t="s">
        <v>41</v>
      </c>
      <c r="F480" t="s">
        <v>73</v>
      </c>
      <c r="G480" t="s">
        <v>28</v>
      </c>
      <c r="H480">
        <v>104000</v>
      </c>
      <c r="I480">
        <v>9</v>
      </c>
      <c r="J480">
        <v>3</v>
      </c>
      <c r="K480">
        <v>4</v>
      </c>
      <c r="L480" t="s">
        <v>21</v>
      </c>
      <c r="M480" t="s">
        <v>29</v>
      </c>
      <c r="N480" t="s">
        <v>22</v>
      </c>
      <c r="O480" t="s">
        <v>75</v>
      </c>
      <c r="P480" t="str">
        <f t="shared" si="35"/>
        <v>30-39</v>
      </c>
      <c r="Q480" t="str">
        <f t="shared" si="36"/>
        <v>High</v>
      </c>
      <c r="R480" t="str">
        <f t="shared" si="37"/>
        <v>Senior</v>
      </c>
      <c r="S480" t="str">
        <f t="shared" si="38"/>
        <v>Needs Improvement</v>
      </c>
      <c r="T480" s="4" t="str">
        <f t="shared" si="39"/>
        <v>Satisfied</v>
      </c>
    </row>
    <row r="481" spans="1:20" x14ac:dyDescent="0.3">
      <c r="A481" t="s">
        <v>681</v>
      </c>
      <c r="B481" t="s">
        <v>678</v>
      </c>
      <c r="C481" t="s">
        <v>17</v>
      </c>
      <c r="D481">
        <v>51</v>
      </c>
      <c r="E481" t="s">
        <v>41</v>
      </c>
      <c r="F481" t="s">
        <v>73</v>
      </c>
      <c r="G481" t="s">
        <v>28</v>
      </c>
      <c r="H481">
        <v>30000</v>
      </c>
      <c r="I481">
        <v>10</v>
      </c>
      <c r="J481">
        <v>5</v>
      </c>
      <c r="K481">
        <v>4</v>
      </c>
      <c r="L481" t="s">
        <v>29</v>
      </c>
      <c r="M481" t="s">
        <v>29</v>
      </c>
      <c r="N481" t="s">
        <v>22</v>
      </c>
      <c r="O481" t="s">
        <v>51</v>
      </c>
      <c r="P481" t="str">
        <f t="shared" si="35"/>
        <v>50+</v>
      </c>
      <c r="Q481" t="str">
        <f t="shared" si="36"/>
        <v>Low</v>
      </c>
      <c r="R481" t="str">
        <f t="shared" si="37"/>
        <v>Senior</v>
      </c>
      <c r="S481" t="str">
        <f t="shared" si="38"/>
        <v>High Performer</v>
      </c>
      <c r="T481" s="4" t="str">
        <f t="shared" si="39"/>
        <v>Satisfied</v>
      </c>
    </row>
    <row r="482" spans="1:20" x14ac:dyDescent="0.3">
      <c r="A482" t="s">
        <v>682</v>
      </c>
      <c r="B482" t="s">
        <v>53</v>
      </c>
      <c r="C482" t="s">
        <v>17</v>
      </c>
      <c r="D482">
        <v>38</v>
      </c>
      <c r="E482" t="s">
        <v>49</v>
      </c>
      <c r="F482" t="s">
        <v>27</v>
      </c>
      <c r="G482" t="s">
        <v>46</v>
      </c>
      <c r="H482">
        <v>66000</v>
      </c>
      <c r="I482">
        <v>2</v>
      </c>
      <c r="J482">
        <v>3</v>
      </c>
      <c r="K482">
        <v>5</v>
      </c>
      <c r="L482" t="s">
        <v>21</v>
      </c>
      <c r="M482" t="s">
        <v>21</v>
      </c>
      <c r="N482" t="s">
        <v>22</v>
      </c>
      <c r="O482" t="s">
        <v>23</v>
      </c>
      <c r="P482" t="str">
        <f t="shared" si="35"/>
        <v>30-39</v>
      </c>
      <c r="Q482" t="str">
        <f t="shared" si="36"/>
        <v>Medium</v>
      </c>
      <c r="R482" t="str">
        <f t="shared" si="37"/>
        <v>Junior</v>
      </c>
      <c r="S482" t="str">
        <f t="shared" si="38"/>
        <v>Needs Improvement</v>
      </c>
      <c r="T482" s="4" t="str">
        <f t="shared" si="39"/>
        <v>Satisfied</v>
      </c>
    </row>
    <row r="483" spans="1:20" x14ac:dyDescent="0.3">
      <c r="A483" t="s">
        <v>683</v>
      </c>
      <c r="B483" t="s">
        <v>16</v>
      </c>
      <c r="C483" t="s">
        <v>37</v>
      </c>
      <c r="D483">
        <v>38</v>
      </c>
      <c r="E483" t="s">
        <v>26</v>
      </c>
      <c r="F483" t="s">
        <v>27</v>
      </c>
      <c r="G483" t="s">
        <v>20</v>
      </c>
      <c r="H483">
        <v>34000</v>
      </c>
      <c r="I483">
        <v>6</v>
      </c>
      <c r="J483">
        <v>3</v>
      </c>
      <c r="K483">
        <v>2</v>
      </c>
      <c r="L483" t="s">
        <v>29</v>
      </c>
      <c r="M483" t="s">
        <v>29</v>
      </c>
      <c r="N483" t="s">
        <v>22</v>
      </c>
      <c r="O483" t="s">
        <v>70</v>
      </c>
      <c r="P483" t="str">
        <f t="shared" si="35"/>
        <v>30-39</v>
      </c>
      <c r="Q483" t="str">
        <f t="shared" si="36"/>
        <v>Low</v>
      </c>
      <c r="R483" t="str">
        <f t="shared" si="37"/>
        <v>Mid-Level</v>
      </c>
      <c r="S483" t="str">
        <f t="shared" si="38"/>
        <v>Needs Improvement</v>
      </c>
      <c r="T483" s="4" t="str">
        <f t="shared" si="39"/>
        <v>Dissatisfied</v>
      </c>
    </row>
    <row r="484" spans="1:20" x14ac:dyDescent="0.3">
      <c r="A484" t="s">
        <v>684</v>
      </c>
      <c r="B484" t="s">
        <v>397</v>
      </c>
      <c r="C484" t="s">
        <v>37</v>
      </c>
      <c r="D484">
        <v>27</v>
      </c>
      <c r="E484" t="s">
        <v>26</v>
      </c>
      <c r="F484" t="s">
        <v>27</v>
      </c>
      <c r="G484" t="s">
        <v>33</v>
      </c>
      <c r="H484">
        <v>92000</v>
      </c>
      <c r="I484">
        <v>6</v>
      </c>
      <c r="J484">
        <v>3</v>
      </c>
      <c r="K484">
        <v>5</v>
      </c>
      <c r="L484" t="s">
        <v>21</v>
      </c>
      <c r="M484" t="s">
        <v>29</v>
      </c>
      <c r="N484" t="s">
        <v>22</v>
      </c>
      <c r="O484" t="s">
        <v>43</v>
      </c>
      <c r="P484" t="str">
        <f t="shared" si="35"/>
        <v>20-29</v>
      </c>
      <c r="Q484" t="str">
        <f t="shared" si="36"/>
        <v>High</v>
      </c>
      <c r="R484" t="str">
        <f t="shared" si="37"/>
        <v>Mid-Level</v>
      </c>
      <c r="S484" t="str">
        <f t="shared" si="38"/>
        <v>Needs Improvement</v>
      </c>
      <c r="T484" s="4" t="str">
        <f t="shared" si="39"/>
        <v>Satisfied</v>
      </c>
    </row>
    <row r="485" spans="1:20" x14ac:dyDescent="0.3">
      <c r="A485" t="s">
        <v>685</v>
      </c>
      <c r="B485" t="s">
        <v>160</v>
      </c>
      <c r="C485" t="s">
        <v>37</v>
      </c>
      <c r="D485">
        <v>25</v>
      </c>
      <c r="E485" t="s">
        <v>49</v>
      </c>
      <c r="F485" t="s">
        <v>27</v>
      </c>
      <c r="G485" t="s">
        <v>33</v>
      </c>
      <c r="H485">
        <v>67000</v>
      </c>
      <c r="I485">
        <v>4</v>
      </c>
      <c r="J485">
        <v>3</v>
      </c>
      <c r="K485">
        <v>1</v>
      </c>
      <c r="L485" t="s">
        <v>29</v>
      </c>
      <c r="M485" t="s">
        <v>29</v>
      </c>
      <c r="N485" t="s">
        <v>34</v>
      </c>
      <c r="O485" t="s">
        <v>70</v>
      </c>
      <c r="P485" t="str">
        <f t="shared" si="35"/>
        <v>20-29</v>
      </c>
      <c r="Q485" t="str">
        <f t="shared" si="36"/>
        <v>Medium</v>
      </c>
      <c r="R485" t="str">
        <f t="shared" si="37"/>
        <v>Mid-Level</v>
      </c>
      <c r="S485" t="str">
        <f t="shared" si="38"/>
        <v>Needs Improvement</v>
      </c>
      <c r="T485" s="4" t="str">
        <f t="shared" si="39"/>
        <v>Dissatisfied</v>
      </c>
    </row>
    <row r="486" spans="1:20" x14ac:dyDescent="0.3">
      <c r="A486" t="s">
        <v>686</v>
      </c>
      <c r="B486" t="s">
        <v>326</v>
      </c>
      <c r="C486" t="s">
        <v>37</v>
      </c>
      <c r="D486">
        <v>45</v>
      </c>
      <c r="E486" t="s">
        <v>18</v>
      </c>
      <c r="F486" t="s">
        <v>19</v>
      </c>
      <c r="G486" t="s">
        <v>20</v>
      </c>
      <c r="H486">
        <v>94000</v>
      </c>
      <c r="I486">
        <v>19</v>
      </c>
      <c r="J486">
        <v>2</v>
      </c>
      <c r="K486">
        <v>3</v>
      </c>
      <c r="L486" t="s">
        <v>29</v>
      </c>
      <c r="M486" t="s">
        <v>29</v>
      </c>
      <c r="N486" t="s">
        <v>34</v>
      </c>
      <c r="O486" t="s">
        <v>70</v>
      </c>
      <c r="P486" t="str">
        <f t="shared" si="35"/>
        <v>40-49</v>
      </c>
      <c r="Q486" t="str">
        <f t="shared" si="36"/>
        <v>High</v>
      </c>
      <c r="R486" t="str">
        <f t="shared" si="37"/>
        <v>Senior</v>
      </c>
      <c r="S486" t="str">
        <f t="shared" si="38"/>
        <v>Needs Improvement</v>
      </c>
      <c r="T486" s="4" t="str">
        <f t="shared" si="39"/>
        <v>Neutral</v>
      </c>
    </row>
    <row r="487" spans="1:20" x14ac:dyDescent="0.3">
      <c r="A487" t="s">
        <v>687</v>
      </c>
      <c r="B487" t="s">
        <v>308</v>
      </c>
      <c r="C487" t="s">
        <v>17</v>
      </c>
      <c r="D487">
        <v>41</v>
      </c>
      <c r="E487" t="s">
        <v>26</v>
      </c>
      <c r="F487" t="s">
        <v>50</v>
      </c>
      <c r="G487" t="s">
        <v>33</v>
      </c>
      <c r="H487">
        <v>76000</v>
      </c>
      <c r="I487">
        <v>6</v>
      </c>
      <c r="J487">
        <v>3</v>
      </c>
      <c r="K487">
        <v>4</v>
      </c>
      <c r="L487" t="s">
        <v>21</v>
      </c>
      <c r="M487" t="s">
        <v>29</v>
      </c>
      <c r="N487" t="s">
        <v>22</v>
      </c>
      <c r="O487" t="s">
        <v>75</v>
      </c>
      <c r="P487" t="str">
        <f t="shared" si="35"/>
        <v>40-49</v>
      </c>
      <c r="Q487" t="str">
        <f t="shared" si="36"/>
        <v>High</v>
      </c>
      <c r="R487" t="str">
        <f t="shared" si="37"/>
        <v>Mid-Level</v>
      </c>
      <c r="S487" t="str">
        <f t="shared" si="38"/>
        <v>Needs Improvement</v>
      </c>
      <c r="T487" s="4" t="str">
        <f t="shared" si="39"/>
        <v>Satisfied</v>
      </c>
    </row>
    <row r="488" spans="1:20" x14ac:dyDescent="0.3">
      <c r="A488" t="s">
        <v>688</v>
      </c>
      <c r="B488" t="s">
        <v>179</v>
      </c>
      <c r="C488" t="s">
        <v>17</v>
      </c>
      <c r="D488">
        <v>41</v>
      </c>
      <c r="E488" t="s">
        <v>49</v>
      </c>
      <c r="F488" t="s">
        <v>50</v>
      </c>
      <c r="G488" t="s">
        <v>20</v>
      </c>
      <c r="H488">
        <v>57000</v>
      </c>
      <c r="I488">
        <v>11</v>
      </c>
      <c r="J488">
        <v>5</v>
      </c>
      <c r="K488">
        <v>1</v>
      </c>
      <c r="L488" t="s">
        <v>29</v>
      </c>
      <c r="M488" t="s">
        <v>29</v>
      </c>
      <c r="N488" t="s">
        <v>34</v>
      </c>
      <c r="O488" t="s">
        <v>38</v>
      </c>
      <c r="P488" t="str">
        <f t="shared" si="35"/>
        <v>40-49</v>
      </c>
      <c r="Q488" t="str">
        <f t="shared" si="36"/>
        <v>Medium</v>
      </c>
      <c r="R488" t="str">
        <f t="shared" si="37"/>
        <v>Senior</v>
      </c>
      <c r="S488" t="str">
        <f t="shared" si="38"/>
        <v>High Performer</v>
      </c>
      <c r="T488" s="4" t="str">
        <f t="shared" si="39"/>
        <v>Dissatisfied</v>
      </c>
    </row>
    <row r="489" spans="1:20" x14ac:dyDescent="0.3">
      <c r="A489" t="s">
        <v>689</v>
      </c>
      <c r="B489" t="s">
        <v>172</v>
      </c>
      <c r="C489" t="s">
        <v>17</v>
      </c>
      <c r="D489">
        <v>35</v>
      </c>
      <c r="E489" t="s">
        <v>26</v>
      </c>
      <c r="F489" t="s">
        <v>50</v>
      </c>
      <c r="G489" t="s">
        <v>33</v>
      </c>
      <c r="H489">
        <v>96000</v>
      </c>
      <c r="I489">
        <v>14</v>
      </c>
      <c r="J489">
        <v>5</v>
      </c>
      <c r="K489">
        <v>3</v>
      </c>
      <c r="L489" t="s">
        <v>21</v>
      </c>
      <c r="M489" t="s">
        <v>29</v>
      </c>
      <c r="N489" t="s">
        <v>22</v>
      </c>
      <c r="O489" t="s">
        <v>43</v>
      </c>
      <c r="P489" t="str">
        <f t="shared" si="35"/>
        <v>30-39</v>
      </c>
      <c r="Q489" t="str">
        <f t="shared" si="36"/>
        <v>High</v>
      </c>
      <c r="R489" t="str">
        <f t="shared" si="37"/>
        <v>Senior</v>
      </c>
      <c r="S489" t="str">
        <f t="shared" si="38"/>
        <v>High Performer</v>
      </c>
      <c r="T489" s="4" t="str">
        <f t="shared" si="39"/>
        <v>Neutral</v>
      </c>
    </row>
    <row r="490" spans="1:20" x14ac:dyDescent="0.3">
      <c r="A490" t="s">
        <v>690</v>
      </c>
      <c r="B490" t="s">
        <v>98</v>
      </c>
      <c r="C490" t="s">
        <v>17</v>
      </c>
      <c r="D490">
        <v>54</v>
      </c>
      <c r="E490" t="s">
        <v>66</v>
      </c>
      <c r="F490" t="s">
        <v>67</v>
      </c>
      <c r="G490" t="s">
        <v>46</v>
      </c>
      <c r="H490">
        <v>95000</v>
      </c>
      <c r="I490">
        <v>8</v>
      </c>
      <c r="J490">
        <v>3</v>
      </c>
      <c r="K490">
        <v>4</v>
      </c>
      <c r="L490" t="s">
        <v>29</v>
      </c>
      <c r="M490" t="s">
        <v>29</v>
      </c>
      <c r="N490" t="s">
        <v>34</v>
      </c>
      <c r="O490" t="s">
        <v>75</v>
      </c>
      <c r="P490" t="str">
        <f t="shared" si="35"/>
        <v>50+</v>
      </c>
      <c r="Q490" t="str">
        <f t="shared" si="36"/>
        <v>High</v>
      </c>
      <c r="R490" t="str">
        <f t="shared" si="37"/>
        <v>Senior</v>
      </c>
      <c r="S490" t="str">
        <f t="shared" si="38"/>
        <v>Needs Improvement</v>
      </c>
      <c r="T490" s="4" t="str">
        <f t="shared" si="39"/>
        <v>Satisfied</v>
      </c>
    </row>
    <row r="491" spans="1:20" x14ac:dyDescent="0.3">
      <c r="A491" t="s">
        <v>691</v>
      </c>
      <c r="B491" t="s">
        <v>320</v>
      </c>
      <c r="C491" t="s">
        <v>17</v>
      </c>
      <c r="D491">
        <v>28</v>
      </c>
      <c r="E491" t="s">
        <v>41</v>
      </c>
      <c r="F491" t="s">
        <v>73</v>
      </c>
      <c r="G491" t="s">
        <v>46</v>
      </c>
      <c r="H491">
        <v>89000</v>
      </c>
      <c r="I491">
        <v>1</v>
      </c>
      <c r="J491">
        <v>3</v>
      </c>
      <c r="K491">
        <v>1</v>
      </c>
      <c r="L491" t="s">
        <v>21</v>
      </c>
      <c r="M491" t="s">
        <v>29</v>
      </c>
      <c r="N491" t="s">
        <v>22</v>
      </c>
      <c r="O491" t="s">
        <v>75</v>
      </c>
      <c r="P491" t="str">
        <f t="shared" si="35"/>
        <v>20-29</v>
      </c>
      <c r="Q491" t="str">
        <f t="shared" si="36"/>
        <v>High</v>
      </c>
      <c r="R491" t="str">
        <f t="shared" si="37"/>
        <v>Junior</v>
      </c>
      <c r="S491" t="str">
        <f t="shared" si="38"/>
        <v>Needs Improvement</v>
      </c>
      <c r="T491" s="4" t="str">
        <f t="shared" si="39"/>
        <v>Dissatisfied</v>
      </c>
    </row>
    <row r="492" spans="1:20" x14ac:dyDescent="0.3">
      <c r="A492" t="s">
        <v>692</v>
      </c>
      <c r="B492" t="s">
        <v>149</v>
      </c>
      <c r="C492" t="s">
        <v>17</v>
      </c>
      <c r="D492">
        <v>23</v>
      </c>
      <c r="E492" t="s">
        <v>41</v>
      </c>
      <c r="F492" t="s">
        <v>73</v>
      </c>
      <c r="G492" t="s">
        <v>20</v>
      </c>
      <c r="H492">
        <v>109000</v>
      </c>
      <c r="I492">
        <v>1</v>
      </c>
      <c r="J492">
        <v>5</v>
      </c>
      <c r="K492">
        <v>3</v>
      </c>
      <c r="L492" t="s">
        <v>21</v>
      </c>
      <c r="M492" t="s">
        <v>29</v>
      </c>
      <c r="N492" t="s">
        <v>34</v>
      </c>
      <c r="O492" t="s">
        <v>30</v>
      </c>
      <c r="P492" t="str">
        <f t="shared" si="35"/>
        <v>20-29</v>
      </c>
      <c r="Q492" t="str">
        <f t="shared" si="36"/>
        <v>High</v>
      </c>
      <c r="R492" t="str">
        <f t="shared" si="37"/>
        <v>Junior</v>
      </c>
      <c r="S492" t="str">
        <f t="shared" si="38"/>
        <v>High Performer</v>
      </c>
      <c r="T492" s="4" t="str">
        <f t="shared" si="39"/>
        <v>Neutral</v>
      </c>
    </row>
    <row r="493" spans="1:20" x14ac:dyDescent="0.3">
      <c r="A493" t="s">
        <v>693</v>
      </c>
      <c r="B493" t="s">
        <v>273</v>
      </c>
      <c r="C493" t="s">
        <v>17</v>
      </c>
      <c r="D493">
        <v>44</v>
      </c>
      <c r="E493" t="s">
        <v>18</v>
      </c>
      <c r="F493" t="s">
        <v>126</v>
      </c>
      <c r="G493" t="s">
        <v>28</v>
      </c>
      <c r="H493">
        <v>92000</v>
      </c>
      <c r="I493">
        <v>9</v>
      </c>
      <c r="J493">
        <v>3</v>
      </c>
      <c r="K493">
        <v>5</v>
      </c>
      <c r="L493" t="s">
        <v>29</v>
      </c>
      <c r="M493" t="s">
        <v>29</v>
      </c>
      <c r="N493" t="s">
        <v>22</v>
      </c>
      <c r="O493" t="s">
        <v>38</v>
      </c>
      <c r="P493" t="str">
        <f t="shared" si="35"/>
        <v>40-49</v>
      </c>
      <c r="Q493" t="str">
        <f t="shared" si="36"/>
        <v>High</v>
      </c>
      <c r="R493" t="str">
        <f t="shared" si="37"/>
        <v>Senior</v>
      </c>
      <c r="S493" t="str">
        <f t="shared" si="38"/>
        <v>Needs Improvement</v>
      </c>
      <c r="T493" s="4" t="str">
        <f t="shared" si="39"/>
        <v>Satisfied</v>
      </c>
    </row>
    <row r="494" spans="1:20" x14ac:dyDescent="0.3">
      <c r="A494" t="s">
        <v>694</v>
      </c>
      <c r="B494" t="s">
        <v>292</v>
      </c>
      <c r="C494" t="s">
        <v>17</v>
      </c>
      <c r="D494">
        <v>43</v>
      </c>
      <c r="E494" t="s">
        <v>18</v>
      </c>
      <c r="F494" t="s">
        <v>126</v>
      </c>
      <c r="G494" t="s">
        <v>20</v>
      </c>
      <c r="H494">
        <v>43000</v>
      </c>
      <c r="I494">
        <v>0</v>
      </c>
      <c r="J494">
        <v>5</v>
      </c>
      <c r="K494">
        <v>1</v>
      </c>
      <c r="L494" t="s">
        <v>21</v>
      </c>
      <c r="M494" t="s">
        <v>21</v>
      </c>
      <c r="N494" t="s">
        <v>34</v>
      </c>
      <c r="O494" t="s">
        <v>38</v>
      </c>
      <c r="P494" t="str">
        <f t="shared" si="35"/>
        <v>40-49</v>
      </c>
      <c r="Q494" t="str">
        <f t="shared" si="36"/>
        <v>Medium</v>
      </c>
      <c r="R494" t="str">
        <f t="shared" si="37"/>
        <v>Junior</v>
      </c>
      <c r="S494" t="str">
        <f t="shared" si="38"/>
        <v>High Performer</v>
      </c>
      <c r="T494" s="4" t="str">
        <f t="shared" si="39"/>
        <v>Dissatisfied</v>
      </c>
    </row>
    <row r="495" spans="1:20" x14ac:dyDescent="0.3">
      <c r="A495" t="s">
        <v>695</v>
      </c>
      <c r="B495" t="s">
        <v>197</v>
      </c>
      <c r="C495" t="s">
        <v>37</v>
      </c>
      <c r="D495">
        <v>44</v>
      </c>
      <c r="E495" t="s">
        <v>57</v>
      </c>
      <c r="F495" t="s">
        <v>50</v>
      </c>
      <c r="G495" t="s">
        <v>20</v>
      </c>
      <c r="H495">
        <v>82000</v>
      </c>
      <c r="I495">
        <v>12</v>
      </c>
      <c r="J495">
        <v>3</v>
      </c>
      <c r="K495">
        <v>4</v>
      </c>
      <c r="L495" t="s">
        <v>21</v>
      </c>
      <c r="M495" t="s">
        <v>21</v>
      </c>
      <c r="N495" t="s">
        <v>22</v>
      </c>
      <c r="O495" t="s">
        <v>30</v>
      </c>
      <c r="P495" t="str">
        <f t="shared" si="35"/>
        <v>40-49</v>
      </c>
      <c r="Q495" t="str">
        <f t="shared" si="36"/>
        <v>High</v>
      </c>
      <c r="R495" t="str">
        <f t="shared" si="37"/>
        <v>Senior</v>
      </c>
      <c r="S495" t="str">
        <f t="shared" si="38"/>
        <v>Needs Improvement</v>
      </c>
      <c r="T495" s="4" t="str">
        <f t="shared" si="39"/>
        <v>Satisfied</v>
      </c>
    </row>
    <row r="496" spans="1:20" x14ac:dyDescent="0.3">
      <c r="A496" t="s">
        <v>696</v>
      </c>
      <c r="B496" t="s">
        <v>125</v>
      </c>
      <c r="C496" t="s">
        <v>17</v>
      </c>
      <c r="D496">
        <v>24</v>
      </c>
      <c r="E496" t="s">
        <v>41</v>
      </c>
      <c r="F496" t="s">
        <v>73</v>
      </c>
      <c r="G496" t="s">
        <v>20</v>
      </c>
      <c r="H496">
        <v>63000</v>
      </c>
      <c r="I496">
        <v>3</v>
      </c>
      <c r="J496">
        <v>3</v>
      </c>
      <c r="K496">
        <v>5</v>
      </c>
      <c r="L496" t="s">
        <v>29</v>
      </c>
      <c r="M496" t="s">
        <v>29</v>
      </c>
      <c r="N496" t="s">
        <v>34</v>
      </c>
      <c r="O496" t="s">
        <v>70</v>
      </c>
      <c r="P496" t="str">
        <f t="shared" si="35"/>
        <v>20-29</v>
      </c>
      <c r="Q496" t="str">
        <f t="shared" si="36"/>
        <v>Medium</v>
      </c>
      <c r="R496" t="str">
        <f t="shared" si="37"/>
        <v>Mid-Level</v>
      </c>
      <c r="S496" t="str">
        <f t="shared" si="38"/>
        <v>Needs Improvement</v>
      </c>
      <c r="T496" s="4" t="str">
        <f t="shared" si="39"/>
        <v>Satisfied</v>
      </c>
    </row>
    <row r="497" spans="1:20" x14ac:dyDescent="0.3">
      <c r="A497" t="s">
        <v>697</v>
      </c>
      <c r="B497" t="s">
        <v>56</v>
      </c>
      <c r="C497" t="s">
        <v>17</v>
      </c>
      <c r="D497">
        <v>51</v>
      </c>
      <c r="E497" t="s">
        <v>66</v>
      </c>
      <c r="F497" t="s">
        <v>67</v>
      </c>
      <c r="G497" t="s">
        <v>28</v>
      </c>
      <c r="H497">
        <v>51000</v>
      </c>
      <c r="I497">
        <v>10</v>
      </c>
      <c r="J497">
        <v>4</v>
      </c>
      <c r="K497">
        <v>5</v>
      </c>
      <c r="L497" t="s">
        <v>21</v>
      </c>
      <c r="M497" t="s">
        <v>29</v>
      </c>
      <c r="N497" t="s">
        <v>34</v>
      </c>
      <c r="O497" t="s">
        <v>54</v>
      </c>
      <c r="P497" t="str">
        <f t="shared" si="35"/>
        <v>50+</v>
      </c>
      <c r="Q497" t="str">
        <f t="shared" si="36"/>
        <v>Medium</v>
      </c>
      <c r="R497" t="str">
        <f t="shared" si="37"/>
        <v>Senior</v>
      </c>
      <c r="S497" t="str">
        <f t="shared" si="38"/>
        <v>High Performer</v>
      </c>
      <c r="T497" s="4" t="str">
        <f t="shared" si="39"/>
        <v>Satisfied</v>
      </c>
    </row>
    <row r="498" spans="1:20" x14ac:dyDescent="0.3">
      <c r="A498" t="s">
        <v>698</v>
      </c>
      <c r="B498" t="s">
        <v>59</v>
      </c>
      <c r="C498" t="s">
        <v>17</v>
      </c>
      <c r="D498">
        <v>38</v>
      </c>
      <c r="E498" t="s">
        <v>49</v>
      </c>
      <c r="F498" t="s">
        <v>50</v>
      </c>
      <c r="G498" t="s">
        <v>28</v>
      </c>
      <c r="H498">
        <v>98000</v>
      </c>
      <c r="I498">
        <v>1</v>
      </c>
      <c r="J498">
        <v>3</v>
      </c>
      <c r="K498">
        <v>5</v>
      </c>
      <c r="L498" t="s">
        <v>29</v>
      </c>
      <c r="M498" t="s">
        <v>29</v>
      </c>
      <c r="N498" t="s">
        <v>22</v>
      </c>
      <c r="O498" t="s">
        <v>38</v>
      </c>
      <c r="P498" t="str">
        <f t="shared" si="35"/>
        <v>30-39</v>
      </c>
      <c r="Q498" t="str">
        <f t="shared" si="36"/>
        <v>High</v>
      </c>
      <c r="R498" t="str">
        <f t="shared" si="37"/>
        <v>Junior</v>
      </c>
      <c r="S498" t="str">
        <f t="shared" si="38"/>
        <v>Needs Improvement</v>
      </c>
      <c r="T498" s="4" t="str">
        <f t="shared" si="39"/>
        <v>Satisfied</v>
      </c>
    </row>
    <row r="499" spans="1:20" x14ac:dyDescent="0.3">
      <c r="A499" t="s">
        <v>699</v>
      </c>
      <c r="B499" t="s">
        <v>529</v>
      </c>
      <c r="C499" t="s">
        <v>17</v>
      </c>
      <c r="D499">
        <v>45</v>
      </c>
      <c r="E499" t="s">
        <v>41</v>
      </c>
      <c r="F499" t="s">
        <v>73</v>
      </c>
      <c r="G499" t="s">
        <v>33</v>
      </c>
      <c r="H499">
        <v>113000</v>
      </c>
      <c r="I499">
        <v>7</v>
      </c>
      <c r="J499">
        <v>3</v>
      </c>
      <c r="K499">
        <v>3</v>
      </c>
      <c r="L499" t="s">
        <v>21</v>
      </c>
      <c r="M499" t="s">
        <v>29</v>
      </c>
      <c r="N499" t="s">
        <v>22</v>
      </c>
      <c r="O499" t="s">
        <v>30</v>
      </c>
      <c r="P499" t="str">
        <f t="shared" si="35"/>
        <v>40-49</v>
      </c>
      <c r="Q499" t="str">
        <f t="shared" si="36"/>
        <v>High</v>
      </c>
      <c r="R499" t="str">
        <f t="shared" si="37"/>
        <v>Senior</v>
      </c>
      <c r="S499" t="str">
        <f t="shared" si="38"/>
        <v>Needs Improvement</v>
      </c>
      <c r="T499" s="4" t="str">
        <f t="shared" si="39"/>
        <v>Neutral</v>
      </c>
    </row>
    <row r="500" spans="1:20" x14ac:dyDescent="0.3">
      <c r="A500" t="s">
        <v>700</v>
      </c>
      <c r="B500" t="s">
        <v>122</v>
      </c>
      <c r="C500" t="s">
        <v>37</v>
      </c>
      <c r="D500">
        <v>40</v>
      </c>
      <c r="E500" t="s">
        <v>41</v>
      </c>
      <c r="F500" t="s">
        <v>42</v>
      </c>
      <c r="G500" t="s">
        <v>28</v>
      </c>
      <c r="H500">
        <v>111000</v>
      </c>
      <c r="I500">
        <v>9</v>
      </c>
      <c r="J500">
        <v>4</v>
      </c>
      <c r="K500">
        <v>5</v>
      </c>
      <c r="L500" t="s">
        <v>29</v>
      </c>
      <c r="M500" t="s">
        <v>29</v>
      </c>
      <c r="N500" t="s">
        <v>22</v>
      </c>
      <c r="O500" t="s">
        <v>38</v>
      </c>
      <c r="P500" t="str">
        <f t="shared" si="35"/>
        <v>40-49</v>
      </c>
      <c r="Q500" t="str">
        <f t="shared" si="36"/>
        <v>High</v>
      </c>
      <c r="R500" t="str">
        <f t="shared" si="37"/>
        <v>Senior</v>
      </c>
      <c r="S500" t="str">
        <f t="shared" si="38"/>
        <v>High Performer</v>
      </c>
      <c r="T500" s="4" t="str">
        <f t="shared" si="39"/>
        <v>Satisfied</v>
      </c>
    </row>
    <row r="501" spans="1:20" x14ac:dyDescent="0.3">
      <c r="A501" t="s">
        <v>701</v>
      </c>
      <c r="B501" t="s">
        <v>253</v>
      </c>
      <c r="C501" t="s">
        <v>17</v>
      </c>
      <c r="D501">
        <v>31</v>
      </c>
      <c r="E501" t="s">
        <v>66</v>
      </c>
      <c r="F501" t="s">
        <v>82</v>
      </c>
      <c r="G501" t="s">
        <v>46</v>
      </c>
      <c r="H501">
        <v>25000</v>
      </c>
      <c r="I501">
        <v>10</v>
      </c>
      <c r="J501">
        <v>5</v>
      </c>
      <c r="K501">
        <v>2</v>
      </c>
      <c r="L501" t="s">
        <v>21</v>
      </c>
      <c r="M501" t="s">
        <v>29</v>
      </c>
      <c r="N501" t="s">
        <v>22</v>
      </c>
      <c r="O501" t="s">
        <v>54</v>
      </c>
      <c r="P501" t="str">
        <f t="shared" si="35"/>
        <v>30-39</v>
      </c>
      <c r="Q501" t="str">
        <f t="shared" si="36"/>
        <v>Low</v>
      </c>
      <c r="R501" t="str">
        <f t="shared" si="37"/>
        <v>Senior</v>
      </c>
      <c r="S501" t="str">
        <f t="shared" si="38"/>
        <v>High Performer</v>
      </c>
      <c r="T501" s="4" t="str">
        <f t="shared" si="39"/>
        <v>Dissatisfied</v>
      </c>
    </row>
    <row r="502" spans="1:20" x14ac:dyDescent="0.3">
      <c r="A502" t="s">
        <v>702</v>
      </c>
      <c r="B502" t="s">
        <v>263</v>
      </c>
      <c r="C502" t="s">
        <v>37</v>
      </c>
      <c r="D502">
        <v>43</v>
      </c>
      <c r="E502" t="s">
        <v>49</v>
      </c>
      <c r="F502" t="s">
        <v>27</v>
      </c>
      <c r="G502" t="s">
        <v>20</v>
      </c>
      <c r="H502">
        <v>45000</v>
      </c>
      <c r="I502">
        <v>0</v>
      </c>
      <c r="J502">
        <v>4</v>
      </c>
      <c r="K502">
        <v>5</v>
      </c>
      <c r="L502" t="s">
        <v>29</v>
      </c>
      <c r="M502" t="s">
        <v>29</v>
      </c>
      <c r="N502" t="s">
        <v>34</v>
      </c>
      <c r="O502" t="s">
        <v>70</v>
      </c>
      <c r="P502" t="str">
        <f t="shared" si="35"/>
        <v>40-49</v>
      </c>
      <c r="Q502" t="str">
        <f t="shared" si="36"/>
        <v>Medium</v>
      </c>
      <c r="R502" t="str">
        <f t="shared" si="37"/>
        <v>Junior</v>
      </c>
      <c r="S502" t="str">
        <f t="shared" si="38"/>
        <v>High Performer</v>
      </c>
      <c r="T502" s="4" t="str">
        <f t="shared" si="39"/>
        <v>Satisfied</v>
      </c>
    </row>
    <row r="503" spans="1:20" x14ac:dyDescent="0.3">
      <c r="A503" t="s">
        <v>703</v>
      </c>
      <c r="B503" t="s">
        <v>219</v>
      </c>
      <c r="C503" t="s">
        <v>37</v>
      </c>
      <c r="D503">
        <v>53</v>
      </c>
      <c r="E503" t="s">
        <v>57</v>
      </c>
      <c r="F503" t="s">
        <v>27</v>
      </c>
      <c r="G503" t="s">
        <v>33</v>
      </c>
      <c r="H503">
        <v>63000</v>
      </c>
      <c r="I503">
        <v>13</v>
      </c>
      <c r="J503">
        <v>3</v>
      </c>
      <c r="K503">
        <v>4</v>
      </c>
      <c r="L503" t="s">
        <v>21</v>
      </c>
      <c r="M503" t="s">
        <v>29</v>
      </c>
      <c r="N503" t="s">
        <v>22</v>
      </c>
      <c r="O503" t="s">
        <v>38</v>
      </c>
      <c r="P503" t="str">
        <f t="shared" si="35"/>
        <v>50+</v>
      </c>
      <c r="Q503" t="str">
        <f t="shared" si="36"/>
        <v>Medium</v>
      </c>
      <c r="R503" t="str">
        <f t="shared" si="37"/>
        <v>Senior</v>
      </c>
      <c r="S503" t="str">
        <f t="shared" si="38"/>
        <v>Needs Improvement</v>
      </c>
      <c r="T503" s="4" t="str">
        <f t="shared" si="39"/>
        <v>Satisfied</v>
      </c>
    </row>
    <row r="504" spans="1:20" x14ac:dyDescent="0.3">
      <c r="A504" t="s">
        <v>704</v>
      </c>
      <c r="B504" t="s">
        <v>633</v>
      </c>
      <c r="C504" t="s">
        <v>37</v>
      </c>
      <c r="D504">
        <v>33</v>
      </c>
      <c r="E504" t="s">
        <v>18</v>
      </c>
      <c r="F504" t="s">
        <v>126</v>
      </c>
      <c r="G504" t="s">
        <v>28</v>
      </c>
      <c r="H504">
        <v>66000</v>
      </c>
      <c r="I504">
        <v>12</v>
      </c>
      <c r="J504">
        <v>4</v>
      </c>
      <c r="K504">
        <v>3</v>
      </c>
      <c r="L504" t="s">
        <v>21</v>
      </c>
      <c r="M504" t="s">
        <v>29</v>
      </c>
      <c r="N504" t="s">
        <v>34</v>
      </c>
      <c r="O504" t="s">
        <v>43</v>
      </c>
      <c r="P504" t="str">
        <f t="shared" si="35"/>
        <v>30-39</v>
      </c>
      <c r="Q504" t="str">
        <f t="shared" si="36"/>
        <v>Medium</v>
      </c>
      <c r="R504" t="str">
        <f t="shared" si="37"/>
        <v>Senior</v>
      </c>
      <c r="S504" t="str">
        <f t="shared" si="38"/>
        <v>High Performer</v>
      </c>
      <c r="T504" s="4" t="str">
        <f t="shared" si="39"/>
        <v>Neutral</v>
      </c>
    </row>
    <row r="505" spans="1:20" x14ac:dyDescent="0.3">
      <c r="A505" t="s">
        <v>705</v>
      </c>
      <c r="B505" t="s">
        <v>706</v>
      </c>
      <c r="C505" t="s">
        <v>17</v>
      </c>
      <c r="D505">
        <v>22</v>
      </c>
      <c r="E505" t="s">
        <v>26</v>
      </c>
      <c r="F505" t="s">
        <v>50</v>
      </c>
      <c r="G505" t="s">
        <v>33</v>
      </c>
      <c r="H505">
        <v>101000</v>
      </c>
      <c r="I505">
        <v>1</v>
      </c>
      <c r="J505">
        <v>5</v>
      </c>
      <c r="K505">
        <v>1</v>
      </c>
      <c r="L505" t="s">
        <v>29</v>
      </c>
      <c r="M505" t="s">
        <v>29</v>
      </c>
      <c r="N505" t="s">
        <v>22</v>
      </c>
      <c r="O505" t="s">
        <v>51</v>
      </c>
      <c r="P505" t="str">
        <f t="shared" si="35"/>
        <v>20-29</v>
      </c>
      <c r="Q505" t="str">
        <f t="shared" si="36"/>
        <v>High</v>
      </c>
      <c r="R505" t="str">
        <f t="shared" si="37"/>
        <v>Junior</v>
      </c>
      <c r="S505" t="str">
        <f t="shared" si="38"/>
        <v>High Performer</v>
      </c>
      <c r="T505" s="4" t="str">
        <f t="shared" si="39"/>
        <v>Dissatisfied</v>
      </c>
    </row>
    <row r="506" spans="1:20" x14ac:dyDescent="0.3">
      <c r="A506" t="s">
        <v>707</v>
      </c>
      <c r="B506" t="s">
        <v>59</v>
      </c>
      <c r="C506" t="s">
        <v>37</v>
      </c>
      <c r="D506">
        <v>51</v>
      </c>
      <c r="E506" t="s">
        <v>18</v>
      </c>
      <c r="F506" t="s">
        <v>19</v>
      </c>
      <c r="G506" t="s">
        <v>46</v>
      </c>
      <c r="H506">
        <v>80000</v>
      </c>
      <c r="I506">
        <v>5</v>
      </c>
      <c r="J506">
        <v>3</v>
      </c>
      <c r="K506">
        <v>4</v>
      </c>
      <c r="L506" t="s">
        <v>21</v>
      </c>
      <c r="M506" t="s">
        <v>29</v>
      </c>
      <c r="N506" t="s">
        <v>22</v>
      </c>
      <c r="O506" t="s">
        <v>43</v>
      </c>
      <c r="P506" t="str">
        <f t="shared" si="35"/>
        <v>50+</v>
      </c>
      <c r="Q506" t="str">
        <f t="shared" si="36"/>
        <v>High</v>
      </c>
      <c r="R506" t="str">
        <f t="shared" si="37"/>
        <v>Mid-Level</v>
      </c>
      <c r="S506" t="str">
        <f t="shared" si="38"/>
        <v>Needs Improvement</v>
      </c>
      <c r="T506" s="4" t="str">
        <f t="shared" si="39"/>
        <v>Satisfied</v>
      </c>
    </row>
    <row r="507" spans="1:20" x14ac:dyDescent="0.3">
      <c r="A507" t="s">
        <v>708</v>
      </c>
      <c r="B507" t="s">
        <v>709</v>
      </c>
      <c r="C507" t="s">
        <v>17</v>
      </c>
      <c r="D507">
        <v>34</v>
      </c>
      <c r="E507" t="s">
        <v>49</v>
      </c>
      <c r="F507" t="s">
        <v>27</v>
      </c>
      <c r="G507" t="s">
        <v>46</v>
      </c>
      <c r="H507">
        <v>44000</v>
      </c>
      <c r="I507">
        <v>13</v>
      </c>
      <c r="J507">
        <v>5</v>
      </c>
      <c r="K507">
        <v>1</v>
      </c>
      <c r="L507" t="s">
        <v>21</v>
      </c>
      <c r="M507" t="s">
        <v>21</v>
      </c>
      <c r="N507" t="s">
        <v>34</v>
      </c>
      <c r="O507" t="s">
        <v>51</v>
      </c>
      <c r="P507" t="str">
        <f t="shared" si="35"/>
        <v>30-39</v>
      </c>
      <c r="Q507" t="str">
        <f t="shared" si="36"/>
        <v>Medium</v>
      </c>
      <c r="R507" t="str">
        <f t="shared" si="37"/>
        <v>Senior</v>
      </c>
      <c r="S507" t="str">
        <f t="shared" si="38"/>
        <v>High Performer</v>
      </c>
      <c r="T507" s="4" t="str">
        <f t="shared" si="39"/>
        <v>Dissatisfied</v>
      </c>
    </row>
    <row r="508" spans="1:20" x14ac:dyDescent="0.3">
      <c r="A508" t="s">
        <v>710</v>
      </c>
      <c r="B508" t="s">
        <v>16</v>
      </c>
      <c r="C508" t="s">
        <v>37</v>
      </c>
      <c r="D508">
        <v>49</v>
      </c>
      <c r="E508" t="s">
        <v>57</v>
      </c>
      <c r="F508" t="s">
        <v>27</v>
      </c>
      <c r="G508" t="s">
        <v>46</v>
      </c>
      <c r="H508">
        <v>100000</v>
      </c>
      <c r="I508">
        <v>3</v>
      </c>
      <c r="J508">
        <v>4</v>
      </c>
      <c r="K508">
        <v>4</v>
      </c>
      <c r="L508" t="s">
        <v>21</v>
      </c>
      <c r="M508" t="s">
        <v>29</v>
      </c>
      <c r="N508" t="s">
        <v>22</v>
      </c>
      <c r="O508" t="s">
        <v>38</v>
      </c>
      <c r="P508" t="str">
        <f t="shared" si="35"/>
        <v>40-49</v>
      </c>
      <c r="Q508" t="str">
        <f t="shared" si="36"/>
        <v>High</v>
      </c>
      <c r="R508" t="str">
        <f t="shared" si="37"/>
        <v>Mid-Level</v>
      </c>
      <c r="S508" t="str">
        <f t="shared" si="38"/>
        <v>High Performer</v>
      </c>
      <c r="T508" s="4" t="str">
        <f t="shared" si="39"/>
        <v>Satisfied</v>
      </c>
    </row>
    <row r="509" spans="1:20" x14ac:dyDescent="0.3">
      <c r="A509" t="s">
        <v>711</v>
      </c>
      <c r="B509" t="s">
        <v>203</v>
      </c>
      <c r="C509" t="s">
        <v>37</v>
      </c>
      <c r="D509">
        <v>29</v>
      </c>
      <c r="E509" t="s">
        <v>57</v>
      </c>
      <c r="F509" t="s">
        <v>50</v>
      </c>
      <c r="G509" t="s">
        <v>28</v>
      </c>
      <c r="H509">
        <v>47000</v>
      </c>
      <c r="I509">
        <v>8</v>
      </c>
      <c r="J509">
        <v>4</v>
      </c>
      <c r="K509">
        <v>2</v>
      </c>
      <c r="L509" t="s">
        <v>21</v>
      </c>
      <c r="M509" t="s">
        <v>29</v>
      </c>
      <c r="N509" t="s">
        <v>22</v>
      </c>
      <c r="O509" t="s">
        <v>54</v>
      </c>
      <c r="P509" t="str">
        <f t="shared" si="35"/>
        <v>20-29</v>
      </c>
      <c r="Q509" t="str">
        <f t="shared" si="36"/>
        <v>Medium</v>
      </c>
      <c r="R509" t="str">
        <f t="shared" si="37"/>
        <v>Senior</v>
      </c>
      <c r="S509" t="str">
        <f t="shared" si="38"/>
        <v>High Performer</v>
      </c>
      <c r="T509" s="4" t="str">
        <f t="shared" si="39"/>
        <v>Dissatisfied</v>
      </c>
    </row>
    <row r="510" spans="1:20" x14ac:dyDescent="0.3">
      <c r="A510" t="s">
        <v>712</v>
      </c>
      <c r="B510" t="s">
        <v>486</v>
      </c>
      <c r="C510" t="s">
        <v>17</v>
      </c>
      <c r="D510">
        <v>44</v>
      </c>
      <c r="E510" t="s">
        <v>57</v>
      </c>
      <c r="F510" t="s">
        <v>27</v>
      </c>
      <c r="G510" t="s">
        <v>20</v>
      </c>
      <c r="H510">
        <v>101000</v>
      </c>
      <c r="I510">
        <v>20</v>
      </c>
      <c r="J510">
        <v>3</v>
      </c>
      <c r="K510">
        <v>4</v>
      </c>
      <c r="L510" t="s">
        <v>29</v>
      </c>
      <c r="M510" t="s">
        <v>29</v>
      </c>
      <c r="N510" t="s">
        <v>34</v>
      </c>
      <c r="O510" t="s">
        <v>23</v>
      </c>
      <c r="P510" t="str">
        <f t="shared" si="35"/>
        <v>40-49</v>
      </c>
      <c r="Q510" t="str">
        <f t="shared" si="36"/>
        <v>High</v>
      </c>
      <c r="R510" t="str">
        <f t="shared" si="37"/>
        <v>Senior</v>
      </c>
      <c r="S510" t="str">
        <f t="shared" si="38"/>
        <v>Needs Improvement</v>
      </c>
      <c r="T510" s="4" t="str">
        <f t="shared" si="39"/>
        <v>Satisfied</v>
      </c>
    </row>
    <row r="511" spans="1:20" x14ac:dyDescent="0.3">
      <c r="A511" t="s">
        <v>713</v>
      </c>
      <c r="B511" t="s">
        <v>84</v>
      </c>
      <c r="C511" t="s">
        <v>17</v>
      </c>
      <c r="D511">
        <v>29</v>
      </c>
      <c r="E511" t="s">
        <v>41</v>
      </c>
      <c r="F511" t="s">
        <v>42</v>
      </c>
      <c r="G511" t="s">
        <v>46</v>
      </c>
      <c r="H511">
        <v>94000</v>
      </c>
      <c r="I511">
        <v>8</v>
      </c>
      <c r="J511">
        <v>5</v>
      </c>
      <c r="K511">
        <v>5</v>
      </c>
      <c r="L511" t="s">
        <v>21</v>
      </c>
      <c r="M511" t="s">
        <v>29</v>
      </c>
      <c r="N511" t="s">
        <v>22</v>
      </c>
      <c r="O511" t="s">
        <v>30</v>
      </c>
      <c r="P511" t="str">
        <f t="shared" si="35"/>
        <v>20-29</v>
      </c>
      <c r="Q511" t="str">
        <f t="shared" si="36"/>
        <v>High</v>
      </c>
      <c r="R511" t="str">
        <f t="shared" si="37"/>
        <v>Senior</v>
      </c>
      <c r="S511" t="str">
        <f t="shared" si="38"/>
        <v>High Performer</v>
      </c>
      <c r="T511" s="4" t="str">
        <f t="shared" si="39"/>
        <v>Satisfied</v>
      </c>
    </row>
    <row r="512" spans="1:20" x14ac:dyDescent="0.3">
      <c r="A512" t="s">
        <v>714</v>
      </c>
      <c r="B512" t="s">
        <v>244</v>
      </c>
      <c r="C512" t="s">
        <v>17</v>
      </c>
      <c r="D512">
        <v>48</v>
      </c>
      <c r="E512" t="s">
        <v>49</v>
      </c>
      <c r="F512" t="s">
        <v>50</v>
      </c>
      <c r="G512" t="s">
        <v>28</v>
      </c>
      <c r="H512">
        <v>43000</v>
      </c>
      <c r="I512">
        <v>6</v>
      </c>
      <c r="J512">
        <v>4</v>
      </c>
      <c r="K512">
        <v>1</v>
      </c>
      <c r="L512" t="s">
        <v>21</v>
      </c>
      <c r="M512" t="s">
        <v>21</v>
      </c>
      <c r="N512" t="s">
        <v>22</v>
      </c>
      <c r="O512" t="s">
        <v>51</v>
      </c>
      <c r="P512" t="str">
        <f t="shared" si="35"/>
        <v>40-49</v>
      </c>
      <c r="Q512" t="str">
        <f t="shared" si="36"/>
        <v>Medium</v>
      </c>
      <c r="R512" t="str">
        <f t="shared" si="37"/>
        <v>Mid-Level</v>
      </c>
      <c r="S512" t="str">
        <f t="shared" si="38"/>
        <v>High Performer</v>
      </c>
      <c r="T512" s="4" t="str">
        <f t="shared" si="39"/>
        <v>Dissatisfied</v>
      </c>
    </row>
    <row r="513" spans="1:20" x14ac:dyDescent="0.3">
      <c r="A513" t="s">
        <v>715</v>
      </c>
      <c r="B513" t="s">
        <v>666</v>
      </c>
      <c r="C513" t="s">
        <v>37</v>
      </c>
      <c r="D513">
        <v>34</v>
      </c>
      <c r="E513" t="s">
        <v>26</v>
      </c>
      <c r="F513" t="s">
        <v>27</v>
      </c>
      <c r="G513" t="s">
        <v>20</v>
      </c>
      <c r="H513">
        <v>109000</v>
      </c>
      <c r="I513">
        <v>9</v>
      </c>
      <c r="J513">
        <v>3</v>
      </c>
      <c r="K513">
        <v>4</v>
      </c>
      <c r="L513" t="s">
        <v>21</v>
      </c>
      <c r="M513" t="s">
        <v>29</v>
      </c>
      <c r="N513" t="s">
        <v>22</v>
      </c>
      <c r="O513" t="s">
        <v>54</v>
      </c>
      <c r="P513" t="str">
        <f t="shared" si="35"/>
        <v>30-39</v>
      </c>
      <c r="Q513" t="str">
        <f t="shared" si="36"/>
        <v>High</v>
      </c>
      <c r="R513" t="str">
        <f t="shared" si="37"/>
        <v>Senior</v>
      </c>
      <c r="S513" t="str">
        <f t="shared" si="38"/>
        <v>Needs Improvement</v>
      </c>
      <c r="T513" s="4" t="str">
        <f t="shared" si="39"/>
        <v>Satisfied</v>
      </c>
    </row>
    <row r="514" spans="1:20" x14ac:dyDescent="0.3">
      <c r="A514" t="s">
        <v>716</v>
      </c>
      <c r="B514" t="s">
        <v>111</v>
      </c>
      <c r="C514" t="s">
        <v>17</v>
      </c>
      <c r="D514">
        <v>44</v>
      </c>
      <c r="E514" t="s">
        <v>41</v>
      </c>
      <c r="F514" t="s">
        <v>42</v>
      </c>
      <c r="G514" t="s">
        <v>28</v>
      </c>
      <c r="H514">
        <v>81000</v>
      </c>
      <c r="I514">
        <v>13</v>
      </c>
      <c r="J514">
        <v>4</v>
      </c>
      <c r="K514">
        <v>2</v>
      </c>
      <c r="L514" t="s">
        <v>21</v>
      </c>
      <c r="M514" t="s">
        <v>21</v>
      </c>
      <c r="N514" t="s">
        <v>22</v>
      </c>
      <c r="O514" t="s">
        <v>75</v>
      </c>
      <c r="P514" t="str">
        <f t="shared" ref="P514:P577" si="40">IF(D514&lt;30,"20-29",IF(D514&lt;40,"30-39",IF(D514&lt;50,"40-49","50+")))</f>
        <v>40-49</v>
      </c>
      <c r="Q514" t="str">
        <f t="shared" ref="Q514:Q577" si="41">IF(H514&lt;40000,"Low",IF(H514&lt;70000,"Medium","High"))</f>
        <v>High</v>
      </c>
      <c r="R514" t="str">
        <f t="shared" ref="R514:R577" si="42">IF(I514&lt;3,"Junior",IF(I514&lt;7,"Mid-Level","Senior"))</f>
        <v>Senior</v>
      </c>
      <c r="S514" t="str">
        <f t="shared" ref="S514:S577" si="43">IF(J514&gt;=4,"High Performer","Needs Improvement")</f>
        <v>High Performer</v>
      </c>
      <c r="T514" s="4" t="str">
        <f t="shared" ref="T514:T577" si="44">IF(K514&gt;=4,"Satisfied",IF(K514=3,"Neutral","Dissatisfied"))</f>
        <v>Dissatisfied</v>
      </c>
    </row>
    <row r="515" spans="1:20" x14ac:dyDescent="0.3">
      <c r="A515" t="s">
        <v>717</v>
      </c>
      <c r="B515" t="s">
        <v>292</v>
      </c>
      <c r="C515" t="s">
        <v>17</v>
      </c>
      <c r="D515">
        <v>41</v>
      </c>
      <c r="E515" t="s">
        <v>26</v>
      </c>
      <c r="F515" t="s">
        <v>27</v>
      </c>
      <c r="G515" t="s">
        <v>33</v>
      </c>
      <c r="H515">
        <v>53000</v>
      </c>
      <c r="I515">
        <v>12</v>
      </c>
      <c r="J515">
        <v>4</v>
      </c>
      <c r="K515">
        <v>3</v>
      </c>
      <c r="L515" t="s">
        <v>21</v>
      </c>
      <c r="M515" t="s">
        <v>29</v>
      </c>
      <c r="N515" t="s">
        <v>22</v>
      </c>
      <c r="O515" t="s">
        <v>38</v>
      </c>
      <c r="P515" t="str">
        <f t="shared" si="40"/>
        <v>40-49</v>
      </c>
      <c r="Q515" t="str">
        <f t="shared" si="41"/>
        <v>Medium</v>
      </c>
      <c r="R515" t="str">
        <f t="shared" si="42"/>
        <v>Senior</v>
      </c>
      <c r="S515" t="str">
        <f t="shared" si="43"/>
        <v>High Performer</v>
      </c>
      <c r="T515" s="4" t="str">
        <f t="shared" si="44"/>
        <v>Neutral</v>
      </c>
    </row>
    <row r="516" spans="1:20" x14ac:dyDescent="0.3">
      <c r="A516" t="s">
        <v>718</v>
      </c>
      <c r="B516" t="s">
        <v>297</v>
      </c>
      <c r="C516" t="s">
        <v>17</v>
      </c>
      <c r="D516">
        <v>28</v>
      </c>
      <c r="E516" t="s">
        <v>18</v>
      </c>
      <c r="F516" t="s">
        <v>19</v>
      </c>
      <c r="G516" t="s">
        <v>33</v>
      </c>
      <c r="H516">
        <v>53000</v>
      </c>
      <c r="I516">
        <v>7</v>
      </c>
      <c r="J516">
        <v>3</v>
      </c>
      <c r="K516">
        <v>3</v>
      </c>
      <c r="L516" t="s">
        <v>29</v>
      </c>
      <c r="M516" t="s">
        <v>29</v>
      </c>
      <c r="N516" t="s">
        <v>34</v>
      </c>
      <c r="O516" t="s">
        <v>43</v>
      </c>
      <c r="P516" t="str">
        <f t="shared" si="40"/>
        <v>20-29</v>
      </c>
      <c r="Q516" t="str">
        <f t="shared" si="41"/>
        <v>Medium</v>
      </c>
      <c r="R516" t="str">
        <f t="shared" si="42"/>
        <v>Senior</v>
      </c>
      <c r="S516" t="str">
        <f t="shared" si="43"/>
        <v>Needs Improvement</v>
      </c>
      <c r="T516" s="4" t="str">
        <f t="shared" si="44"/>
        <v>Neutral</v>
      </c>
    </row>
    <row r="517" spans="1:20" x14ac:dyDescent="0.3">
      <c r="A517" t="s">
        <v>719</v>
      </c>
      <c r="B517" t="s">
        <v>145</v>
      </c>
      <c r="C517" t="s">
        <v>17</v>
      </c>
      <c r="D517">
        <v>33</v>
      </c>
      <c r="E517" t="s">
        <v>57</v>
      </c>
      <c r="F517" t="s">
        <v>27</v>
      </c>
      <c r="G517" t="s">
        <v>28</v>
      </c>
      <c r="H517">
        <v>111000</v>
      </c>
      <c r="I517">
        <v>0</v>
      </c>
      <c r="J517">
        <v>3</v>
      </c>
      <c r="K517">
        <v>1</v>
      </c>
      <c r="L517" t="s">
        <v>21</v>
      </c>
      <c r="M517" t="s">
        <v>21</v>
      </c>
      <c r="N517" t="s">
        <v>34</v>
      </c>
      <c r="O517" t="s">
        <v>54</v>
      </c>
      <c r="P517" t="str">
        <f t="shared" si="40"/>
        <v>30-39</v>
      </c>
      <c r="Q517" t="str">
        <f t="shared" si="41"/>
        <v>High</v>
      </c>
      <c r="R517" t="str">
        <f t="shared" si="42"/>
        <v>Junior</v>
      </c>
      <c r="S517" t="str">
        <f t="shared" si="43"/>
        <v>Needs Improvement</v>
      </c>
      <c r="T517" s="4" t="str">
        <f t="shared" si="44"/>
        <v>Dissatisfied</v>
      </c>
    </row>
    <row r="518" spans="1:20" x14ac:dyDescent="0.3">
      <c r="A518" t="s">
        <v>720</v>
      </c>
      <c r="B518" t="s">
        <v>86</v>
      </c>
      <c r="C518" t="s">
        <v>37</v>
      </c>
      <c r="D518">
        <v>46</v>
      </c>
      <c r="E518" t="s">
        <v>41</v>
      </c>
      <c r="F518" t="s">
        <v>73</v>
      </c>
      <c r="G518" t="s">
        <v>33</v>
      </c>
      <c r="H518">
        <v>80000</v>
      </c>
      <c r="I518">
        <v>1</v>
      </c>
      <c r="J518">
        <v>2</v>
      </c>
      <c r="K518">
        <v>5</v>
      </c>
      <c r="L518" t="s">
        <v>29</v>
      </c>
      <c r="M518" t="s">
        <v>29</v>
      </c>
      <c r="N518" t="s">
        <v>34</v>
      </c>
      <c r="O518" t="s">
        <v>43</v>
      </c>
      <c r="P518" t="str">
        <f t="shared" si="40"/>
        <v>40-49</v>
      </c>
      <c r="Q518" t="str">
        <f t="shared" si="41"/>
        <v>High</v>
      </c>
      <c r="R518" t="str">
        <f t="shared" si="42"/>
        <v>Junior</v>
      </c>
      <c r="S518" t="str">
        <f t="shared" si="43"/>
        <v>Needs Improvement</v>
      </c>
      <c r="T518" s="4" t="str">
        <f t="shared" si="44"/>
        <v>Satisfied</v>
      </c>
    </row>
    <row r="519" spans="1:20" x14ac:dyDescent="0.3">
      <c r="A519" t="s">
        <v>721</v>
      </c>
      <c r="B519" t="s">
        <v>379</v>
      </c>
      <c r="C519" t="s">
        <v>17</v>
      </c>
      <c r="D519">
        <v>46</v>
      </c>
      <c r="E519" t="s">
        <v>41</v>
      </c>
      <c r="F519" t="s">
        <v>42</v>
      </c>
      <c r="G519" t="s">
        <v>33</v>
      </c>
      <c r="H519">
        <v>74000</v>
      </c>
      <c r="I519">
        <v>7</v>
      </c>
      <c r="J519">
        <v>3</v>
      </c>
      <c r="K519">
        <v>4</v>
      </c>
      <c r="L519" t="s">
        <v>21</v>
      </c>
      <c r="M519" t="s">
        <v>29</v>
      </c>
      <c r="N519" t="s">
        <v>22</v>
      </c>
      <c r="O519" t="s">
        <v>70</v>
      </c>
      <c r="P519" t="str">
        <f t="shared" si="40"/>
        <v>40-49</v>
      </c>
      <c r="Q519" t="str">
        <f t="shared" si="41"/>
        <v>High</v>
      </c>
      <c r="R519" t="str">
        <f t="shared" si="42"/>
        <v>Senior</v>
      </c>
      <c r="S519" t="str">
        <f t="shared" si="43"/>
        <v>Needs Improvement</v>
      </c>
      <c r="T519" s="4" t="str">
        <f t="shared" si="44"/>
        <v>Satisfied</v>
      </c>
    </row>
    <row r="520" spans="1:20" x14ac:dyDescent="0.3">
      <c r="A520" t="s">
        <v>722</v>
      </c>
      <c r="B520" t="s">
        <v>215</v>
      </c>
      <c r="C520" t="s">
        <v>37</v>
      </c>
      <c r="D520">
        <v>29</v>
      </c>
      <c r="E520" t="s">
        <v>26</v>
      </c>
      <c r="F520" t="s">
        <v>50</v>
      </c>
      <c r="G520" t="s">
        <v>28</v>
      </c>
      <c r="H520">
        <v>37000</v>
      </c>
      <c r="I520">
        <v>8</v>
      </c>
      <c r="J520">
        <v>4</v>
      </c>
      <c r="K520">
        <v>2</v>
      </c>
      <c r="L520" t="s">
        <v>29</v>
      </c>
      <c r="M520" t="s">
        <v>29</v>
      </c>
      <c r="N520" t="s">
        <v>22</v>
      </c>
      <c r="O520" t="s">
        <v>43</v>
      </c>
      <c r="P520" t="str">
        <f t="shared" si="40"/>
        <v>20-29</v>
      </c>
      <c r="Q520" t="str">
        <f t="shared" si="41"/>
        <v>Low</v>
      </c>
      <c r="R520" t="str">
        <f t="shared" si="42"/>
        <v>Senior</v>
      </c>
      <c r="S520" t="str">
        <f t="shared" si="43"/>
        <v>High Performer</v>
      </c>
      <c r="T520" s="4" t="str">
        <f t="shared" si="44"/>
        <v>Dissatisfied</v>
      </c>
    </row>
    <row r="521" spans="1:20" x14ac:dyDescent="0.3">
      <c r="A521" t="s">
        <v>723</v>
      </c>
      <c r="B521" t="s">
        <v>706</v>
      </c>
      <c r="C521" t="s">
        <v>37</v>
      </c>
      <c r="D521">
        <v>37</v>
      </c>
      <c r="E521" t="s">
        <v>57</v>
      </c>
      <c r="F521" t="s">
        <v>50</v>
      </c>
      <c r="G521" t="s">
        <v>46</v>
      </c>
      <c r="H521">
        <v>36000</v>
      </c>
      <c r="I521">
        <v>11</v>
      </c>
      <c r="J521">
        <v>5</v>
      </c>
      <c r="K521">
        <v>1</v>
      </c>
      <c r="L521" t="s">
        <v>21</v>
      </c>
      <c r="M521" t="s">
        <v>21</v>
      </c>
      <c r="N521" t="s">
        <v>34</v>
      </c>
      <c r="O521" t="s">
        <v>43</v>
      </c>
      <c r="P521" t="str">
        <f t="shared" si="40"/>
        <v>30-39</v>
      </c>
      <c r="Q521" t="str">
        <f t="shared" si="41"/>
        <v>Low</v>
      </c>
      <c r="R521" t="str">
        <f t="shared" si="42"/>
        <v>Senior</v>
      </c>
      <c r="S521" t="str">
        <f t="shared" si="43"/>
        <v>High Performer</v>
      </c>
      <c r="T521" s="4" t="str">
        <f t="shared" si="44"/>
        <v>Dissatisfied</v>
      </c>
    </row>
    <row r="522" spans="1:20" x14ac:dyDescent="0.3">
      <c r="A522" t="s">
        <v>724</v>
      </c>
      <c r="B522" t="s">
        <v>217</v>
      </c>
      <c r="C522" t="s">
        <v>17</v>
      </c>
      <c r="D522">
        <v>55</v>
      </c>
      <c r="E522" t="s">
        <v>26</v>
      </c>
      <c r="F522" t="s">
        <v>50</v>
      </c>
      <c r="G522" t="s">
        <v>20</v>
      </c>
      <c r="H522">
        <v>94000</v>
      </c>
      <c r="I522">
        <v>6</v>
      </c>
      <c r="J522">
        <v>5</v>
      </c>
      <c r="K522">
        <v>5</v>
      </c>
      <c r="L522" t="s">
        <v>21</v>
      </c>
      <c r="M522" t="s">
        <v>29</v>
      </c>
      <c r="N522" t="s">
        <v>22</v>
      </c>
      <c r="O522" t="s">
        <v>38</v>
      </c>
      <c r="P522" t="str">
        <f t="shared" si="40"/>
        <v>50+</v>
      </c>
      <c r="Q522" t="str">
        <f t="shared" si="41"/>
        <v>High</v>
      </c>
      <c r="R522" t="str">
        <f t="shared" si="42"/>
        <v>Mid-Level</v>
      </c>
      <c r="S522" t="str">
        <f t="shared" si="43"/>
        <v>High Performer</v>
      </c>
      <c r="T522" s="4" t="str">
        <f t="shared" si="44"/>
        <v>Satisfied</v>
      </c>
    </row>
    <row r="523" spans="1:20" x14ac:dyDescent="0.3">
      <c r="A523" t="s">
        <v>725</v>
      </c>
      <c r="B523" t="s">
        <v>154</v>
      </c>
      <c r="C523" t="s">
        <v>37</v>
      </c>
      <c r="D523">
        <v>54</v>
      </c>
      <c r="E523" t="s">
        <v>41</v>
      </c>
      <c r="F523" t="s">
        <v>42</v>
      </c>
      <c r="G523" t="s">
        <v>28</v>
      </c>
      <c r="H523">
        <v>40000</v>
      </c>
      <c r="I523">
        <v>16</v>
      </c>
      <c r="J523">
        <v>3</v>
      </c>
      <c r="K523">
        <v>3</v>
      </c>
      <c r="L523" t="s">
        <v>21</v>
      </c>
      <c r="M523" t="s">
        <v>29</v>
      </c>
      <c r="N523" t="s">
        <v>34</v>
      </c>
      <c r="O523" t="s">
        <v>75</v>
      </c>
      <c r="P523" t="str">
        <f t="shared" si="40"/>
        <v>50+</v>
      </c>
      <c r="Q523" t="str">
        <f t="shared" si="41"/>
        <v>Medium</v>
      </c>
      <c r="R523" t="str">
        <f t="shared" si="42"/>
        <v>Senior</v>
      </c>
      <c r="S523" t="str">
        <f t="shared" si="43"/>
        <v>Needs Improvement</v>
      </c>
      <c r="T523" s="4" t="str">
        <f t="shared" si="44"/>
        <v>Neutral</v>
      </c>
    </row>
    <row r="524" spans="1:20" x14ac:dyDescent="0.3">
      <c r="A524" t="s">
        <v>726</v>
      </c>
      <c r="B524" t="s">
        <v>194</v>
      </c>
      <c r="C524" t="s">
        <v>17</v>
      </c>
      <c r="D524">
        <v>33</v>
      </c>
      <c r="E524" t="s">
        <v>66</v>
      </c>
      <c r="F524" t="s">
        <v>82</v>
      </c>
      <c r="G524" t="s">
        <v>20</v>
      </c>
      <c r="H524">
        <v>83000</v>
      </c>
      <c r="I524">
        <v>8</v>
      </c>
      <c r="J524">
        <v>2</v>
      </c>
      <c r="K524">
        <v>1</v>
      </c>
      <c r="L524" t="s">
        <v>21</v>
      </c>
      <c r="M524" t="s">
        <v>29</v>
      </c>
      <c r="N524" t="s">
        <v>34</v>
      </c>
      <c r="O524" t="s">
        <v>43</v>
      </c>
      <c r="P524" t="str">
        <f t="shared" si="40"/>
        <v>30-39</v>
      </c>
      <c r="Q524" t="str">
        <f t="shared" si="41"/>
        <v>High</v>
      </c>
      <c r="R524" t="str">
        <f t="shared" si="42"/>
        <v>Senior</v>
      </c>
      <c r="S524" t="str">
        <f t="shared" si="43"/>
        <v>Needs Improvement</v>
      </c>
      <c r="T524" s="4" t="str">
        <f t="shared" si="44"/>
        <v>Dissatisfied</v>
      </c>
    </row>
    <row r="525" spans="1:20" x14ac:dyDescent="0.3">
      <c r="A525" t="s">
        <v>727</v>
      </c>
      <c r="B525" t="s">
        <v>454</v>
      </c>
      <c r="C525" t="s">
        <v>17</v>
      </c>
      <c r="D525">
        <v>31</v>
      </c>
      <c r="E525" t="s">
        <v>49</v>
      </c>
      <c r="F525" t="s">
        <v>50</v>
      </c>
      <c r="G525" t="s">
        <v>20</v>
      </c>
      <c r="H525">
        <v>67000</v>
      </c>
      <c r="I525">
        <v>10</v>
      </c>
      <c r="J525">
        <v>2</v>
      </c>
      <c r="K525">
        <v>1</v>
      </c>
      <c r="L525" t="s">
        <v>29</v>
      </c>
      <c r="M525" t="s">
        <v>29</v>
      </c>
      <c r="N525" t="s">
        <v>34</v>
      </c>
      <c r="O525" t="s">
        <v>70</v>
      </c>
      <c r="P525" t="str">
        <f t="shared" si="40"/>
        <v>30-39</v>
      </c>
      <c r="Q525" t="str">
        <f t="shared" si="41"/>
        <v>Medium</v>
      </c>
      <c r="R525" t="str">
        <f t="shared" si="42"/>
        <v>Senior</v>
      </c>
      <c r="S525" t="str">
        <f t="shared" si="43"/>
        <v>Needs Improvement</v>
      </c>
      <c r="T525" s="4" t="str">
        <f t="shared" si="44"/>
        <v>Dissatisfied</v>
      </c>
    </row>
    <row r="526" spans="1:20" x14ac:dyDescent="0.3">
      <c r="A526" t="s">
        <v>728</v>
      </c>
      <c r="B526" t="s">
        <v>69</v>
      </c>
      <c r="C526" t="s">
        <v>37</v>
      </c>
      <c r="D526">
        <v>49</v>
      </c>
      <c r="E526" t="s">
        <v>66</v>
      </c>
      <c r="F526" t="s">
        <v>67</v>
      </c>
      <c r="G526" t="s">
        <v>33</v>
      </c>
      <c r="H526">
        <v>33000</v>
      </c>
      <c r="I526">
        <v>16</v>
      </c>
      <c r="J526">
        <v>5</v>
      </c>
      <c r="K526">
        <v>1</v>
      </c>
      <c r="L526" t="s">
        <v>21</v>
      </c>
      <c r="M526" t="s">
        <v>21</v>
      </c>
      <c r="N526" t="s">
        <v>22</v>
      </c>
      <c r="O526" t="s">
        <v>70</v>
      </c>
      <c r="P526" t="str">
        <f t="shared" si="40"/>
        <v>40-49</v>
      </c>
      <c r="Q526" t="str">
        <f t="shared" si="41"/>
        <v>Low</v>
      </c>
      <c r="R526" t="str">
        <f t="shared" si="42"/>
        <v>Senior</v>
      </c>
      <c r="S526" t="str">
        <f t="shared" si="43"/>
        <v>High Performer</v>
      </c>
      <c r="T526" s="4" t="str">
        <f t="shared" si="44"/>
        <v>Dissatisfied</v>
      </c>
    </row>
    <row r="527" spans="1:20" x14ac:dyDescent="0.3">
      <c r="A527" t="s">
        <v>729</v>
      </c>
      <c r="B527" t="s">
        <v>269</v>
      </c>
      <c r="C527" t="s">
        <v>17</v>
      </c>
      <c r="D527">
        <v>42</v>
      </c>
      <c r="E527" t="s">
        <v>66</v>
      </c>
      <c r="F527" t="s">
        <v>67</v>
      </c>
      <c r="G527" t="s">
        <v>20</v>
      </c>
      <c r="H527">
        <v>76000</v>
      </c>
      <c r="I527">
        <v>9</v>
      </c>
      <c r="J527">
        <v>2</v>
      </c>
      <c r="K527">
        <v>1</v>
      </c>
      <c r="L527" t="s">
        <v>29</v>
      </c>
      <c r="M527" t="s">
        <v>29</v>
      </c>
      <c r="N527" t="s">
        <v>22</v>
      </c>
      <c r="O527" t="s">
        <v>43</v>
      </c>
      <c r="P527" t="str">
        <f t="shared" si="40"/>
        <v>40-49</v>
      </c>
      <c r="Q527" t="str">
        <f t="shared" si="41"/>
        <v>High</v>
      </c>
      <c r="R527" t="str">
        <f t="shared" si="42"/>
        <v>Senior</v>
      </c>
      <c r="S527" t="str">
        <f t="shared" si="43"/>
        <v>Needs Improvement</v>
      </c>
      <c r="T527" s="4" t="str">
        <f t="shared" si="44"/>
        <v>Dissatisfied</v>
      </c>
    </row>
    <row r="528" spans="1:20" x14ac:dyDescent="0.3">
      <c r="A528" t="s">
        <v>730</v>
      </c>
      <c r="B528" t="s">
        <v>476</v>
      </c>
      <c r="C528" t="s">
        <v>37</v>
      </c>
      <c r="D528">
        <v>38</v>
      </c>
      <c r="E528" t="s">
        <v>57</v>
      </c>
      <c r="F528" t="s">
        <v>50</v>
      </c>
      <c r="G528" t="s">
        <v>33</v>
      </c>
      <c r="H528">
        <v>71000</v>
      </c>
      <c r="I528">
        <v>5</v>
      </c>
      <c r="J528">
        <v>3</v>
      </c>
      <c r="K528">
        <v>5</v>
      </c>
      <c r="L528" t="s">
        <v>21</v>
      </c>
      <c r="M528" t="s">
        <v>29</v>
      </c>
      <c r="N528" t="s">
        <v>34</v>
      </c>
      <c r="O528" t="s">
        <v>38</v>
      </c>
      <c r="P528" t="str">
        <f t="shared" si="40"/>
        <v>30-39</v>
      </c>
      <c r="Q528" t="str">
        <f t="shared" si="41"/>
        <v>High</v>
      </c>
      <c r="R528" t="str">
        <f t="shared" si="42"/>
        <v>Mid-Level</v>
      </c>
      <c r="S528" t="str">
        <f t="shared" si="43"/>
        <v>Needs Improvement</v>
      </c>
      <c r="T528" s="4" t="str">
        <f t="shared" si="44"/>
        <v>Satisfied</v>
      </c>
    </row>
    <row r="529" spans="1:20" x14ac:dyDescent="0.3">
      <c r="A529" t="s">
        <v>731</v>
      </c>
      <c r="B529" t="s">
        <v>269</v>
      </c>
      <c r="C529" t="s">
        <v>17</v>
      </c>
      <c r="D529">
        <v>39</v>
      </c>
      <c r="E529" t="s">
        <v>49</v>
      </c>
      <c r="F529" t="s">
        <v>27</v>
      </c>
      <c r="G529" t="s">
        <v>20</v>
      </c>
      <c r="H529">
        <v>96000</v>
      </c>
      <c r="I529">
        <v>8</v>
      </c>
      <c r="J529">
        <v>5</v>
      </c>
      <c r="K529">
        <v>2</v>
      </c>
      <c r="L529" t="s">
        <v>21</v>
      </c>
      <c r="M529" t="s">
        <v>21</v>
      </c>
      <c r="N529" t="s">
        <v>34</v>
      </c>
      <c r="O529" t="s">
        <v>70</v>
      </c>
      <c r="P529" t="str">
        <f t="shared" si="40"/>
        <v>30-39</v>
      </c>
      <c r="Q529" t="str">
        <f t="shared" si="41"/>
        <v>High</v>
      </c>
      <c r="R529" t="str">
        <f t="shared" si="42"/>
        <v>Senior</v>
      </c>
      <c r="S529" t="str">
        <f t="shared" si="43"/>
        <v>High Performer</v>
      </c>
      <c r="T529" s="4" t="str">
        <f t="shared" si="44"/>
        <v>Dissatisfied</v>
      </c>
    </row>
    <row r="530" spans="1:20" x14ac:dyDescent="0.3">
      <c r="A530" t="s">
        <v>732</v>
      </c>
      <c r="B530" t="s">
        <v>100</v>
      </c>
      <c r="C530" t="s">
        <v>17</v>
      </c>
      <c r="D530">
        <v>34</v>
      </c>
      <c r="E530" t="s">
        <v>57</v>
      </c>
      <c r="F530" t="s">
        <v>50</v>
      </c>
      <c r="G530" t="s">
        <v>33</v>
      </c>
      <c r="H530">
        <v>112000</v>
      </c>
      <c r="I530">
        <v>9</v>
      </c>
      <c r="J530">
        <v>5</v>
      </c>
      <c r="K530">
        <v>3</v>
      </c>
      <c r="L530" t="s">
        <v>21</v>
      </c>
      <c r="M530" t="s">
        <v>29</v>
      </c>
      <c r="N530" t="s">
        <v>34</v>
      </c>
      <c r="O530" t="s">
        <v>75</v>
      </c>
      <c r="P530" t="str">
        <f t="shared" si="40"/>
        <v>30-39</v>
      </c>
      <c r="Q530" t="str">
        <f t="shared" si="41"/>
        <v>High</v>
      </c>
      <c r="R530" t="str">
        <f t="shared" si="42"/>
        <v>Senior</v>
      </c>
      <c r="S530" t="str">
        <f t="shared" si="43"/>
        <v>High Performer</v>
      </c>
      <c r="T530" s="4" t="str">
        <f t="shared" si="44"/>
        <v>Neutral</v>
      </c>
    </row>
    <row r="531" spans="1:20" x14ac:dyDescent="0.3">
      <c r="A531" t="s">
        <v>733</v>
      </c>
      <c r="B531" t="s">
        <v>118</v>
      </c>
      <c r="C531" t="s">
        <v>17</v>
      </c>
      <c r="D531">
        <v>22</v>
      </c>
      <c r="E531" t="s">
        <v>57</v>
      </c>
      <c r="F531" t="s">
        <v>50</v>
      </c>
      <c r="G531" t="s">
        <v>46</v>
      </c>
      <c r="H531">
        <v>94000</v>
      </c>
      <c r="I531">
        <v>1</v>
      </c>
      <c r="J531">
        <v>4</v>
      </c>
      <c r="K531">
        <v>3</v>
      </c>
      <c r="L531" t="s">
        <v>21</v>
      </c>
      <c r="M531" t="s">
        <v>29</v>
      </c>
      <c r="N531" t="s">
        <v>22</v>
      </c>
      <c r="O531" t="s">
        <v>70</v>
      </c>
      <c r="P531" t="str">
        <f t="shared" si="40"/>
        <v>20-29</v>
      </c>
      <c r="Q531" t="str">
        <f t="shared" si="41"/>
        <v>High</v>
      </c>
      <c r="R531" t="str">
        <f t="shared" si="42"/>
        <v>Junior</v>
      </c>
      <c r="S531" t="str">
        <f t="shared" si="43"/>
        <v>High Performer</v>
      </c>
      <c r="T531" s="4" t="str">
        <f t="shared" si="44"/>
        <v>Neutral</v>
      </c>
    </row>
    <row r="532" spans="1:20" x14ac:dyDescent="0.3">
      <c r="A532" t="s">
        <v>734</v>
      </c>
      <c r="B532" t="s">
        <v>328</v>
      </c>
      <c r="C532" t="s">
        <v>17</v>
      </c>
      <c r="D532">
        <v>27</v>
      </c>
      <c r="E532" t="s">
        <v>18</v>
      </c>
      <c r="F532" t="s">
        <v>126</v>
      </c>
      <c r="G532" t="s">
        <v>33</v>
      </c>
      <c r="H532">
        <v>33000</v>
      </c>
      <c r="I532">
        <v>6</v>
      </c>
      <c r="J532">
        <v>3</v>
      </c>
      <c r="K532">
        <v>3</v>
      </c>
      <c r="L532" t="s">
        <v>21</v>
      </c>
      <c r="M532" t="s">
        <v>29</v>
      </c>
      <c r="N532" t="s">
        <v>34</v>
      </c>
      <c r="O532" t="s">
        <v>54</v>
      </c>
      <c r="P532" t="str">
        <f t="shared" si="40"/>
        <v>20-29</v>
      </c>
      <c r="Q532" t="str">
        <f t="shared" si="41"/>
        <v>Low</v>
      </c>
      <c r="R532" t="str">
        <f t="shared" si="42"/>
        <v>Mid-Level</v>
      </c>
      <c r="S532" t="str">
        <f t="shared" si="43"/>
        <v>Needs Improvement</v>
      </c>
      <c r="T532" s="4" t="str">
        <f t="shared" si="44"/>
        <v>Neutral</v>
      </c>
    </row>
    <row r="533" spans="1:20" x14ac:dyDescent="0.3">
      <c r="A533" t="s">
        <v>735</v>
      </c>
      <c r="B533" t="s">
        <v>541</v>
      </c>
      <c r="C533" t="s">
        <v>37</v>
      </c>
      <c r="D533">
        <v>48</v>
      </c>
      <c r="E533" t="s">
        <v>49</v>
      </c>
      <c r="F533" t="s">
        <v>50</v>
      </c>
      <c r="G533" t="s">
        <v>20</v>
      </c>
      <c r="H533">
        <v>95000</v>
      </c>
      <c r="I533">
        <v>13</v>
      </c>
      <c r="J533">
        <v>5</v>
      </c>
      <c r="K533">
        <v>1</v>
      </c>
      <c r="L533" t="s">
        <v>29</v>
      </c>
      <c r="M533" t="s">
        <v>29</v>
      </c>
      <c r="N533" t="s">
        <v>34</v>
      </c>
      <c r="O533" t="s">
        <v>43</v>
      </c>
      <c r="P533" t="str">
        <f t="shared" si="40"/>
        <v>40-49</v>
      </c>
      <c r="Q533" t="str">
        <f t="shared" si="41"/>
        <v>High</v>
      </c>
      <c r="R533" t="str">
        <f t="shared" si="42"/>
        <v>Senior</v>
      </c>
      <c r="S533" t="str">
        <f t="shared" si="43"/>
        <v>High Performer</v>
      </c>
      <c r="T533" s="4" t="str">
        <f t="shared" si="44"/>
        <v>Dissatisfied</v>
      </c>
    </row>
    <row r="534" spans="1:20" x14ac:dyDescent="0.3">
      <c r="A534" t="s">
        <v>736</v>
      </c>
      <c r="B534" t="s">
        <v>100</v>
      </c>
      <c r="C534" t="s">
        <v>37</v>
      </c>
      <c r="D534">
        <v>33</v>
      </c>
      <c r="E534" t="s">
        <v>18</v>
      </c>
      <c r="F534" t="s">
        <v>19</v>
      </c>
      <c r="G534" t="s">
        <v>46</v>
      </c>
      <c r="H534">
        <v>104000</v>
      </c>
      <c r="I534">
        <v>12</v>
      </c>
      <c r="J534">
        <v>5</v>
      </c>
      <c r="K534">
        <v>1</v>
      </c>
      <c r="L534" t="s">
        <v>21</v>
      </c>
      <c r="M534" t="s">
        <v>21</v>
      </c>
      <c r="N534" t="s">
        <v>34</v>
      </c>
      <c r="O534" t="s">
        <v>75</v>
      </c>
      <c r="P534" t="str">
        <f t="shared" si="40"/>
        <v>30-39</v>
      </c>
      <c r="Q534" t="str">
        <f t="shared" si="41"/>
        <v>High</v>
      </c>
      <c r="R534" t="str">
        <f t="shared" si="42"/>
        <v>Senior</v>
      </c>
      <c r="S534" t="str">
        <f t="shared" si="43"/>
        <v>High Performer</v>
      </c>
      <c r="T534" s="4" t="str">
        <f t="shared" si="44"/>
        <v>Dissatisfied</v>
      </c>
    </row>
    <row r="535" spans="1:20" x14ac:dyDescent="0.3">
      <c r="A535" t="s">
        <v>737</v>
      </c>
      <c r="B535" t="s">
        <v>448</v>
      </c>
      <c r="C535" t="s">
        <v>17</v>
      </c>
      <c r="D535">
        <v>49</v>
      </c>
      <c r="E535" t="s">
        <v>66</v>
      </c>
      <c r="F535" t="s">
        <v>67</v>
      </c>
      <c r="G535" t="s">
        <v>46</v>
      </c>
      <c r="H535">
        <v>98000</v>
      </c>
      <c r="I535">
        <v>7</v>
      </c>
      <c r="J535">
        <v>2</v>
      </c>
      <c r="K535">
        <v>5</v>
      </c>
      <c r="L535" t="s">
        <v>21</v>
      </c>
      <c r="M535" t="s">
        <v>29</v>
      </c>
      <c r="N535" t="s">
        <v>22</v>
      </c>
      <c r="O535" t="s">
        <v>38</v>
      </c>
      <c r="P535" t="str">
        <f t="shared" si="40"/>
        <v>40-49</v>
      </c>
      <c r="Q535" t="str">
        <f t="shared" si="41"/>
        <v>High</v>
      </c>
      <c r="R535" t="str">
        <f t="shared" si="42"/>
        <v>Senior</v>
      </c>
      <c r="S535" t="str">
        <f t="shared" si="43"/>
        <v>Needs Improvement</v>
      </c>
      <c r="T535" s="4" t="str">
        <f t="shared" si="44"/>
        <v>Satisfied</v>
      </c>
    </row>
    <row r="536" spans="1:20" x14ac:dyDescent="0.3">
      <c r="A536" t="s">
        <v>738</v>
      </c>
      <c r="B536" t="s">
        <v>390</v>
      </c>
      <c r="C536" t="s">
        <v>37</v>
      </c>
      <c r="D536">
        <v>46</v>
      </c>
      <c r="E536" t="s">
        <v>49</v>
      </c>
      <c r="F536" t="s">
        <v>27</v>
      </c>
      <c r="G536" t="s">
        <v>28</v>
      </c>
      <c r="H536">
        <v>49000</v>
      </c>
      <c r="I536">
        <v>6</v>
      </c>
      <c r="J536">
        <v>5</v>
      </c>
      <c r="K536">
        <v>2</v>
      </c>
      <c r="L536" t="s">
        <v>29</v>
      </c>
      <c r="M536" t="s">
        <v>29</v>
      </c>
      <c r="N536" t="s">
        <v>22</v>
      </c>
      <c r="O536" t="s">
        <v>23</v>
      </c>
      <c r="P536" t="str">
        <f t="shared" si="40"/>
        <v>40-49</v>
      </c>
      <c r="Q536" t="str">
        <f t="shared" si="41"/>
        <v>Medium</v>
      </c>
      <c r="R536" t="str">
        <f t="shared" si="42"/>
        <v>Mid-Level</v>
      </c>
      <c r="S536" t="str">
        <f t="shared" si="43"/>
        <v>High Performer</v>
      </c>
      <c r="T536" s="4" t="str">
        <f t="shared" si="44"/>
        <v>Dissatisfied</v>
      </c>
    </row>
    <row r="537" spans="1:20" x14ac:dyDescent="0.3">
      <c r="A537" t="s">
        <v>739</v>
      </c>
      <c r="B537" t="s">
        <v>92</v>
      </c>
      <c r="C537" t="s">
        <v>17</v>
      </c>
      <c r="D537">
        <v>32</v>
      </c>
      <c r="E537" t="s">
        <v>49</v>
      </c>
      <c r="F537" t="s">
        <v>27</v>
      </c>
      <c r="G537" t="s">
        <v>46</v>
      </c>
      <c r="H537">
        <v>87000</v>
      </c>
      <c r="I537">
        <v>7</v>
      </c>
      <c r="J537">
        <v>2</v>
      </c>
      <c r="K537">
        <v>3</v>
      </c>
      <c r="L537" t="s">
        <v>29</v>
      </c>
      <c r="M537" t="s">
        <v>29</v>
      </c>
      <c r="N537" t="s">
        <v>22</v>
      </c>
      <c r="O537" t="s">
        <v>75</v>
      </c>
      <c r="P537" t="str">
        <f t="shared" si="40"/>
        <v>30-39</v>
      </c>
      <c r="Q537" t="str">
        <f t="shared" si="41"/>
        <v>High</v>
      </c>
      <c r="R537" t="str">
        <f t="shared" si="42"/>
        <v>Senior</v>
      </c>
      <c r="S537" t="str">
        <f t="shared" si="43"/>
        <v>Needs Improvement</v>
      </c>
      <c r="T537" s="4" t="str">
        <f t="shared" si="44"/>
        <v>Neutral</v>
      </c>
    </row>
    <row r="538" spans="1:20" x14ac:dyDescent="0.3">
      <c r="A538" t="s">
        <v>740</v>
      </c>
      <c r="B538" t="s">
        <v>273</v>
      </c>
      <c r="C538" t="s">
        <v>17</v>
      </c>
      <c r="D538">
        <v>40</v>
      </c>
      <c r="E538" t="s">
        <v>26</v>
      </c>
      <c r="F538" t="s">
        <v>27</v>
      </c>
      <c r="G538" t="s">
        <v>20</v>
      </c>
      <c r="H538">
        <v>54000</v>
      </c>
      <c r="I538">
        <v>16</v>
      </c>
      <c r="J538">
        <v>4</v>
      </c>
      <c r="K538">
        <v>2</v>
      </c>
      <c r="L538" t="s">
        <v>21</v>
      </c>
      <c r="M538" t="s">
        <v>29</v>
      </c>
      <c r="N538" t="s">
        <v>34</v>
      </c>
      <c r="O538" t="s">
        <v>38</v>
      </c>
      <c r="P538" t="str">
        <f t="shared" si="40"/>
        <v>40-49</v>
      </c>
      <c r="Q538" t="str">
        <f t="shared" si="41"/>
        <v>Medium</v>
      </c>
      <c r="R538" t="str">
        <f t="shared" si="42"/>
        <v>Senior</v>
      </c>
      <c r="S538" t="str">
        <f t="shared" si="43"/>
        <v>High Performer</v>
      </c>
      <c r="T538" s="4" t="str">
        <f t="shared" si="44"/>
        <v>Dissatisfied</v>
      </c>
    </row>
    <row r="539" spans="1:20" x14ac:dyDescent="0.3">
      <c r="A539" t="s">
        <v>741</v>
      </c>
      <c r="B539" t="s">
        <v>302</v>
      </c>
      <c r="C539" t="s">
        <v>17</v>
      </c>
      <c r="D539">
        <v>28</v>
      </c>
      <c r="E539" t="s">
        <v>66</v>
      </c>
      <c r="F539" t="s">
        <v>67</v>
      </c>
      <c r="G539" t="s">
        <v>20</v>
      </c>
      <c r="H539">
        <v>77000</v>
      </c>
      <c r="I539">
        <v>3</v>
      </c>
      <c r="J539">
        <v>2</v>
      </c>
      <c r="K539">
        <v>1</v>
      </c>
      <c r="L539" t="s">
        <v>29</v>
      </c>
      <c r="M539" t="s">
        <v>21</v>
      </c>
      <c r="N539" t="s">
        <v>34</v>
      </c>
      <c r="O539" t="s">
        <v>43</v>
      </c>
      <c r="P539" t="str">
        <f t="shared" si="40"/>
        <v>20-29</v>
      </c>
      <c r="Q539" t="str">
        <f t="shared" si="41"/>
        <v>High</v>
      </c>
      <c r="R539" t="str">
        <f t="shared" si="42"/>
        <v>Mid-Level</v>
      </c>
      <c r="S539" t="str">
        <f t="shared" si="43"/>
        <v>Needs Improvement</v>
      </c>
      <c r="T539" s="4" t="str">
        <f t="shared" si="44"/>
        <v>Dissatisfied</v>
      </c>
    </row>
    <row r="540" spans="1:20" x14ac:dyDescent="0.3">
      <c r="A540" t="s">
        <v>742</v>
      </c>
      <c r="B540" t="s">
        <v>278</v>
      </c>
      <c r="C540" t="s">
        <v>17</v>
      </c>
      <c r="D540">
        <v>46</v>
      </c>
      <c r="E540" t="s">
        <v>57</v>
      </c>
      <c r="F540" t="s">
        <v>50</v>
      </c>
      <c r="G540" t="s">
        <v>20</v>
      </c>
      <c r="H540">
        <v>98000</v>
      </c>
      <c r="I540">
        <v>20</v>
      </c>
      <c r="J540">
        <v>4</v>
      </c>
      <c r="K540">
        <v>5</v>
      </c>
      <c r="L540" t="s">
        <v>21</v>
      </c>
      <c r="M540" t="s">
        <v>29</v>
      </c>
      <c r="N540" t="s">
        <v>34</v>
      </c>
      <c r="O540" t="s">
        <v>54</v>
      </c>
      <c r="P540" t="str">
        <f t="shared" si="40"/>
        <v>40-49</v>
      </c>
      <c r="Q540" t="str">
        <f t="shared" si="41"/>
        <v>High</v>
      </c>
      <c r="R540" t="str">
        <f t="shared" si="42"/>
        <v>Senior</v>
      </c>
      <c r="S540" t="str">
        <f t="shared" si="43"/>
        <v>High Performer</v>
      </c>
      <c r="T540" s="4" t="str">
        <f t="shared" si="44"/>
        <v>Satisfied</v>
      </c>
    </row>
    <row r="541" spans="1:20" x14ac:dyDescent="0.3">
      <c r="A541" t="s">
        <v>743</v>
      </c>
      <c r="B541" t="s">
        <v>118</v>
      </c>
      <c r="C541" t="s">
        <v>17</v>
      </c>
      <c r="D541">
        <v>25</v>
      </c>
      <c r="E541" t="s">
        <v>18</v>
      </c>
      <c r="F541" t="s">
        <v>19</v>
      </c>
      <c r="G541" t="s">
        <v>28</v>
      </c>
      <c r="H541">
        <v>92000</v>
      </c>
      <c r="I541">
        <v>4</v>
      </c>
      <c r="J541">
        <v>3</v>
      </c>
      <c r="K541">
        <v>3</v>
      </c>
      <c r="L541" t="s">
        <v>21</v>
      </c>
      <c r="M541" t="s">
        <v>29</v>
      </c>
      <c r="N541" t="s">
        <v>34</v>
      </c>
      <c r="O541" t="s">
        <v>43</v>
      </c>
      <c r="P541" t="str">
        <f t="shared" si="40"/>
        <v>20-29</v>
      </c>
      <c r="Q541" t="str">
        <f t="shared" si="41"/>
        <v>High</v>
      </c>
      <c r="R541" t="str">
        <f t="shared" si="42"/>
        <v>Mid-Level</v>
      </c>
      <c r="S541" t="str">
        <f t="shared" si="43"/>
        <v>Needs Improvement</v>
      </c>
      <c r="T541" s="4" t="str">
        <f t="shared" si="44"/>
        <v>Neutral</v>
      </c>
    </row>
    <row r="542" spans="1:20" x14ac:dyDescent="0.3">
      <c r="A542" t="s">
        <v>744</v>
      </c>
      <c r="B542" t="s">
        <v>145</v>
      </c>
      <c r="C542" t="s">
        <v>37</v>
      </c>
      <c r="D542">
        <v>44</v>
      </c>
      <c r="E542" t="s">
        <v>49</v>
      </c>
      <c r="F542" t="s">
        <v>27</v>
      </c>
      <c r="G542" t="s">
        <v>46</v>
      </c>
      <c r="H542">
        <v>35000</v>
      </c>
      <c r="I542">
        <v>19</v>
      </c>
      <c r="J542">
        <v>4</v>
      </c>
      <c r="K542">
        <v>4</v>
      </c>
      <c r="L542" t="s">
        <v>21</v>
      </c>
      <c r="M542" t="s">
        <v>29</v>
      </c>
      <c r="N542" t="s">
        <v>22</v>
      </c>
      <c r="O542" t="s">
        <v>75</v>
      </c>
      <c r="P542" t="str">
        <f t="shared" si="40"/>
        <v>40-49</v>
      </c>
      <c r="Q542" t="str">
        <f t="shared" si="41"/>
        <v>Low</v>
      </c>
      <c r="R542" t="str">
        <f t="shared" si="42"/>
        <v>Senior</v>
      </c>
      <c r="S542" t="str">
        <f t="shared" si="43"/>
        <v>High Performer</v>
      </c>
      <c r="T542" s="4" t="str">
        <f t="shared" si="44"/>
        <v>Satisfied</v>
      </c>
    </row>
    <row r="543" spans="1:20" x14ac:dyDescent="0.3">
      <c r="A543" t="s">
        <v>745</v>
      </c>
      <c r="B543" t="s">
        <v>61</v>
      </c>
      <c r="C543" t="s">
        <v>37</v>
      </c>
      <c r="D543">
        <v>28</v>
      </c>
      <c r="E543" t="s">
        <v>41</v>
      </c>
      <c r="F543" t="s">
        <v>42</v>
      </c>
      <c r="G543" t="s">
        <v>20</v>
      </c>
      <c r="H543">
        <v>44000</v>
      </c>
      <c r="I543">
        <v>7</v>
      </c>
      <c r="J543">
        <v>3</v>
      </c>
      <c r="K543">
        <v>2</v>
      </c>
      <c r="L543" t="s">
        <v>29</v>
      </c>
      <c r="M543" t="s">
        <v>29</v>
      </c>
      <c r="N543" t="s">
        <v>34</v>
      </c>
      <c r="O543" t="s">
        <v>54</v>
      </c>
      <c r="P543" t="str">
        <f t="shared" si="40"/>
        <v>20-29</v>
      </c>
      <c r="Q543" t="str">
        <f t="shared" si="41"/>
        <v>Medium</v>
      </c>
      <c r="R543" t="str">
        <f t="shared" si="42"/>
        <v>Senior</v>
      </c>
      <c r="S543" t="str">
        <f t="shared" si="43"/>
        <v>Needs Improvement</v>
      </c>
      <c r="T543" s="4" t="str">
        <f t="shared" si="44"/>
        <v>Dissatisfied</v>
      </c>
    </row>
    <row r="544" spans="1:20" x14ac:dyDescent="0.3">
      <c r="A544" t="s">
        <v>746</v>
      </c>
      <c r="B544" t="s">
        <v>263</v>
      </c>
      <c r="C544" t="s">
        <v>17</v>
      </c>
      <c r="D544">
        <v>30</v>
      </c>
      <c r="E544" t="s">
        <v>49</v>
      </c>
      <c r="F544" t="s">
        <v>50</v>
      </c>
      <c r="G544" t="s">
        <v>33</v>
      </c>
      <c r="H544">
        <v>82000</v>
      </c>
      <c r="I544">
        <v>6</v>
      </c>
      <c r="J544">
        <v>4</v>
      </c>
      <c r="K544">
        <v>5</v>
      </c>
      <c r="L544" t="s">
        <v>21</v>
      </c>
      <c r="M544" t="s">
        <v>29</v>
      </c>
      <c r="N544" t="s">
        <v>22</v>
      </c>
      <c r="O544" t="s">
        <v>75</v>
      </c>
      <c r="P544" t="str">
        <f t="shared" si="40"/>
        <v>30-39</v>
      </c>
      <c r="Q544" t="str">
        <f t="shared" si="41"/>
        <v>High</v>
      </c>
      <c r="R544" t="str">
        <f t="shared" si="42"/>
        <v>Mid-Level</v>
      </c>
      <c r="S544" t="str">
        <f t="shared" si="43"/>
        <v>High Performer</v>
      </c>
      <c r="T544" s="4" t="str">
        <f t="shared" si="44"/>
        <v>Satisfied</v>
      </c>
    </row>
    <row r="545" spans="1:20" x14ac:dyDescent="0.3">
      <c r="A545" t="s">
        <v>747</v>
      </c>
      <c r="B545" t="s">
        <v>608</v>
      </c>
      <c r="C545" t="s">
        <v>17</v>
      </c>
      <c r="D545">
        <v>55</v>
      </c>
      <c r="E545" t="s">
        <v>57</v>
      </c>
      <c r="F545" t="s">
        <v>50</v>
      </c>
      <c r="G545" t="s">
        <v>46</v>
      </c>
      <c r="H545">
        <v>104000</v>
      </c>
      <c r="I545">
        <v>17</v>
      </c>
      <c r="J545">
        <v>3</v>
      </c>
      <c r="K545">
        <v>4</v>
      </c>
      <c r="L545" t="s">
        <v>21</v>
      </c>
      <c r="M545" t="s">
        <v>29</v>
      </c>
      <c r="N545" t="s">
        <v>22</v>
      </c>
      <c r="O545" t="s">
        <v>54</v>
      </c>
      <c r="P545" t="str">
        <f t="shared" si="40"/>
        <v>50+</v>
      </c>
      <c r="Q545" t="str">
        <f t="shared" si="41"/>
        <v>High</v>
      </c>
      <c r="R545" t="str">
        <f t="shared" si="42"/>
        <v>Senior</v>
      </c>
      <c r="S545" t="str">
        <f t="shared" si="43"/>
        <v>Needs Improvement</v>
      </c>
      <c r="T545" s="4" t="str">
        <f t="shared" si="44"/>
        <v>Satisfied</v>
      </c>
    </row>
    <row r="546" spans="1:20" x14ac:dyDescent="0.3">
      <c r="A546" t="s">
        <v>748</v>
      </c>
      <c r="B546" t="s">
        <v>618</v>
      </c>
      <c r="C546" t="s">
        <v>37</v>
      </c>
      <c r="D546">
        <v>52</v>
      </c>
      <c r="E546" t="s">
        <v>57</v>
      </c>
      <c r="F546" t="s">
        <v>27</v>
      </c>
      <c r="G546" t="s">
        <v>46</v>
      </c>
      <c r="H546">
        <v>74000</v>
      </c>
      <c r="I546">
        <v>1</v>
      </c>
      <c r="J546">
        <v>3</v>
      </c>
      <c r="K546">
        <v>5</v>
      </c>
      <c r="L546" t="s">
        <v>29</v>
      </c>
      <c r="M546" t="s">
        <v>29</v>
      </c>
      <c r="N546" t="s">
        <v>34</v>
      </c>
      <c r="O546" t="s">
        <v>75</v>
      </c>
      <c r="P546" t="str">
        <f t="shared" si="40"/>
        <v>50+</v>
      </c>
      <c r="Q546" t="str">
        <f t="shared" si="41"/>
        <v>High</v>
      </c>
      <c r="R546" t="str">
        <f t="shared" si="42"/>
        <v>Junior</v>
      </c>
      <c r="S546" t="str">
        <f t="shared" si="43"/>
        <v>Needs Improvement</v>
      </c>
      <c r="T546" s="4" t="str">
        <f t="shared" si="44"/>
        <v>Satisfied</v>
      </c>
    </row>
    <row r="547" spans="1:20" x14ac:dyDescent="0.3">
      <c r="A547" t="s">
        <v>749</v>
      </c>
      <c r="B547" t="s">
        <v>32</v>
      </c>
      <c r="C547" t="s">
        <v>37</v>
      </c>
      <c r="D547">
        <v>30</v>
      </c>
      <c r="E547" t="s">
        <v>49</v>
      </c>
      <c r="F547" t="s">
        <v>50</v>
      </c>
      <c r="G547" t="s">
        <v>33</v>
      </c>
      <c r="H547">
        <v>41000</v>
      </c>
      <c r="I547">
        <v>9</v>
      </c>
      <c r="J547">
        <v>5</v>
      </c>
      <c r="K547">
        <v>4</v>
      </c>
      <c r="L547" t="s">
        <v>21</v>
      </c>
      <c r="M547" t="s">
        <v>29</v>
      </c>
      <c r="N547" t="s">
        <v>34</v>
      </c>
      <c r="O547" t="s">
        <v>54</v>
      </c>
      <c r="P547" t="str">
        <f t="shared" si="40"/>
        <v>30-39</v>
      </c>
      <c r="Q547" t="str">
        <f t="shared" si="41"/>
        <v>Medium</v>
      </c>
      <c r="R547" t="str">
        <f t="shared" si="42"/>
        <v>Senior</v>
      </c>
      <c r="S547" t="str">
        <f t="shared" si="43"/>
        <v>High Performer</v>
      </c>
      <c r="T547" s="4" t="str">
        <f t="shared" si="44"/>
        <v>Satisfied</v>
      </c>
    </row>
    <row r="548" spans="1:20" x14ac:dyDescent="0.3">
      <c r="A548" t="s">
        <v>750</v>
      </c>
      <c r="B548" t="s">
        <v>454</v>
      </c>
      <c r="C548" t="s">
        <v>17</v>
      </c>
      <c r="D548">
        <v>53</v>
      </c>
      <c r="E548" t="s">
        <v>26</v>
      </c>
      <c r="F548" t="s">
        <v>27</v>
      </c>
      <c r="G548" t="s">
        <v>46</v>
      </c>
      <c r="H548">
        <v>101000</v>
      </c>
      <c r="I548">
        <v>3</v>
      </c>
      <c r="J548">
        <v>5</v>
      </c>
      <c r="K548">
        <v>1</v>
      </c>
      <c r="L548" t="s">
        <v>21</v>
      </c>
      <c r="M548" t="s">
        <v>29</v>
      </c>
      <c r="N548" t="s">
        <v>34</v>
      </c>
      <c r="O548" t="s">
        <v>38</v>
      </c>
      <c r="P548" t="str">
        <f t="shared" si="40"/>
        <v>50+</v>
      </c>
      <c r="Q548" t="str">
        <f t="shared" si="41"/>
        <v>High</v>
      </c>
      <c r="R548" t="str">
        <f t="shared" si="42"/>
        <v>Mid-Level</v>
      </c>
      <c r="S548" t="str">
        <f t="shared" si="43"/>
        <v>High Performer</v>
      </c>
      <c r="T548" s="4" t="str">
        <f t="shared" si="44"/>
        <v>Dissatisfied</v>
      </c>
    </row>
    <row r="549" spans="1:20" x14ac:dyDescent="0.3">
      <c r="A549" t="s">
        <v>751</v>
      </c>
      <c r="B549" t="s">
        <v>357</v>
      </c>
      <c r="C549" t="s">
        <v>37</v>
      </c>
      <c r="D549">
        <v>51</v>
      </c>
      <c r="E549" t="s">
        <v>18</v>
      </c>
      <c r="F549" t="s">
        <v>126</v>
      </c>
      <c r="G549" t="s">
        <v>28</v>
      </c>
      <c r="H549">
        <v>72000</v>
      </c>
      <c r="I549">
        <v>20</v>
      </c>
      <c r="J549">
        <v>2</v>
      </c>
      <c r="K549">
        <v>5</v>
      </c>
      <c r="L549" t="s">
        <v>21</v>
      </c>
      <c r="M549" t="s">
        <v>29</v>
      </c>
      <c r="N549" t="s">
        <v>34</v>
      </c>
      <c r="O549" t="s">
        <v>54</v>
      </c>
      <c r="P549" t="str">
        <f t="shared" si="40"/>
        <v>50+</v>
      </c>
      <c r="Q549" t="str">
        <f t="shared" si="41"/>
        <v>High</v>
      </c>
      <c r="R549" t="str">
        <f t="shared" si="42"/>
        <v>Senior</v>
      </c>
      <c r="S549" t="str">
        <f t="shared" si="43"/>
        <v>Needs Improvement</v>
      </c>
      <c r="T549" s="4" t="str">
        <f t="shared" si="44"/>
        <v>Satisfied</v>
      </c>
    </row>
    <row r="550" spans="1:20" x14ac:dyDescent="0.3">
      <c r="A550" t="s">
        <v>752</v>
      </c>
      <c r="B550" t="s">
        <v>114</v>
      </c>
      <c r="C550" t="s">
        <v>17</v>
      </c>
      <c r="D550">
        <v>39</v>
      </c>
      <c r="E550" t="s">
        <v>18</v>
      </c>
      <c r="F550" t="s">
        <v>19</v>
      </c>
      <c r="G550" t="s">
        <v>28</v>
      </c>
      <c r="H550">
        <v>68000</v>
      </c>
      <c r="I550">
        <v>2</v>
      </c>
      <c r="J550">
        <v>2</v>
      </c>
      <c r="K550">
        <v>4</v>
      </c>
      <c r="L550" t="s">
        <v>21</v>
      </c>
      <c r="M550" t="s">
        <v>21</v>
      </c>
      <c r="N550" t="s">
        <v>34</v>
      </c>
      <c r="O550" t="s">
        <v>43</v>
      </c>
      <c r="P550" t="str">
        <f t="shared" si="40"/>
        <v>30-39</v>
      </c>
      <c r="Q550" t="str">
        <f t="shared" si="41"/>
        <v>Medium</v>
      </c>
      <c r="R550" t="str">
        <f t="shared" si="42"/>
        <v>Junior</v>
      </c>
      <c r="S550" t="str">
        <f t="shared" si="43"/>
        <v>Needs Improvement</v>
      </c>
      <c r="T550" s="4" t="str">
        <f t="shared" si="44"/>
        <v>Satisfied</v>
      </c>
    </row>
    <row r="551" spans="1:20" x14ac:dyDescent="0.3">
      <c r="A551" t="s">
        <v>753</v>
      </c>
      <c r="B551" t="s">
        <v>77</v>
      </c>
      <c r="C551" t="s">
        <v>17</v>
      </c>
      <c r="D551">
        <v>37</v>
      </c>
      <c r="E551" t="s">
        <v>18</v>
      </c>
      <c r="F551" t="s">
        <v>126</v>
      </c>
      <c r="G551" t="s">
        <v>33</v>
      </c>
      <c r="H551">
        <v>104000</v>
      </c>
      <c r="I551">
        <v>7</v>
      </c>
      <c r="J551">
        <v>5</v>
      </c>
      <c r="K551">
        <v>4</v>
      </c>
      <c r="L551" t="s">
        <v>21</v>
      </c>
      <c r="M551" t="s">
        <v>29</v>
      </c>
      <c r="N551" t="s">
        <v>34</v>
      </c>
      <c r="O551" t="s">
        <v>23</v>
      </c>
      <c r="P551" t="str">
        <f t="shared" si="40"/>
        <v>30-39</v>
      </c>
      <c r="Q551" t="str">
        <f t="shared" si="41"/>
        <v>High</v>
      </c>
      <c r="R551" t="str">
        <f t="shared" si="42"/>
        <v>Senior</v>
      </c>
      <c r="S551" t="str">
        <f t="shared" si="43"/>
        <v>High Performer</v>
      </c>
      <c r="T551" s="4" t="str">
        <f t="shared" si="44"/>
        <v>Satisfied</v>
      </c>
    </row>
    <row r="552" spans="1:20" x14ac:dyDescent="0.3">
      <c r="A552" t="s">
        <v>754</v>
      </c>
      <c r="B552" t="s">
        <v>372</v>
      </c>
      <c r="C552" t="s">
        <v>37</v>
      </c>
      <c r="D552">
        <v>50</v>
      </c>
      <c r="E552" t="s">
        <v>49</v>
      </c>
      <c r="F552" t="s">
        <v>27</v>
      </c>
      <c r="G552" t="s">
        <v>28</v>
      </c>
      <c r="H552">
        <v>51000</v>
      </c>
      <c r="I552">
        <v>18</v>
      </c>
      <c r="J552">
        <v>4</v>
      </c>
      <c r="K552">
        <v>3</v>
      </c>
      <c r="L552" t="s">
        <v>29</v>
      </c>
      <c r="M552" t="s">
        <v>29</v>
      </c>
      <c r="N552" t="s">
        <v>34</v>
      </c>
      <c r="O552" t="s">
        <v>70</v>
      </c>
      <c r="P552" t="str">
        <f t="shared" si="40"/>
        <v>50+</v>
      </c>
      <c r="Q552" t="str">
        <f t="shared" si="41"/>
        <v>Medium</v>
      </c>
      <c r="R552" t="str">
        <f t="shared" si="42"/>
        <v>Senior</v>
      </c>
      <c r="S552" t="str">
        <f t="shared" si="43"/>
        <v>High Performer</v>
      </c>
      <c r="T552" s="4" t="str">
        <f t="shared" si="44"/>
        <v>Neutral</v>
      </c>
    </row>
    <row r="553" spans="1:20" x14ac:dyDescent="0.3">
      <c r="A553" t="s">
        <v>755</v>
      </c>
      <c r="B553" t="s">
        <v>32</v>
      </c>
      <c r="C553" t="s">
        <v>37</v>
      </c>
      <c r="D553">
        <v>43</v>
      </c>
      <c r="E553" t="s">
        <v>57</v>
      </c>
      <c r="F553" t="s">
        <v>27</v>
      </c>
      <c r="G553" t="s">
        <v>28</v>
      </c>
      <c r="H553">
        <v>77000</v>
      </c>
      <c r="I553">
        <v>15</v>
      </c>
      <c r="J553">
        <v>2</v>
      </c>
      <c r="K553">
        <v>3</v>
      </c>
      <c r="L553" t="s">
        <v>29</v>
      </c>
      <c r="M553" t="s">
        <v>29</v>
      </c>
      <c r="N553" t="s">
        <v>22</v>
      </c>
      <c r="O553" t="s">
        <v>43</v>
      </c>
      <c r="P553" t="str">
        <f t="shared" si="40"/>
        <v>40-49</v>
      </c>
      <c r="Q553" t="str">
        <f t="shared" si="41"/>
        <v>High</v>
      </c>
      <c r="R553" t="str">
        <f t="shared" si="42"/>
        <v>Senior</v>
      </c>
      <c r="S553" t="str">
        <f t="shared" si="43"/>
        <v>Needs Improvement</v>
      </c>
      <c r="T553" s="4" t="str">
        <f t="shared" si="44"/>
        <v>Neutral</v>
      </c>
    </row>
    <row r="554" spans="1:20" x14ac:dyDescent="0.3">
      <c r="A554" t="s">
        <v>756</v>
      </c>
      <c r="B554" t="s">
        <v>284</v>
      </c>
      <c r="C554" t="s">
        <v>37</v>
      </c>
      <c r="D554">
        <v>40</v>
      </c>
      <c r="E554" t="s">
        <v>18</v>
      </c>
      <c r="F554" t="s">
        <v>19</v>
      </c>
      <c r="G554" t="s">
        <v>28</v>
      </c>
      <c r="H554">
        <v>102000</v>
      </c>
      <c r="I554">
        <v>8</v>
      </c>
      <c r="J554">
        <v>5</v>
      </c>
      <c r="K554">
        <v>1</v>
      </c>
      <c r="L554" t="s">
        <v>29</v>
      </c>
      <c r="M554" t="s">
        <v>29</v>
      </c>
      <c r="N554" t="s">
        <v>22</v>
      </c>
      <c r="O554" t="s">
        <v>43</v>
      </c>
      <c r="P554" t="str">
        <f t="shared" si="40"/>
        <v>40-49</v>
      </c>
      <c r="Q554" t="str">
        <f t="shared" si="41"/>
        <v>High</v>
      </c>
      <c r="R554" t="str">
        <f t="shared" si="42"/>
        <v>Senior</v>
      </c>
      <c r="S554" t="str">
        <f t="shared" si="43"/>
        <v>High Performer</v>
      </c>
      <c r="T554" s="4" t="str">
        <f t="shared" si="44"/>
        <v>Dissatisfied</v>
      </c>
    </row>
    <row r="555" spans="1:20" x14ac:dyDescent="0.3">
      <c r="A555" t="s">
        <v>757</v>
      </c>
      <c r="B555" t="s">
        <v>56</v>
      </c>
      <c r="C555" t="s">
        <v>17</v>
      </c>
      <c r="D555">
        <v>47</v>
      </c>
      <c r="E555" t="s">
        <v>41</v>
      </c>
      <c r="F555" t="s">
        <v>73</v>
      </c>
      <c r="G555" t="s">
        <v>33</v>
      </c>
      <c r="H555">
        <v>45000</v>
      </c>
      <c r="I555">
        <v>2</v>
      </c>
      <c r="J555">
        <v>4</v>
      </c>
      <c r="K555">
        <v>1</v>
      </c>
      <c r="L555" t="s">
        <v>29</v>
      </c>
      <c r="M555" t="s">
        <v>29</v>
      </c>
      <c r="N555" t="s">
        <v>22</v>
      </c>
      <c r="O555" t="s">
        <v>51</v>
      </c>
      <c r="P555" t="str">
        <f t="shared" si="40"/>
        <v>40-49</v>
      </c>
      <c r="Q555" t="str">
        <f t="shared" si="41"/>
        <v>Medium</v>
      </c>
      <c r="R555" t="str">
        <f t="shared" si="42"/>
        <v>Junior</v>
      </c>
      <c r="S555" t="str">
        <f t="shared" si="43"/>
        <v>High Performer</v>
      </c>
      <c r="T555" s="4" t="str">
        <f t="shared" si="44"/>
        <v>Dissatisfied</v>
      </c>
    </row>
    <row r="556" spans="1:20" x14ac:dyDescent="0.3">
      <c r="A556" t="s">
        <v>758</v>
      </c>
      <c r="B556" t="s">
        <v>217</v>
      </c>
      <c r="C556" t="s">
        <v>37</v>
      </c>
      <c r="D556">
        <v>37</v>
      </c>
      <c r="E556" t="s">
        <v>57</v>
      </c>
      <c r="F556" t="s">
        <v>27</v>
      </c>
      <c r="G556" t="s">
        <v>20</v>
      </c>
      <c r="H556">
        <v>102000</v>
      </c>
      <c r="I556">
        <v>0</v>
      </c>
      <c r="J556">
        <v>5</v>
      </c>
      <c r="K556">
        <v>4</v>
      </c>
      <c r="L556" t="s">
        <v>29</v>
      </c>
      <c r="M556" t="s">
        <v>29</v>
      </c>
      <c r="N556" t="s">
        <v>34</v>
      </c>
      <c r="O556" t="s">
        <v>70</v>
      </c>
      <c r="P556" t="str">
        <f t="shared" si="40"/>
        <v>30-39</v>
      </c>
      <c r="Q556" t="str">
        <f t="shared" si="41"/>
        <v>High</v>
      </c>
      <c r="R556" t="str">
        <f t="shared" si="42"/>
        <v>Junior</v>
      </c>
      <c r="S556" t="str">
        <f t="shared" si="43"/>
        <v>High Performer</v>
      </c>
      <c r="T556" s="4" t="str">
        <f t="shared" si="44"/>
        <v>Satisfied</v>
      </c>
    </row>
    <row r="557" spans="1:20" x14ac:dyDescent="0.3">
      <c r="A557" t="s">
        <v>759</v>
      </c>
      <c r="B557" t="s">
        <v>149</v>
      </c>
      <c r="C557" t="s">
        <v>17</v>
      </c>
      <c r="D557">
        <v>36</v>
      </c>
      <c r="E557" t="s">
        <v>49</v>
      </c>
      <c r="F557" t="s">
        <v>50</v>
      </c>
      <c r="G557" t="s">
        <v>28</v>
      </c>
      <c r="H557">
        <v>39000</v>
      </c>
      <c r="I557">
        <v>12</v>
      </c>
      <c r="J557">
        <v>3</v>
      </c>
      <c r="K557">
        <v>1</v>
      </c>
      <c r="L557" t="s">
        <v>29</v>
      </c>
      <c r="M557" t="s">
        <v>29</v>
      </c>
      <c r="N557" t="s">
        <v>22</v>
      </c>
      <c r="O557" t="s">
        <v>51</v>
      </c>
      <c r="P557" t="str">
        <f t="shared" si="40"/>
        <v>30-39</v>
      </c>
      <c r="Q557" t="str">
        <f t="shared" si="41"/>
        <v>Low</v>
      </c>
      <c r="R557" t="str">
        <f t="shared" si="42"/>
        <v>Senior</v>
      </c>
      <c r="S557" t="str">
        <f t="shared" si="43"/>
        <v>Needs Improvement</v>
      </c>
      <c r="T557" s="4" t="str">
        <f t="shared" si="44"/>
        <v>Dissatisfied</v>
      </c>
    </row>
    <row r="558" spans="1:20" x14ac:dyDescent="0.3">
      <c r="A558" t="s">
        <v>760</v>
      </c>
      <c r="B558" t="s">
        <v>114</v>
      </c>
      <c r="C558" t="s">
        <v>17</v>
      </c>
      <c r="D558">
        <v>41</v>
      </c>
      <c r="E558" t="s">
        <v>18</v>
      </c>
      <c r="F558" t="s">
        <v>19</v>
      </c>
      <c r="G558" t="s">
        <v>28</v>
      </c>
      <c r="H558">
        <v>64000</v>
      </c>
      <c r="I558">
        <v>16</v>
      </c>
      <c r="J558">
        <v>3</v>
      </c>
      <c r="K558">
        <v>5</v>
      </c>
      <c r="L558" t="s">
        <v>21</v>
      </c>
      <c r="M558" t="s">
        <v>29</v>
      </c>
      <c r="N558" t="s">
        <v>22</v>
      </c>
      <c r="O558" t="s">
        <v>23</v>
      </c>
      <c r="P558" t="str">
        <f t="shared" si="40"/>
        <v>40-49</v>
      </c>
      <c r="Q558" t="str">
        <f t="shared" si="41"/>
        <v>Medium</v>
      </c>
      <c r="R558" t="str">
        <f t="shared" si="42"/>
        <v>Senior</v>
      </c>
      <c r="S558" t="str">
        <f t="shared" si="43"/>
        <v>Needs Improvement</v>
      </c>
      <c r="T558" s="4" t="str">
        <f t="shared" si="44"/>
        <v>Satisfied</v>
      </c>
    </row>
    <row r="559" spans="1:20" x14ac:dyDescent="0.3">
      <c r="A559" t="s">
        <v>761</v>
      </c>
      <c r="B559" t="s">
        <v>350</v>
      </c>
      <c r="C559" t="s">
        <v>37</v>
      </c>
      <c r="D559">
        <v>52</v>
      </c>
      <c r="E559" t="s">
        <v>66</v>
      </c>
      <c r="F559" t="s">
        <v>82</v>
      </c>
      <c r="G559" t="s">
        <v>33</v>
      </c>
      <c r="H559">
        <v>32000</v>
      </c>
      <c r="I559">
        <v>15</v>
      </c>
      <c r="J559">
        <v>2</v>
      </c>
      <c r="K559">
        <v>3</v>
      </c>
      <c r="L559" t="s">
        <v>21</v>
      </c>
      <c r="M559" t="s">
        <v>29</v>
      </c>
      <c r="N559" t="s">
        <v>22</v>
      </c>
      <c r="O559" t="s">
        <v>51</v>
      </c>
      <c r="P559" t="str">
        <f t="shared" si="40"/>
        <v>50+</v>
      </c>
      <c r="Q559" t="str">
        <f t="shared" si="41"/>
        <v>Low</v>
      </c>
      <c r="R559" t="str">
        <f t="shared" si="42"/>
        <v>Senior</v>
      </c>
      <c r="S559" t="str">
        <f t="shared" si="43"/>
        <v>Needs Improvement</v>
      </c>
      <c r="T559" s="4" t="str">
        <f t="shared" si="44"/>
        <v>Neutral</v>
      </c>
    </row>
    <row r="560" spans="1:20" x14ac:dyDescent="0.3">
      <c r="A560" t="s">
        <v>762</v>
      </c>
      <c r="B560" t="s">
        <v>179</v>
      </c>
      <c r="C560" t="s">
        <v>37</v>
      </c>
      <c r="D560">
        <v>46</v>
      </c>
      <c r="E560" t="s">
        <v>41</v>
      </c>
      <c r="F560" t="s">
        <v>42</v>
      </c>
      <c r="G560" t="s">
        <v>28</v>
      </c>
      <c r="H560">
        <v>68000</v>
      </c>
      <c r="I560">
        <v>9</v>
      </c>
      <c r="J560">
        <v>5</v>
      </c>
      <c r="K560">
        <v>1</v>
      </c>
      <c r="L560" t="s">
        <v>21</v>
      </c>
      <c r="M560" t="s">
        <v>21</v>
      </c>
      <c r="N560" t="s">
        <v>22</v>
      </c>
      <c r="O560" t="s">
        <v>75</v>
      </c>
      <c r="P560" t="str">
        <f t="shared" si="40"/>
        <v>40-49</v>
      </c>
      <c r="Q560" t="str">
        <f t="shared" si="41"/>
        <v>Medium</v>
      </c>
      <c r="R560" t="str">
        <f t="shared" si="42"/>
        <v>Senior</v>
      </c>
      <c r="S560" t="str">
        <f t="shared" si="43"/>
        <v>High Performer</v>
      </c>
      <c r="T560" s="4" t="str">
        <f t="shared" si="44"/>
        <v>Dissatisfied</v>
      </c>
    </row>
    <row r="561" spans="1:20" x14ac:dyDescent="0.3">
      <c r="A561" t="s">
        <v>763</v>
      </c>
      <c r="B561" t="s">
        <v>362</v>
      </c>
      <c r="C561" t="s">
        <v>17</v>
      </c>
      <c r="D561">
        <v>27</v>
      </c>
      <c r="E561" t="s">
        <v>49</v>
      </c>
      <c r="F561" t="s">
        <v>50</v>
      </c>
      <c r="G561" t="s">
        <v>33</v>
      </c>
      <c r="H561">
        <v>101000</v>
      </c>
      <c r="I561">
        <v>6</v>
      </c>
      <c r="J561">
        <v>4</v>
      </c>
      <c r="K561">
        <v>2</v>
      </c>
      <c r="L561" t="s">
        <v>29</v>
      </c>
      <c r="M561" t="s">
        <v>29</v>
      </c>
      <c r="N561" t="s">
        <v>34</v>
      </c>
      <c r="O561" t="s">
        <v>54</v>
      </c>
      <c r="P561" t="str">
        <f t="shared" si="40"/>
        <v>20-29</v>
      </c>
      <c r="Q561" t="str">
        <f t="shared" si="41"/>
        <v>High</v>
      </c>
      <c r="R561" t="str">
        <f t="shared" si="42"/>
        <v>Mid-Level</v>
      </c>
      <c r="S561" t="str">
        <f t="shared" si="43"/>
        <v>High Performer</v>
      </c>
      <c r="T561" s="4" t="str">
        <f t="shared" si="44"/>
        <v>Dissatisfied</v>
      </c>
    </row>
    <row r="562" spans="1:20" x14ac:dyDescent="0.3">
      <c r="A562" t="s">
        <v>764</v>
      </c>
      <c r="B562" t="s">
        <v>69</v>
      </c>
      <c r="C562" t="s">
        <v>37</v>
      </c>
      <c r="D562">
        <v>23</v>
      </c>
      <c r="E562" t="s">
        <v>26</v>
      </c>
      <c r="F562" t="s">
        <v>27</v>
      </c>
      <c r="G562" t="s">
        <v>20</v>
      </c>
      <c r="H562">
        <v>49000</v>
      </c>
      <c r="I562">
        <v>2</v>
      </c>
      <c r="J562">
        <v>2</v>
      </c>
      <c r="K562">
        <v>4</v>
      </c>
      <c r="L562" t="s">
        <v>21</v>
      </c>
      <c r="M562" t="s">
        <v>21</v>
      </c>
      <c r="N562" t="s">
        <v>22</v>
      </c>
      <c r="O562" t="s">
        <v>23</v>
      </c>
      <c r="P562" t="str">
        <f t="shared" si="40"/>
        <v>20-29</v>
      </c>
      <c r="Q562" t="str">
        <f t="shared" si="41"/>
        <v>Medium</v>
      </c>
      <c r="R562" t="str">
        <f t="shared" si="42"/>
        <v>Junior</v>
      </c>
      <c r="S562" t="str">
        <f t="shared" si="43"/>
        <v>Needs Improvement</v>
      </c>
      <c r="T562" s="4" t="str">
        <f t="shared" si="44"/>
        <v>Satisfied</v>
      </c>
    </row>
    <row r="563" spans="1:20" x14ac:dyDescent="0.3">
      <c r="A563" t="s">
        <v>765</v>
      </c>
      <c r="B563" t="s">
        <v>100</v>
      </c>
      <c r="C563" t="s">
        <v>37</v>
      </c>
      <c r="D563">
        <v>39</v>
      </c>
      <c r="E563" t="s">
        <v>18</v>
      </c>
      <c r="F563" t="s">
        <v>126</v>
      </c>
      <c r="G563" t="s">
        <v>20</v>
      </c>
      <c r="H563">
        <v>34000</v>
      </c>
      <c r="I563">
        <v>2</v>
      </c>
      <c r="J563">
        <v>5</v>
      </c>
      <c r="K563">
        <v>1</v>
      </c>
      <c r="L563" t="s">
        <v>21</v>
      </c>
      <c r="M563" t="s">
        <v>21</v>
      </c>
      <c r="N563" t="s">
        <v>34</v>
      </c>
      <c r="O563" t="s">
        <v>23</v>
      </c>
      <c r="P563" t="str">
        <f t="shared" si="40"/>
        <v>30-39</v>
      </c>
      <c r="Q563" t="str">
        <f t="shared" si="41"/>
        <v>Low</v>
      </c>
      <c r="R563" t="str">
        <f t="shared" si="42"/>
        <v>Junior</v>
      </c>
      <c r="S563" t="str">
        <f t="shared" si="43"/>
        <v>High Performer</v>
      </c>
      <c r="T563" s="4" t="str">
        <f t="shared" si="44"/>
        <v>Dissatisfied</v>
      </c>
    </row>
    <row r="564" spans="1:20" x14ac:dyDescent="0.3">
      <c r="A564" t="s">
        <v>766</v>
      </c>
      <c r="B564" t="s">
        <v>65</v>
      </c>
      <c r="C564" t="s">
        <v>37</v>
      </c>
      <c r="D564">
        <v>53</v>
      </c>
      <c r="E564" t="s">
        <v>26</v>
      </c>
      <c r="F564" t="s">
        <v>50</v>
      </c>
      <c r="G564" t="s">
        <v>28</v>
      </c>
      <c r="H564">
        <v>54000</v>
      </c>
      <c r="I564">
        <v>3</v>
      </c>
      <c r="J564">
        <v>4</v>
      </c>
      <c r="K564">
        <v>3</v>
      </c>
      <c r="L564" t="s">
        <v>29</v>
      </c>
      <c r="M564" t="s">
        <v>29</v>
      </c>
      <c r="N564" t="s">
        <v>22</v>
      </c>
      <c r="O564" t="s">
        <v>43</v>
      </c>
      <c r="P564" t="str">
        <f t="shared" si="40"/>
        <v>50+</v>
      </c>
      <c r="Q564" t="str">
        <f t="shared" si="41"/>
        <v>Medium</v>
      </c>
      <c r="R564" t="str">
        <f t="shared" si="42"/>
        <v>Mid-Level</v>
      </c>
      <c r="S564" t="str">
        <f t="shared" si="43"/>
        <v>High Performer</v>
      </c>
      <c r="T564" s="4" t="str">
        <f t="shared" si="44"/>
        <v>Neutral</v>
      </c>
    </row>
    <row r="565" spans="1:20" x14ac:dyDescent="0.3">
      <c r="A565" t="s">
        <v>767</v>
      </c>
      <c r="B565" t="s">
        <v>302</v>
      </c>
      <c r="C565" t="s">
        <v>17</v>
      </c>
      <c r="D565">
        <v>26</v>
      </c>
      <c r="E565" t="s">
        <v>26</v>
      </c>
      <c r="F565" t="s">
        <v>50</v>
      </c>
      <c r="G565" t="s">
        <v>28</v>
      </c>
      <c r="H565">
        <v>118000</v>
      </c>
      <c r="I565">
        <v>5</v>
      </c>
      <c r="J565">
        <v>5</v>
      </c>
      <c r="K565">
        <v>5</v>
      </c>
      <c r="L565" t="s">
        <v>29</v>
      </c>
      <c r="M565" t="s">
        <v>29</v>
      </c>
      <c r="N565" t="s">
        <v>34</v>
      </c>
      <c r="O565" t="s">
        <v>38</v>
      </c>
      <c r="P565" t="str">
        <f t="shared" si="40"/>
        <v>20-29</v>
      </c>
      <c r="Q565" t="str">
        <f t="shared" si="41"/>
        <v>High</v>
      </c>
      <c r="R565" t="str">
        <f t="shared" si="42"/>
        <v>Mid-Level</v>
      </c>
      <c r="S565" t="str">
        <f t="shared" si="43"/>
        <v>High Performer</v>
      </c>
      <c r="T565" s="4" t="str">
        <f t="shared" si="44"/>
        <v>Satisfied</v>
      </c>
    </row>
    <row r="566" spans="1:20" x14ac:dyDescent="0.3">
      <c r="A566" t="s">
        <v>768</v>
      </c>
      <c r="B566" t="s">
        <v>238</v>
      </c>
      <c r="C566" t="s">
        <v>17</v>
      </c>
      <c r="D566">
        <v>53</v>
      </c>
      <c r="E566" t="s">
        <v>66</v>
      </c>
      <c r="F566" t="s">
        <v>82</v>
      </c>
      <c r="G566" t="s">
        <v>28</v>
      </c>
      <c r="H566">
        <v>49000</v>
      </c>
      <c r="I566">
        <v>0</v>
      </c>
      <c r="J566">
        <v>5</v>
      </c>
      <c r="K566">
        <v>4</v>
      </c>
      <c r="L566" t="s">
        <v>29</v>
      </c>
      <c r="M566" t="s">
        <v>29</v>
      </c>
      <c r="N566" t="s">
        <v>22</v>
      </c>
      <c r="O566" t="s">
        <v>54</v>
      </c>
      <c r="P566" t="str">
        <f t="shared" si="40"/>
        <v>50+</v>
      </c>
      <c r="Q566" t="str">
        <f t="shared" si="41"/>
        <v>Medium</v>
      </c>
      <c r="R566" t="str">
        <f t="shared" si="42"/>
        <v>Junior</v>
      </c>
      <c r="S566" t="str">
        <f t="shared" si="43"/>
        <v>High Performer</v>
      </c>
      <c r="T566" s="4" t="str">
        <f t="shared" si="44"/>
        <v>Satisfied</v>
      </c>
    </row>
    <row r="567" spans="1:20" x14ac:dyDescent="0.3">
      <c r="A567" t="s">
        <v>769</v>
      </c>
      <c r="B567" t="s">
        <v>98</v>
      </c>
      <c r="C567" t="s">
        <v>17</v>
      </c>
      <c r="D567">
        <v>25</v>
      </c>
      <c r="E567" t="s">
        <v>18</v>
      </c>
      <c r="F567" t="s">
        <v>126</v>
      </c>
      <c r="G567" t="s">
        <v>28</v>
      </c>
      <c r="H567">
        <v>31000</v>
      </c>
      <c r="I567">
        <v>4</v>
      </c>
      <c r="J567">
        <v>5</v>
      </c>
      <c r="K567">
        <v>4</v>
      </c>
      <c r="L567" t="s">
        <v>21</v>
      </c>
      <c r="M567" t="s">
        <v>29</v>
      </c>
      <c r="N567" t="s">
        <v>34</v>
      </c>
      <c r="O567" t="s">
        <v>30</v>
      </c>
      <c r="P567" t="str">
        <f t="shared" si="40"/>
        <v>20-29</v>
      </c>
      <c r="Q567" t="str">
        <f t="shared" si="41"/>
        <v>Low</v>
      </c>
      <c r="R567" t="str">
        <f t="shared" si="42"/>
        <v>Mid-Level</v>
      </c>
      <c r="S567" t="str">
        <f t="shared" si="43"/>
        <v>High Performer</v>
      </c>
      <c r="T567" s="4" t="str">
        <f t="shared" si="44"/>
        <v>Satisfied</v>
      </c>
    </row>
    <row r="568" spans="1:20" x14ac:dyDescent="0.3">
      <c r="A568" t="s">
        <v>770</v>
      </c>
      <c r="B568" t="s">
        <v>666</v>
      </c>
      <c r="C568" t="s">
        <v>17</v>
      </c>
      <c r="D568">
        <v>23</v>
      </c>
      <c r="E568" t="s">
        <v>41</v>
      </c>
      <c r="F568" t="s">
        <v>73</v>
      </c>
      <c r="G568" t="s">
        <v>46</v>
      </c>
      <c r="H568">
        <v>34000</v>
      </c>
      <c r="I568">
        <v>2</v>
      </c>
      <c r="J568">
        <v>2</v>
      </c>
      <c r="K568">
        <v>2</v>
      </c>
      <c r="L568" t="s">
        <v>29</v>
      </c>
      <c r="M568" t="s">
        <v>29</v>
      </c>
      <c r="N568" t="s">
        <v>34</v>
      </c>
      <c r="O568" t="s">
        <v>43</v>
      </c>
      <c r="P568" t="str">
        <f t="shared" si="40"/>
        <v>20-29</v>
      </c>
      <c r="Q568" t="str">
        <f t="shared" si="41"/>
        <v>Low</v>
      </c>
      <c r="R568" t="str">
        <f t="shared" si="42"/>
        <v>Junior</v>
      </c>
      <c r="S568" t="str">
        <f t="shared" si="43"/>
        <v>Needs Improvement</v>
      </c>
      <c r="T568" s="4" t="str">
        <f t="shared" si="44"/>
        <v>Dissatisfied</v>
      </c>
    </row>
    <row r="569" spans="1:20" x14ac:dyDescent="0.3">
      <c r="A569" t="s">
        <v>771</v>
      </c>
      <c r="B569" t="s">
        <v>107</v>
      </c>
      <c r="C569" t="s">
        <v>17</v>
      </c>
      <c r="D569">
        <v>38</v>
      </c>
      <c r="E569" t="s">
        <v>18</v>
      </c>
      <c r="F569" t="s">
        <v>19</v>
      </c>
      <c r="G569" t="s">
        <v>33</v>
      </c>
      <c r="H569">
        <v>27000</v>
      </c>
      <c r="I569">
        <v>3</v>
      </c>
      <c r="J569">
        <v>4</v>
      </c>
      <c r="K569">
        <v>1</v>
      </c>
      <c r="L569" t="s">
        <v>21</v>
      </c>
      <c r="M569" t="s">
        <v>21</v>
      </c>
      <c r="N569" t="s">
        <v>22</v>
      </c>
      <c r="O569" t="s">
        <v>70</v>
      </c>
      <c r="P569" t="str">
        <f t="shared" si="40"/>
        <v>30-39</v>
      </c>
      <c r="Q569" t="str">
        <f t="shared" si="41"/>
        <v>Low</v>
      </c>
      <c r="R569" t="str">
        <f t="shared" si="42"/>
        <v>Mid-Level</v>
      </c>
      <c r="S569" t="str">
        <f t="shared" si="43"/>
        <v>High Performer</v>
      </c>
      <c r="T569" s="4" t="str">
        <f t="shared" si="44"/>
        <v>Dissatisfied</v>
      </c>
    </row>
    <row r="570" spans="1:20" x14ac:dyDescent="0.3">
      <c r="A570" t="s">
        <v>772</v>
      </c>
      <c r="B570" t="s">
        <v>36</v>
      </c>
      <c r="C570" t="s">
        <v>37</v>
      </c>
      <c r="D570">
        <v>43</v>
      </c>
      <c r="E570" t="s">
        <v>66</v>
      </c>
      <c r="F570" t="s">
        <v>67</v>
      </c>
      <c r="G570" t="s">
        <v>20</v>
      </c>
      <c r="H570">
        <v>32000</v>
      </c>
      <c r="I570">
        <v>11</v>
      </c>
      <c r="J570">
        <v>2</v>
      </c>
      <c r="K570">
        <v>5</v>
      </c>
      <c r="L570" t="s">
        <v>21</v>
      </c>
      <c r="M570" t="s">
        <v>21</v>
      </c>
      <c r="N570" t="s">
        <v>34</v>
      </c>
      <c r="O570" t="s">
        <v>23</v>
      </c>
      <c r="P570" t="str">
        <f t="shared" si="40"/>
        <v>40-49</v>
      </c>
      <c r="Q570" t="str">
        <f t="shared" si="41"/>
        <v>Low</v>
      </c>
      <c r="R570" t="str">
        <f t="shared" si="42"/>
        <v>Senior</v>
      </c>
      <c r="S570" t="str">
        <f t="shared" si="43"/>
        <v>Needs Improvement</v>
      </c>
      <c r="T570" s="4" t="str">
        <f t="shared" si="44"/>
        <v>Satisfied</v>
      </c>
    </row>
    <row r="571" spans="1:20" x14ac:dyDescent="0.3">
      <c r="A571" t="s">
        <v>773</v>
      </c>
      <c r="B571" t="s">
        <v>107</v>
      </c>
      <c r="C571" t="s">
        <v>37</v>
      </c>
      <c r="D571">
        <v>52</v>
      </c>
      <c r="E571" t="s">
        <v>49</v>
      </c>
      <c r="F571" t="s">
        <v>27</v>
      </c>
      <c r="G571" t="s">
        <v>33</v>
      </c>
      <c r="H571">
        <v>116000</v>
      </c>
      <c r="I571">
        <v>17</v>
      </c>
      <c r="J571">
        <v>2</v>
      </c>
      <c r="K571">
        <v>2</v>
      </c>
      <c r="L571" t="s">
        <v>21</v>
      </c>
      <c r="M571" t="s">
        <v>29</v>
      </c>
      <c r="N571" t="s">
        <v>34</v>
      </c>
      <c r="O571" t="s">
        <v>51</v>
      </c>
      <c r="P571" t="str">
        <f t="shared" si="40"/>
        <v>50+</v>
      </c>
      <c r="Q571" t="str">
        <f t="shared" si="41"/>
        <v>High</v>
      </c>
      <c r="R571" t="str">
        <f t="shared" si="42"/>
        <v>Senior</v>
      </c>
      <c r="S571" t="str">
        <f t="shared" si="43"/>
        <v>Needs Improvement</v>
      </c>
      <c r="T571" s="4" t="str">
        <f t="shared" si="44"/>
        <v>Dissatisfied</v>
      </c>
    </row>
    <row r="572" spans="1:20" x14ac:dyDescent="0.3">
      <c r="A572" t="s">
        <v>774</v>
      </c>
      <c r="B572" t="s">
        <v>84</v>
      </c>
      <c r="C572" t="s">
        <v>37</v>
      </c>
      <c r="D572">
        <v>29</v>
      </c>
      <c r="E572" t="s">
        <v>41</v>
      </c>
      <c r="F572" t="s">
        <v>73</v>
      </c>
      <c r="G572" t="s">
        <v>28</v>
      </c>
      <c r="H572">
        <v>40000</v>
      </c>
      <c r="I572">
        <v>2</v>
      </c>
      <c r="J572">
        <v>4</v>
      </c>
      <c r="K572">
        <v>5</v>
      </c>
      <c r="L572" t="s">
        <v>21</v>
      </c>
      <c r="M572" t="s">
        <v>29</v>
      </c>
      <c r="N572" t="s">
        <v>34</v>
      </c>
      <c r="O572" t="s">
        <v>30</v>
      </c>
      <c r="P572" t="str">
        <f t="shared" si="40"/>
        <v>20-29</v>
      </c>
      <c r="Q572" t="str">
        <f t="shared" si="41"/>
        <v>Medium</v>
      </c>
      <c r="R572" t="str">
        <f t="shared" si="42"/>
        <v>Junior</v>
      </c>
      <c r="S572" t="str">
        <f t="shared" si="43"/>
        <v>High Performer</v>
      </c>
      <c r="T572" s="4" t="str">
        <f t="shared" si="44"/>
        <v>Satisfied</v>
      </c>
    </row>
    <row r="573" spans="1:20" x14ac:dyDescent="0.3">
      <c r="A573" t="s">
        <v>775</v>
      </c>
      <c r="B573" t="s">
        <v>205</v>
      </c>
      <c r="C573" t="s">
        <v>37</v>
      </c>
      <c r="D573">
        <v>40</v>
      </c>
      <c r="E573" t="s">
        <v>41</v>
      </c>
      <c r="F573" t="s">
        <v>73</v>
      </c>
      <c r="G573" t="s">
        <v>33</v>
      </c>
      <c r="H573">
        <v>87000</v>
      </c>
      <c r="I573">
        <v>18</v>
      </c>
      <c r="J573">
        <v>2</v>
      </c>
      <c r="K573">
        <v>1</v>
      </c>
      <c r="L573" t="s">
        <v>21</v>
      </c>
      <c r="M573" t="s">
        <v>21</v>
      </c>
      <c r="N573" t="s">
        <v>22</v>
      </c>
      <c r="O573" t="s">
        <v>23</v>
      </c>
      <c r="P573" t="str">
        <f t="shared" si="40"/>
        <v>40-49</v>
      </c>
      <c r="Q573" t="str">
        <f t="shared" si="41"/>
        <v>High</v>
      </c>
      <c r="R573" t="str">
        <f t="shared" si="42"/>
        <v>Senior</v>
      </c>
      <c r="S573" t="str">
        <f t="shared" si="43"/>
        <v>Needs Improvement</v>
      </c>
      <c r="T573" s="4" t="str">
        <f t="shared" si="44"/>
        <v>Dissatisfied</v>
      </c>
    </row>
    <row r="574" spans="1:20" x14ac:dyDescent="0.3">
      <c r="A574" t="s">
        <v>776</v>
      </c>
      <c r="B574" t="s">
        <v>90</v>
      </c>
      <c r="C574" t="s">
        <v>17</v>
      </c>
      <c r="D574">
        <v>46</v>
      </c>
      <c r="E574" t="s">
        <v>41</v>
      </c>
      <c r="F574" t="s">
        <v>73</v>
      </c>
      <c r="G574" t="s">
        <v>33</v>
      </c>
      <c r="H574">
        <v>56000</v>
      </c>
      <c r="I574">
        <v>4</v>
      </c>
      <c r="J574">
        <v>5</v>
      </c>
      <c r="K574">
        <v>3</v>
      </c>
      <c r="L574" t="s">
        <v>21</v>
      </c>
      <c r="M574" t="s">
        <v>29</v>
      </c>
      <c r="N574" t="s">
        <v>22</v>
      </c>
      <c r="O574" t="s">
        <v>23</v>
      </c>
      <c r="P574" t="str">
        <f t="shared" si="40"/>
        <v>40-49</v>
      </c>
      <c r="Q574" t="str">
        <f t="shared" si="41"/>
        <v>Medium</v>
      </c>
      <c r="R574" t="str">
        <f t="shared" si="42"/>
        <v>Mid-Level</v>
      </c>
      <c r="S574" t="str">
        <f t="shared" si="43"/>
        <v>High Performer</v>
      </c>
      <c r="T574" s="4" t="str">
        <f t="shared" si="44"/>
        <v>Neutral</v>
      </c>
    </row>
    <row r="575" spans="1:20" x14ac:dyDescent="0.3">
      <c r="A575" t="s">
        <v>777</v>
      </c>
      <c r="B575" t="s">
        <v>138</v>
      </c>
      <c r="C575" t="s">
        <v>17</v>
      </c>
      <c r="D575">
        <v>42</v>
      </c>
      <c r="E575" t="s">
        <v>41</v>
      </c>
      <c r="F575" t="s">
        <v>73</v>
      </c>
      <c r="G575" t="s">
        <v>46</v>
      </c>
      <c r="H575">
        <v>68000</v>
      </c>
      <c r="I575">
        <v>16</v>
      </c>
      <c r="J575">
        <v>5</v>
      </c>
      <c r="K575">
        <v>4</v>
      </c>
      <c r="L575" t="s">
        <v>21</v>
      </c>
      <c r="M575" t="s">
        <v>29</v>
      </c>
      <c r="N575" t="s">
        <v>34</v>
      </c>
      <c r="O575" t="s">
        <v>43</v>
      </c>
      <c r="P575" t="str">
        <f t="shared" si="40"/>
        <v>40-49</v>
      </c>
      <c r="Q575" t="str">
        <f t="shared" si="41"/>
        <v>Medium</v>
      </c>
      <c r="R575" t="str">
        <f t="shared" si="42"/>
        <v>Senior</v>
      </c>
      <c r="S575" t="str">
        <f t="shared" si="43"/>
        <v>High Performer</v>
      </c>
      <c r="T575" s="4" t="str">
        <f t="shared" si="44"/>
        <v>Satisfied</v>
      </c>
    </row>
    <row r="576" spans="1:20" x14ac:dyDescent="0.3">
      <c r="A576" t="s">
        <v>778</v>
      </c>
      <c r="B576" t="s">
        <v>263</v>
      </c>
      <c r="C576" t="s">
        <v>17</v>
      </c>
      <c r="D576">
        <v>34</v>
      </c>
      <c r="E576" t="s">
        <v>18</v>
      </c>
      <c r="F576" t="s">
        <v>19</v>
      </c>
      <c r="G576" t="s">
        <v>28</v>
      </c>
      <c r="H576">
        <v>32000</v>
      </c>
      <c r="I576">
        <v>6</v>
      </c>
      <c r="J576">
        <v>3</v>
      </c>
      <c r="K576">
        <v>5</v>
      </c>
      <c r="L576" t="s">
        <v>29</v>
      </c>
      <c r="M576" t="s">
        <v>29</v>
      </c>
      <c r="N576" t="s">
        <v>22</v>
      </c>
      <c r="O576" t="s">
        <v>30</v>
      </c>
      <c r="P576" t="str">
        <f t="shared" si="40"/>
        <v>30-39</v>
      </c>
      <c r="Q576" t="str">
        <f t="shared" si="41"/>
        <v>Low</v>
      </c>
      <c r="R576" t="str">
        <f t="shared" si="42"/>
        <v>Mid-Level</v>
      </c>
      <c r="S576" t="str">
        <f t="shared" si="43"/>
        <v>Needs Improvement</v>
      </c>
      <c r="T576" s="4" t="str">
        <f t="shared" si="44"/>
        <v>Satisfied</v>
      </c>
    </row>
    <row r="577" spans="1:20" x14ac:dyDescent="0.3">
      <c r="A577" t="s">
        <v>779</v>
      </c>
      <c r="B577" t="s">
        <v>98</v>
      </c>
      <c r="C577" t="s">
        <v>37</v>
      </c>
      <c r="D577">
        <v>55</v>
      </c>
      <c r="E577" t="s">
        <v>66</v>
      </c>
      <c r="F577" t="s">
        <v>67</v>
      </c>
      <c r="G577" t="s">
        <v>20</v>
      </c>
      <c r="H577">
        <v>103000</v>
      </c>
      <c r="I577">
        <v>8</v>
      </c>
      <c r="J577">
        <v>3</v>
      </c>
      <c r="K577">
        <v>5</v>
      </c>
      <c r="L577" t="s">
        <v>21</v>
      </c>
      <c r="M577" t="s">
        <v>29</v>
      </c>
      <c r="N577" t="s">
        <v>22</v>
      </c>
      <c r="O577" t="s">
        <v>30</v>
      </c>
      <c r="P577" t="str">
        <f t="shared" si="40"/>
        <v>50+</v>
      </c>
      <c r="Q577" t="str">
        <f t="shared" si="41"/>
        <v>High</v>
      </c>
      <c r="R577" t="str">
        <f t="shared" si="42"/>
        <v>Senior</v>
      </c>
      <c r="S577" t="str">
        <f t="shared" si="43"/>
        <v>Needs Improvement</v>
      </c>
      <c r="T577" s="4" t="str">
        <f t="shared" si="44"/>
        <v>Satisfied</v>
      </c>
    </row>
    <row r="578" spans="1:20" x14ac:dyDescent="0.3">
      <c r="A578" t="s">
        <v>780</v>
      </c>
      <c r="B578" t="s">
        <v>282</v>
      </c>
      <c r="C578" t="s">
        <v>37</v>
      </c>
      <c r="D578">
        <v>35</v>
      </c>
      <c r="E578" t="s">
        <v>57</v>
      </c>
      <c r="F578" t="s">
        <v>27</v>
      </c>
      <c r="G578" t="s">
        <v>33</v>
      </c>
      <c r="H578">
        <v>117000</v>
      </c>
      <c r="I578">
        <v>1</v>
      </c>
      <c r="J578">
        <v>2</v>
      </c>
      <c r="K578">
        <v>3</v>
      </c>
      <c r="L578" t="s">
        <v>21</v>
      </c>
      <c r="M578" t="s">
        <v>21</v>
      </c>
      <c r="N578" t="s">
        <v>34</v>
      </c>
      <c r="O578" t="s">
        <v>38</v>
      </c>
      <c r="P578" t="str">
        <f t="shared" ref="P578:P641" si="45">IF(D578&lt;30,"20-29",IF(D578&lt;40,"30-39",IF(D578&lt;50,"40-49","50+")))</f>
        <v>30-39</v>
      </c>
      <c r="Q578" t="str">
        <f t="shared" ref="Q578:Q641" si="46">IF(H578&lt;40000,"Low",IF(H578&lt;70000,"Medium","High"))</f>
        <v>High</v>
      </c>
      <c r="R578" t="str">
        <f t="shared" ref="R578:R641" si="47">IF(I578&lt;3,"Junior",IF(I578&lt;7,"Mid-Level","Senior"))</f>
        <v>Junior</v>
      </c>
      <c r="S578" t="str">
        <f t="shared" ref="S578:S641" si="48">IF(J578&gt;=4,"High Performer","Needs Improvement")</f>
        <v>Needs Improvement</v>
      </c>
      <c r="T578" s="4" t="str">
        <f t="shared" ref="T578:T641" si="49">IF(K578&gt;=4,"Satisfied",IF(K578=3,"Neutral","Dissatisfied"))</f>
        <v>Neutral</v>
      </c>
    </row>
    <row r="579" spans="1:20" x14ac:dyDescent="0.3">
      <c r="A579" t="s">
        <v>781</v>
      </c>
      <c r="B579" t="s">
        <v>36</v>
      </c>
      <c r="C579" t="s">
        <v>17</v>
      </c>
      <c r="D579">
        <v>26</v>
      </c>
      <c r="E579" t="s">
        <v>26</v>
      </c>
      <c r="F579" t="s">
        <v>50</v>
      </c>
      <c r="G579" t="s">
        <v>33</v>
      </c>
      <c r="H579">
        <v>72000</v>
      </c>
      <c r="I579">
        <v>5</v>
      </c>
      <c r="J579">
        <v>4</v>
      </c>
      <c r="K579">
        <v>4</v>
      </c>
      <c r="L579" t="s">
        <v>21</v>
      </c>
      <c r="M579" t="s">
        <v>29</v>
      </c>
      <c r="N579" t="s">
        <v>34</v>
      </c>
      <c r="O579" t="s">
        <v>54</v>
      </c>
      <c r="P579" t="str">
        <f t="shared" si="45"/>
        <v>20-29</v>
      </c>
      <c r="Q579" t="str">
        <f t="shared" si="46"/>
        <v>High</v>
      </c>
      <c r="R579" t="str">
        <f t="shared" si="47"/>
        <v>Mid-Level</v>
      </c>
      <c r="S579" t="str">
        <f t="shared" si="48"/>
        <v>High Performer</v>
      </c>
      <c r="T579" s="4" t="str">
        <f t="shared" si="49"/>
        <v>Satisfied</v>
      </c>
    </row>
    <row r="580" spans="1:20" x14ac:dyDescent="0.3">
      <c r="A580" t="s">
        <v>782</v>
      </c>
      <c r="B580" t="s">
        <v>242</v>
      </c>
      <c r="C580" t="s">
        <v>17</v>
      </c>
      <c r="D580">
        <v>38</v>
      </c>
      <c r="E580" t="s">
        <v>57</v>
      </c>
      <c r="F580" t="s">
        <v>50</v>
      </c>
      <c r="G580" t="s">
        <v>20</v>
      </c>
      <c r="H580">
        <v>117000</v>
      </c>
      <c r="I580">
        <v>8</v>
      </c>
      <c r="J580">
        <v>2</v>
      </c>
      <c r="K580">
        <v>4</v>
      </c>
      <c r="L580" t="s">
        <v>21</v>
      </c>
      <c r="M580" t="s">
        <v>29</v>
      </c>
      <c r="N580" t="s">
        <v>22</v>
      </c>
      <c r="O580" t="s">
        <v>30</v>
      </c>
      <c r="P580" t="str">
        <f t="shared" si="45"/>
        <v>30-39</v>
      </c>
      <c r="Q580" t="str">
        <f t="shared" si="46"/>
        <v>High</v>
      </c>
      <c r="R580" t="str">
        <f t="shared" si="47"/>
        <v>Senior</v>
      </c>
      <c r="S580" t="str">
        <f t="shared" si="48"/>
        <v>Needs Improvement</v>
      </c>
      <c r="T580" s="4" t="str">
        <f t="shared" si="49"/>
        <v>Satisfied</v>
      </c>
    </row>
    <row r="581" spans="1:20" x14ac:dyDescent="0.3">
      <c r="A581" t="s">
        <v>783</v>
      </c>
      <c r="B581" t="s">
        <v>384</v>
      </c>
      <c r="C581" t="s">
        <v>37</v>
      </c>
      <c r="D581">
        <v>39</v>
      </c>
      <c r="E581" t="s">
        <v>57</v>
      </c>
      <c r="F581" t="s">
        <v>27</v>
      </c>
      <c r="G581" t="s">
        <v>28</v>
      </c>
      <c r="H581">
        <v>78000</v>
      </c>
      <c r="I581">
        <v>9</v>
      </c>
      <c r="J581">
        <v>2</v>
      </c>
      <c r="K581">
        <v>5</v>
      </c>
      <c r="L581" t="s">
        <v>29</v>
      </c>
      <c r="M581" t="s">
        <v>29</v>
      </c>
      <c r="N581" t="s">
        <v>34</v>
      </c>
      <c r="O581" t="s">
        <v>30</v>
      </c>
      <c r="P581" t="str">
        <f t="shared" si="45"/>
        <v>30-39</v>
      </c>
      <c r="Q581" t="str">
        <f t="shared" si="46"/>
        <v>High</v>
      </c>
      <c r="R581" t="str">
        <f t="shared" si="47"/>
        <v>Senior</v>
      </c>
      <c r="S581" t="str">
        <f t="shared" si="48"/>
        <v>Needs Improvement</v>
      </c>
      <c r="T581" s="4" t="str">
        <f t="shared" si="49"/>
        <v>Satisfied</v>
      </c>
    </row>
    <row r="582" spans="1:20" x14ac:dyDescent="0.3">
      <c r="A582" t="s">
        <v>784</v>
      </c>
      <c r="B582" t="s">
        <v>191</v>
      </c>
      <c r="C582" t="s">
        <v>17</v>
      </c>
      <c r="D582">
        <v>45</v>
      </c>
      <c r="E582" t="s">
        <v>57</v>
      </c>
      <c r="F582" t="s">
        <v>27</v>
      </c>
      <c r="G582" t="s">
        <v>46</v>
      </c>
      <c r="H582">
        <v>31000</v>
      </c>
      <c r="I582">
        <v>1</v>
      </c>
      <c r="J582">
        <v>5</v>
      </c>
      <c r="K582">
        <v>4</v>
      </c>
      <c r="L582" t="s">
        <v>29</v>
      </c>
      <c r="M582" t="s">
        <v>29</v>
      </c>
      <c r="N582" t="s">
        <v>34</v>
      </c>
      <c r="O582" t="s">
        <v>54</v>
      </c>
      <c r="P582" t="str">
        <f t="shared" si="45"/>
        <v>40-49</v>
      </c>
      <c r="Q582" t="str">
        <f t="shared" si="46"/>
        <v>Low</v>
      </c>
      <c r="R582" t="str">
        <f t="shared" si="47"/>
        <v>Junior</v>
      </c>
      <c r="S582" t="str">
        <f t="shared" si="48"/>
        <v>High Performer</v>
      </c>
      <c r="T582" s="4" t="str">
        <f t="shared" si="49"/>
        <v>Satisfied</v>
      </c>
    </row>
    <row r="583" spans="1:20" x14ac:dyDescent="0.3">
      <c r="A583" t="s">
        <v>785</v>
      </c>
      <c r="B583" t="s">
        <v>366</v>
      </c>
      <c r="C583" t="s">
        <v>37</v>
      </c>
      <c r="D583">
        <v>45</v>
      </c>
      <c r="E583" t="s">
        <v>18</v>
      </c>
      <c r="F583" t="s">
        <v>126</v>
      </c>
      <c r="G583" t="s">
        <v>33</v>
      </c>
      <c r="H583">
        <v>99000</v>
      </c>
      <c r="I583">
        <v>20</v>
      </c>
      <c r="J583">
        <v>4</v>
      </c>
      <c r="K583">
        <v>4</v>
      </c>
      <c r="L583" t="s">
        <v>21</v>
      </c>
      <c r="M583" t="s">
        <v>29</v>
      </c>
      <c r="N583" t="s">
        <v>34</v>
      </c>
      <c r="O583" t="s">
        <v>38</v>
      </c>
      <c r="P583" t="str">
        <f t="shared" si="45"/>
        <v>40-49</v>
      </c>
      <c r="Q583" t="str">
        <f t="shared" si="46"/>
        <v>High</v>
      </c>
      <c r="R583" t="str">
        <f t="shared" si="47"/>
        <v>Senior</v>
      </c>
      <c r="S583" t="str">
        <f t="shared" si="48"/>
        <v>High Performer</v>
      </c>
      <c r="T583" s="4" t="str">
        <f t="shared" si="49"/>
        <v>Satisfied</v>
      </c>
    </row>
    <row r="584" spans="1:20" x14ac:dyDescent="0.3">
      <c r="A584" t="s">
        <v>786</v>
      </c>
      <c r="B584" t="s">
        <v>381</v>
      </c>
      <c r="C584" t="s">
        <v>17</v>
      </c>
      <c r="D584">
        <v>41</v>
      </c>
      <c r="E584" t="s">
        <v>57</v>
      </c>
      <c r="F584" t="s">
        <v>27</v>
      </c>
      <c r="G584" t="s">
        <v>20</v>
      </c>
      <c r="H584">
        <v>109000</v>
      </c>
      <c r="I584">
        <v>15</v>
      </c>
      <c r="J584">
        <v>4</v>
      </c>
      <c r="K584">
        <v>1</v>
      </c>
      <c r="L584" t="s">
        <v>21</v>
      </c>
      <c r="M584" t="s">
        <v>21</v>
      </c>
      <c r="N584" t="s">
        <v>34</v>
      </c>
      <c r="O584" t="s">
        <v>51</v>
      </c>
      <c r="P584" t="str">
        <f t="shared" si="45"/>
        <v>40-49</v>
      </c>
      <c r="Q584" t="str">
        <f t="shared" si="46"/>
        <v>High</v>
      </c>
      <c r="R584" t="str">
        <f t="shared" si="47"/>
        <v>Senior</v>
      </c>
      <c r="S584" t="str">
        <f t="shared" si="48"/>
        <v>High Performer</v>
      </c>
      <c r="T584" s="4" t="str">
        <f t="shared" si="49"/>
        <v>Dissatisfied</v>
      </c>
    </row>
    <row r="585" spans="1:20" x14ac:dyDescent="0.3">
      <c r="A585" t="s">
        <v>787</v>
      </c>
      <c r="B585" t="s">
        <v>142</v>
      </c>
      <c r="C585" t="s">
        <v>37</v>
      </c>
      <c r="D585">
        <v>38</v>
      </c>
      <c r="E585" t="s">
        <v>26</v>
      </c>
      <c r="F585" t="s">
        <v>27</v>
      </c>
      <c r="G585" t="s">
        <v>46</v>
      </c>
      <c r="H585">
        <v>110000</v>
      </c>
      <c r="I585">
        <v>17</v>
      </c>
      <c r="J585">
        <v>2</v>
      </c>
      <c r="K585">
        <v>2</v>
      </c>
      <c r="L585" t="s">
        <v>29</v>
      </c>
      <c r="M585" t="s">
        <v>29</v>
      </c>
      <c r="N585" t="s">
        <v>22</v>
      </c>
      <c r="O585" t="s">
        <v>70</v>
      </c>
      <c r="P585" t="str">
        <f t="shared" si="45"/>
        <v>30-39</v>
      </c>
      <c r="Q585" t="str">
        <f t="shared" si="46"/>
        <v>High</v>
      </c>
      <c r="R585" t="str">
        <f t="shared" si="47"/>
        <v>Senior</v>
      </c>
      <c r="S585" t="str">
        <f t="shared" si="48"/>
        <v>Needs Improvement</v>
      </c>
      <c r="T585" s="4" t="str">
        <f t="shared" si="49"/>
        <v>Dissatisfied</v>
      </c>
    </row>
    <row r="586" spans="1:20" x14ac:dyDescent="0.3">
      <c r="A586" t="s">
        <v>788</v>
      </c>
      <c r="B586" t="s">
        <v>207</v>
      </c>
      <c r="C586" t="s">
        <v>17</v>
      </c>
      <c r="D586">
        <v>46</v>
      </c>
      <c r="E586" t="s">
        <v>57</v>
      </c>
      <c r="F586" t="s">
        <v>27</v>
      </c>
      <c r="G586" t="s">
        <v>20</v>
      </c>
      <c r="H586">
        <v>69000</v>
      </c>
      <c r="I586">
        <v>0</v>
      </c>
      <c r="J586">
        <v>5</v>
      </c>
      <c r="K586">
        <v>1</v>
      </c>
      <c r="L586" t="s">
        <v>29</v>
      </c>
      <c r="M586" t="s">
        <v>29</v>
      </c>
      <c r="N586" t="s">
        <v>34</v>
      </c>
      <c r="O586" t="s">
        <v>51</v>
      </c>
      <c r="P586" t="str">
        <f t="shared" si="45"/>
        <v>40-49</v>
      </c>
      <c r="Q586" t="str">
        <f t="shared" si="46"/>
        <v>Medium</v>
      </c>
      <c r="R586" t="str">
        <f t="shared" si="47"/>
        <v>Junior</v>
      </c>
      <c r="S586" t="str">
        <f t="shared" si="48"/>
        <v>High Performer</v>
      </c>
      <c r="T586" s="4" t="str">
        <f t="shared" si="49"/>
        <v>Dissatisfied</v>
      </c>
    </row>
    <row r="587" spans="1:20" x14ac:dyDescent="0.3">
      <c r="A587" t="s">
        <v>789</v>
      </c>
      <c r="B587" t="s">
        <v>210</v>
      </c>
      <c r="C587" t="s">
        <v>17</v>
      </c>
      <c r="D587">
        <v>44</v>
      </c>
      <c r="E587" t="s">
        <v>26</v>
      </c>
      <c r="F587" t="s">
        <v>50</v>
      </c>
      <c r="G587" t="s">
        <v>33</v>
      </c>
      <c r="H587">
        <v>95000</v>
      </c>
      <c r="I587">
        <v>12</v>
      </c>
      <c r="J587">
        <v>2</v>
      </c>
      <c r="K587">
        <v>4</v>
      </c>
      <c r="L587" t="s">
        <v>21</v>
      </c>
      <c r="M587" t="s">
        <v>29</v>
      </c>
      <c r="N587" t="s">
        <v>22</v>
      </c>
      <c r="O587" t="s">
        <v>51</v>
      </c>
      <c r="P587" t="str">
        <f t="shared" si="45"/>
        <v>40-49</v>
      </c>
      <c r="Q587" t="str">
        <f t="shared" si="46"/>
        <v>High</v>
      </c>
      <c r="R587" t="str">
        <f t="shared" si="47"/>
        <v>Senior</v>
      </c>
      <c r="S587" t="str">
        <f t="shared" si="48"/>
        <v>Needs Improvement</v>
      </c>
      <c r="T587" s="4" t="str">
        <f t="shared" si="49"/>
        <v>Satisfied</v>
      </c>
    </row>
    <row r="588" spans="1:20" x14ac:dyDescent="0.3">
      <c r="A588" t="s">
        <v>790</v>
      </c>
      <c r="B588" t="s">
        <v>53</v>
      </c>
      <c r="C588" t="s">
        <v>37</v>
      </c>
      <c r="D588">
        <v>37</v>
      </c>
      <c r="E588" t="s">
        <v>26</v>
      </c>
      <c r="F588" t="s">
        <v>50</v>
      </c>
      <c r="G588" t="s">
        <v>46</v>
      </c>
      <c r="H588">
        <v>51000</v>
      </c>
      <c r="I588">
        <v>5</v>
      </c>
      <c r="J588">
        <v>4</v>
      </c>
      <c r="K588">
        <v>5</v>
      </c>
      <c r="L588" t="s">
        <v>21</v>
      </c>
      <c r="M588" t="s">
        <v>29</v>
      </c>
      <c r="N588" t="s">
        <v>22</v>
      </c>
      <c r="O588" t="s">
        <v>30</v>
      </c>
      <c r="P588" t="str">
        <f t="shared" si="45"/>
        <v>30-39</v>
      </c>
      <c r="Q588" t="str">
        <f t="shared" si="46"/>
        <v>Medium</v>
      </c>
      <c r="R588" t="str">
        <f t="shared" si="47"/>
        <v>Mid-Level</v>
      </c>
      <c r="S588" t="str">
        <f t="shared" si="48"/>
        <v>High Performer</v>
      </c>
      <c r="T588" s="4" t="str">
        <f t="shared" si="49"/>
        <v>Satisfied</v>
      </c>
    </row>
    <row r="589" spans="1:20" x14ac:dyDescent="0.3">
      <c r="A589" t="s">
        <v>791</v>
      </c>
      <c r="B589" t="s">
        <v>244</v>
      </c>
      <c r="C589" t="s">
        <v>37</v>
      </c>
      <c r="D589">
        <v>49</v>
      </c>
      <c r="E589" t="s">
        <v>49</v>
      </c>
      <c r="F589" t="s">
        <v>27</v>
      </c>
      <c r="G589" t="s">
        <v>46</v>
      </c>
      <c r="H589">
        <v>29000</v>
      </c>
      <c r="I589">
        <v>3</v>
      </c>
      <c r="J589">
        <v>4</v>
      </c>
      <c r="K589">
        <v>2</v>
      </c>
      <c r="L589" t="s">
        <v>29</v>
      </c>
      <c r="M589" t="s">
        <v>29</v>
      </c>
      <c r="N589" t="s">
        <v>34</v>
      </c>
      <c r="O589" t="s">
        <v>51</v>
      </c>
      <c r="P589" t="str">
        <f t="shared" si="45"/>
        <v>40-49</v>
      </c>
      <c r="Q589" t="str">
        <f t="shared" si="46"/>
        <v>Low</v>
      </c>
      <c r="R589" t="str">
        <f t="shared" si="47"/>
        <v>Mid-Level</v>
      </c>
      <c r="S589" t="str">
        <f t="shared" si="48"/>
        <v>High Performer</v>
      </c>
      <c r="T589" s="4" t="str">
        <f t="shared" si="49"/>
        <v>Dissatisfied</v>
      </c>
    </row>
    <row r="590" spans="1:20" x14ac:dyDescent="0.3">
      <c r="A590" t="s">
        <v>792</v>
      </c>
      <c r="B590" t="s">
        <v>414</v>
      </c>
      <c r="C590" t="s">
        <v>37</v>
      </c>
      <c r="D590">
        <v>52</v>
      </c>
      <c r="E590" t="s">
        <v>26</v>
      </c>
      <c r="F590" t="s">
        <v>50</v>
      </c>
      <c r="G590" t="s">
        <v>20</v>
      </c>
      <c r="H590">
        <v>71000</v>
      </c>
      <c r="I590">
        <v>5</v>
      </c>
      <c r="J590">
        <v>5</v>
      </c>
      <c r="K590">
        <v>2</v>
      </c>
      <c r="L590" t="s">
        <v>29</v>
      </c>
      <c r="M590" t="s">
        <v>29</v>
      </c>
      <c r="N590" t="s">
        <v>34</v>
      </c>
      <c r="O590" t="s">
        <v>38</v>
      </c>
      <c r="P590" t="str">
        <f t="shared" si="45"/>
        <v>50+</v>
      </c>
      <c r="Q590" t="str">
        <f t="shared" si="46"/>
        <v>High</v>
      </c>
      <c r="R590" t="str">
        <f t="shared" si="47"/>
        <v>Mid-Level</v>
      </c>
      <c r="S590" t="str">
        <f t="shared" si="48"/>
        <v>High Performer</v>
      </c>
      <c r="T590" s="4" t="str">
        <f t="shared" si="49"/>
        <v>Dissatisfied</v>
      </c>
    </row>
    <row r="591" spans="1:20" x14ac:dyDescent="0.3">
      <c r="A591" t="s">
        <v>793</v>
      </c>
      <c r="B591" t="s">
        <v>454</v>
      </c>
      <c r="C591" t="s">
        <v>37</v>
      </c>
      <c r="D591">
        <v>30</v>
      </c>
      <c r="E591" t="s">
        <v>26</v>
      </c>
      <c r="F591" t="s">
        <v>50</v>
      </c>
      <c r="G591" t="s">
        <v>20</v>
      </c>
      <c r="H591">
        <v>89000</v>
      </c>
      <c r="I591">
        <v>9</v>
      </c>
      <c r="J591">
        <v>2</v>
      </c>
      <c r="K591">
        <v>3</v>
      </c>
      <c r="L591" t="s">
        <v>29</v>
      </c>
      <c r="M591" t="s">
        <v>29</v>
      </c>
      <c r="N591" t="s">
        <v>22</v>
      </c>
      <c r="O591" t="s">
        <v>70</v>
      </c>
      <c r="P591" t="str">
        <f t="shared" si="45"/>
        <v>30-39</v>
      </c>
      <c r="Q591" t="str">
        <f t="shared" si="46"/>
        <v>High</v>
      </c>
      <c r="R591" t="str">
        <f t="shared" si="47"/>
        <v>Senior</v>
      </c>
      <c r="S591" t="str">
        <f t="shared" si="48"/>
        <v>Needs Improvement</v>
      </c>
      <c r="T591" s="4" t="str">
        <f t="shared" si="49"/>
        <v>Neutral</v>
      </c>
    </row>
    <row r="592" spans="1:20" x14ac:dyDescent="0.3">
      <c r="A592" t="s">
        <v>794</v>
      </c>
      <c r="B592" t="s">
        <v>240</v>
      </c>
      <c r="C592" t="s">
        <v>17</v>
      </c>
      <c r="D592">
        <v>29</v>
      </c>
      <c r="E592" t="s">
        <v>18</v>
      </c>
      <c r="F592" t="s">
        <v>126</v>
      </c>
      <c r="G592" t="s">
        <v>33</v>
      </c>
      <c r="H592">
        <v>29000</v>
      </c>
      <c r="I592">
        <v>8</v>
      </c>
      <c r="J592">
        <v>4</v>
      </c>
      <c r="K592">
        <v>4</v>
      </c>
      <c r="L592" t="s">
        <v>21</v>
      </c>
      <c r="M592" t="s">
        <v>29</v>
      </c>
      <c r="N592" t="s">
        <v>34</v>
      </c>
      <c r="O592" t="s">
        <v>70</v>
      </c>
      <c r="P592" t="str">
        <f t="shared" si="45"/>
        <v>20-29</v>
      </c>
      <c r="Q592" t="str">
        <f t="shared" si="46"/>
        <v>Low</v>
      </c>
      <c r="R592" t="str">
        <f t="shared" si="47"/>
        <v>Senior</v>
      </c>
      <c r="S592" t="str">
        <f t="shared" si="48"/>
        <v>High Performer</v>
      </c>
      <c r="T592" s="4" t="str">
        <f t="shared" si="49"/>
        <v>Satisfied</v>
      </c>
    </row>
    <row r="593" spans="1:20" x14ac:dyDescent="0.3">
      <c r="A593" t="s">
        <v>795</v>
      </c>
      <c r="B593" t="s">
        <v>263</v>
      </c>
      <c r="C593" t="s">
        <v>37</v>
      </c>
      <c r="D593">
        <v>25</v>
      </c>
      <c r="E593" t="s">
        <v>41</v>
      </c>
      <c r="F593" t="s">
        <v>42</v>
      </c>
      <c r="G593" t="s">
        <v>20</v>
      </c>
      <c r="H593">
        <v>111000</v>
      </c>
      <c r="I593">
        <v>4</v>
      </c>
      <c r="J593">
        <v>4</v>
      </c>
      <c r="K593">
        <v>1</v>
      </c>
      <c r="L593" t="s">
        <v>29</v>
      </c>
      <c r="M593" t="s">
        <v>29</v>
      </c>
      <c r="N593" t="s">
        <v>22</v>
      </c>
      <c r="O593" t="s">
        <v>54</v>
      </c>
      <c r="P593" t="str">
        <f t="shared" si="45"/>
        <v>20-29</v>
      </c>
      <c r="Q593" t="str">
        <f t="shared" si="46"/>
        <v>High</v>
      </c>
      <c r="R593" t="str">
        <f t="shared" si="47"/>
        <v>Mid-Level</v>
      </c>
      <c r="S593" t="str">
        <f t="shared" si="48"/>
        <v>High Performer</v>
      </c>
      <c r="T593" s="4" t="str">
        <f t="shared" si="49"/>
        <v>Dissatisfied</v>
      </c>
    </row>
    <row r="594" spans="1:20" x14ac:dyDescent="0.3">
      <c r="A594" t="s">
        <v>796</v>
      </c>
      <c r="B594" t="s">
        <v>134</v>
      </c>
      <c r="C594" t="s">
        <v>17</v>
      </c>
      <c r="D594">
        <v>42</v>
      </c>
      <c r="E594" t="s">
        <v>41</v>
      </c>
      <c r="F594" t="s">
        <v>73</v>
      </c>
      <c r="G594" t="s">
        <v>33</v>
      </c>
      <c r="H594">
        <v>55000</v>
      </c>
      <c r="I594">
        <v>20</v>
      </c>
      <c r="J594">
        <v>2</v>
      </c>
      <c r="K594">
        <v>5</v>
      </c>
      <c r="L594" t="s">
        <v>29</v>
      </c>
      <c r="M594" t="s">
        <v>29</v>
      </c>
      <c r="N594" t="s">
        <v>34</v>
      </c>
      <c r="O594" t="s">
        <v>23</v>
      </c>
      <c r="P594" t="str">
        <f t="shared" si="45"/>
        <v>40-49</v>
      </c>
      <c r="Q594" t="str">
        <f t="shared" si="46"/>
        <v>Medium</v>
      </c>
      <c r="R594" t="str">
        <f t="shared" si="47"/>
        <v>Senior</v>
      </c>
      <c r="S594" t="str">
        <f t="shared" si="48"/>
        <v>Needs Improvement</v>
      </c>
      <c r="T594" s="4" t="str">
        <f t="shared" si="49"/>
        <v>Satisfied</v>
      </c>
    </row>
    <row r="595" spans="1:20" x14ac:dyDescent="0.3">
      <c r="A595" t="s">
        <v>797</v>
      </c>
      <c r="B595" t="s">
        <v>357</v>
      </c>
      <c r="C595" t="s">
        <v>17</v>
      </c>
      <c r="D595">
        <v>29</v>
      </c>
      <c r="E595" t="s">
        <v>57</v>
      </c>
      <c r="F595" t="s">
        <v>27</v>
      </c>
      <c r="G595" t="s">
        <v>20</v>
      </c>
      <c r="H595">
        <v>69000</v>
      </c>
      <c r="I595">
        <v>8</v>
      </c>
      <c r="J595">
        <v>2</v>
      </c>
      <c r="K595">
        <v>5</v>
      </c>
      <c r="L595" t="s">
        <v>21</v>
      </c>
      <c r="M595" t="s">
        <v>29</v>
      </c>
      <c r="N595" t="s">
        <v>22</v>
      </c>
      <c r="O595" t="s">
        <v>54</v>
      </c>
      <c r="P595" t="str">
        <f t="shared" si="45"/>
        <v>20-29</v>
      </c>
      <c r="Q595" t="str">
        <f t="shared" si="46"/>
        <v>Medium</v>
      </c>
      <c r="R595" t="str">
        <f t="shared" si="47"/>
        <v>Senior</v>
      </c>
      <c r="S595" t="str">
        <f t="shared" si="48"/>
        <v>Needs Improvement</v>
      </c>
      <c r="T595" s="4" t="str">
        <f t="shared" si="49"/>
        <v>Satisfied</v>
      </c>
    </row>
    <row r="596" spans="1:20" x14ac:dyDescent="0.3">
      <c r="A596" t="s">
        <v>798</v>
      </c>
      <c r="B596" t="s">
        <v>223</v>
      </c>
      <c r="C596" t="s">
        <v>37</v>
      </c>
      <c r="D596">
        <v>36</v>
      </c>
      <c r="E596" t="s">
        <v>57</v>
      </c>
      <c r="F596" t="s">
        <v>27</v>
      </c>
      <c r="G596" t="s">
        <v>28</v>
      </c>
      <c r="H596">
        <v>100000</v>
      </c>
      <c r="I596">
        <v>15</v>
      </c>
      <c r="J596">
        <v>4</v>
      </c>
      <c r="K596">
        <v>1</v>
      </c>
      <c r="L596" t="s">
        <v>21</v>
      </c>
      <c r="M596" t="s">
        <v>21</v>
      </c>
      <c r="N596" t="s">
        <v>22</v>
      </c>
      <c r="O596" t="s">
        <v>54</v>
      </c>
      <c r="P596" t="str">
        <f t="shared" si="45"/>
        <v>30-39</v>
      </c>
      <c r="Q596" t="str">
        <f t="shared" si="46"/>
        <v>High</v>
      </c>
      <c r="R596" t="str">
        <f t="shared" si="47"/>
        <v>Senior</v>
      </c>
      <c r="S596" t="str">
        <f t="shared" si="48"/>
        <v>High Performer</v>
      </c>
      <c r="T596" s="4" t="str">
        <f t="shared" si="49"/>
        <v>Dissatisfied</v>
      </c>
    </row>
    <row r="597" spans="1:20" x14ac:dyDescent="0.3">
      <c r="A597" t="s">
        <v>799</v>
      </c>
      <c r="B597" t="s">
        <v>510</v>
      </c>
      <c r="C597" t="s">
        <v>17</v>
      </c>
      <c r="D597">
        <v>47</v>
      </c>
      <c r="E597" t="s">
        <v>18</v>
      </c>
      <c r="F597" t="s">
        <v>126</v>
      </c>
      <c r="G597" t="s">
        <v>28</v>
      </c>
      <c r="H597">
        <v>110000</v>
      </c>
      <c r="I597">
        <v>4</v>
      </c>
      <c r="J597">
        <v>3</v>
      </c>
      <c r="K597">
        <v>3</v>
      </c>
      <c r="L597" t="s">
        <v>29</v>
      </c>
      <c r="M597" t="s">
        <v>29</v>
      </c>
      <c r="N597" t="s">
        <v>22</v>
      </c>
      <c r="O597" t="s">
        <v>70</v>
      </c>
      <c r="P597" t="str">
        <f t="shared" si="45"/>
        <v>40-49</v>
      </c>
      <c r="Q597" t="str">
        <f t="shared" si="46"/>
        <v>High</v>
      </c>
      <c r="R597" t="str">
        <f t="shared" si="47"/>
        <v>Mid-Level</v>
      </c>
      <c r="S597" t="str">
        <f t="shared" si="48"/>
        <v>Needs Improvement</v>
      </c>
      <c r="T597" s="4" t="str">
        <f t="shared" si="49"/>
        <v>Neutral</v>
      </c>
    </row>
    <row r="598" spans="1:20" x14ac:dyDescent="0.3">
      <c r="A598" t="s">
        <v>800</v>
      </c>
      <c r="B598" t="s">
        <v>558</v>
      </c>
      <c r="C598" t="s">
        <v>37</v>
      </c>
      <c r="D598">
        <v>25</v>
      </c>
      <c r="E598" t="s">
        <v>18</v>
      </c>
      <c r="F598" t="s">
        <v>19</v>
      </c>
      <c r="G598" t="s">
        <v>46</v>
      </c>
      <c r="H598">
        <v>74000</v>
      </c>
      <c r="I598">
        <v>4</v>
      </c>
      <c r="J598">
        <v>3</v>
      </c>
      <c r="K598">
        <v>3</v>
      </c>
      <c r="L598" t="s">
        <v>29</v>
      </c>
      <c r="M598" t="s">
        <v>29</v>
      </c>
      <c r="N598" t="s">
        <v>34</v>
      </c>
      <c r="O598" t="s">
        <v>30</v>
      </c>
      <c r="P598" t="str">
        <f t="shared" si="45"/>
        <v>20-29</v>
      </c>
      <c r="Q598" t="str">
        <f t="shared" si="46"/>
        <v>High</v>
      </c>
      <c r="R598" t="str">
        <f t="shared" si="47"/>
        <v>Mid-Level</v>
      </c>
      <c r="S598" t="str">
        <f t="shared" si="48"/>
        <v>Needs Improvement</v>
      </c>
      <c r="T598" s="4" t="str">
        <f t="shared" si="49"/>
        <v>Neutral</v>
      </c>
    </row>
    <row r="599" spans="1:20" x14ac:dyDescent="0.3">
      <c r="A599" t="s">
        <v>801</v>
      </c>
      <c r="B599" t="s">
        <v>229</v>
      </c>
      <c r="C599" t="s">
        <v>17</v>
      </c>
      <c r="D599">
        <v>52</v>
      </c>
      <c r="E599" t="s">
        <v>26</v>
      </c>
      <c r="F599" t="s">
        <v>50</v>
      </c>
      <c r="G599" t="s">
        <v>46</v>
      </c>
      <c r="H599">
        <v>74000</v>
      </c>
      <c r="I599">
        <v>12</v>
      </c>
      <c r="J599">
        <v>4</v>
      </c>
      <c r="K599">
        <v>2</v>
      </c>
      <c r="L599" t="s">
        <v>21</v>
      </c>
      <c r="M599" t="s">
        <v>29</v>
      </c>
      <c r="N599" t="s">
        <v>34</v>
      </c>
      <c r="O599" t="s">
        <v>43</v>
      </c>
      <c r="P599" t="str">
        <f t="shared" si="45"/>
        <v>50+</v>
      </c>
      <c r="Q599" t="str">
        <f t="shared" si="46"/>
        <v>High</v>
      </c>
      <c r="R599" t="str">
        <f t="shared" si="47"/>
        <v>Senior</v>
      </c>
      <c r="S599" t="str">
        <f t="shared" si="48"/>
        <v>High Performer</v>
      </c>
      <c r="T599" s="4" t="str">
        <f t="shared" si="49"/>
        <v>Dissatisfied</v>
      </c>
    </row>
    <row r="600" spans="1:20" x14ac:dyDescent="0.3">
      <c r="A600" t="s">
        <v>802</v>
      </c>
      <c r="B600" t="s">
        <v>114</v>
      </c>
      <c r="C600" t="s">
        <v>17</v>
      </c>
      <c r="D600">
        <v>30</v>
      </c>
      <c r="E600" t="s">
        <v>41</v>
      </c>
      <c r="F600" t="s">
        <v>73</v>
      </c>
      <c r="G600" t="s">
        <v>28</v>
      </c>
      <c r="H600">
        <v>89000</v>
      </c>
      <c r="I600">
        <v>5</v>
      </c>
      <c r="J600">
        <v>5</v>
      </c>
      <c r="K600">
        <v>3</v>
      </c>
      <c r="L600" t="s">
        <v>21</v>
      </c>
      <c r="M600" t="s">
        <v>29</v>
      </c>
      <c r="N600" t="s">
        <v>34</v>
      </c>
      <c r="O600" t="s">
        <v>38</v>
      </c>
      <c r="P600" t="str">
        <f t="shared" si="45"/>
        <v>30-39</v>
      </c>
      <c r="Q600" t="str">
        <f t="shared" si="46"/>
        <v>High</v>
      </c>
      <c r="R600" t="str">
        <f t="shared" si="47"/>
        <v>Mid-Level</v>
      </c>
      <c r="S600" t="str">
        <f t="shared" si="48"/>
        <v>High Performer</v>
      </c>
      <c r="T600" s="4" t="str">
        <f t="shared" si="49"/>
        <v>Neutral</v>
      </c>
    </row>
    <row r="601" spans="1:20" x14ac:dyDescent="0.3">
      <c r="A601" t="s">
        <v>803</v>
      </c>
      <c r="B601" t="s">
        <v>207</v>
      </c>
      <c r="C601" t="s">
        <v>37</v>
      </c>
      <c r="D601">
        <v>50</v>
      </c>
      <c r="E601" t="s">
        <v>18</v>
      </c>
      <c r="F601" t="s">
        <v>19</v>
      </c>
      <c r="G601" t="s">
        <v>20</v>
      </c>
      <c r="H601">
        <v>59000</v>
      </c>
      <c r="I601">
        <v>1</v>
      </c>
      <c r="J601">
        <v>3</v>
      </c>
      <c r="K601">
        <v>5</v>
      </c>
      <c r="L601" t="s">
        <v>29</v>
      </c>
      <c r="M601" t="s">
        <v>29</v>
      </c>
      <c r="N601" t="s">
        <v>34</v>
      </c>
      <c r="O601" t="s">
        <v>75</v>
      </c>
      <c r="P601" t="str">
        <f t="shared" si="45"/>
        <v>50+</v>
      </c>
      <c r="Q601" t="str">
        <f t="shared" si="46"/>
        <v>Medium</v>
      </c>
      <c r="R601" t="str">
        <f t="shared" si="47"/>
        <v>Junior</v>
      </c>
      <c r="S601" t="str">
        <f t="shared" si="48"/>
        <v>Needs Improvement</v>
      </c>
      <c r="T601" s="4" t="str">
        <f t="shared" si="49"/>
        <v>Satisfied</v>
      </c>
    </row>
    <row r="602" spans="1:20" x14ac:dyDescent="0.3">
      <c r="A602" t="s">
        <v>804</v>
      </c>
      <c r="B602" t="s">
        <v>138</v>
      </c>
      <c r="C602" t="s">
        <v>37</v>
      </c>
      <c r="D602">
        <v>42</v>
      </c>
      <c r="E602" t="s">
        <v>49</v>
      </c>
      <c r="F602" t="s">
        <v>50</v>
      </c>
      <c r="G602" t="s">
        <v>20</v>
      </c>
      <c r="H602">
        <v>99000</v>
      </c>
      <c r="I602">
        <v>16</v>
      </c>
      <c r="J602">
        <v>2</v>
      </c>
      <c r="K602">
        <v>3</v>
      </c>
      <c r="L602" t="s">
        <v>29</v>
      </c>
      <c r="M602" t="s">
        <v>29</v>
      </c>
      <c r="N602" t="s">
        <v>22</v>
      </c>
      <c r="O602" t="s">
        <v>30</v>
      </c>
      <c r="P602" t="str">
        <f t="shared" si="45"/>
        <v>40-49</v>
      </c>
      <c r="Q602" t="str">
        <f t="shared" si="46"/>
        <v>High</v>
      </c>
      <c r="R602" t="str">
        <f t="shared" si="47"/>
        <v>Senior</v>
      </c>
      <c r="S602" t="str">
        <f t="shared" si="48"/>
        <v>Needs Improvement</v>
      </c>
      <c r="T602" s="4" t="str">
        <f t="shared" si="49"/>
        <v>Neutral</v>
      </c>
    </row>
    <row r="603" spans="1:20" x14ac:dyDescent="0.3">
      <c r="A603" t="s">
        <v>805</v>
      </c>
      <c r="B603" t="s">
        <v>154</v>
      </c>
      <c r="C603" t="s">
        <v>17</v>
      </c>
      <c r="D603">
        <v>53</v>
      </c>
      <c r="E603" t="s">
        <v>49</v>
      </c>
      <c r="F603" t="s">
        <v>50</v>
      </c>
      <c r="G603" t="s">
        <v>46</v>
      </c>
      <c r="H603">
        <v>72000</v>
      </c>
      <c r="I603">
        <v>6</v>
      </c>
      <c r="J603">
        <v>4</v>
      </c>
      <c r="K603">
        <v>1</v>
      </c>
      <c r="L603" t="s">
        <v>29</v>
      </c>
      <c r="M603" t="s">
        <v>29</v>
      </c>
      <c r="N603" t="s">
        <v>22</v>
      </c>
      <c r="O603" t="s">
        <v>23</v>
      </c>
      <c r="P603" t="str">
        <f t="shared" si="45"/>
        <v>50+</v>
      </c>
      <c r="Q603" t="str">
        <f t="shared" si="46"/>
        <v>High</v>
      </c>
      <c r="R603" t="str">
        <f t="shared" si="47"/>
        <v>Mid-Level</v>
      </c>
      <c r="S603" t="str">
        <f t="shared" si="48"/>
        <v>High Performer</v>
      </c>
      <c r="T603" s="4" t="str">
        <f t="shared" si="49"/>
        <v>Dissatisfied</v>
      </c>
    </row>
    <row r="604" spans="1:20" x14ac:dyDescent="0.3">
      <c r="A604" t="s">
        <v>806</v>
      </c>
      <c r="B604" t="s">
        <v>529</v>
      </c>
      <c r="C604" t="s">
        <v>17</v>
      </c>
      <c r="D604">
        <v>49</v>
      </c>
      <c r="E604" t="s">
        <v>26</v>
      </c>
      <c r="F604" t="s">
        <v>50</v>
      </c>
      <c r="G604" t="s">
        <v>33</v>
      </c>
      <c r="H604">
        <v>76000</v>
      </c>
      <c r="I604">
        <v>18</v>
      </c>
      <c r="J604">
        <v>3</v>
      </c>
      <c r="K604">
        <v>3</v>
      </c>
      <c r="L604" t="s">
        <v>29</v>
      </c>
      <c r="M604" t="s">
        <v>21</v>
      </c>
      <c r="N604" t="s">
        <v>22</v>
      </c>
      <c r="O604" t="s">
        <v>30</v>
      </c>
      <c r="P604" t="str">
        <f t="shared" si="45"/>
        <v>40-49</v>
      </c>
      <c r="Q604" t="str">
        <f t="shared" si="46"/>
        <v>High</v>
      </c>
      <c r="R604" t="str">
        <f t="shared" si="47"/>
        <v>Senior</v>
      </c>
      <c r="S604" t="str">
        <f t="shared" si="48"/>
        <v>Needs Improvement</v>
      </c>
      <c r="T604" s="4" t="str">
        <f t="shared" si="49"/>
        <v>Neutral</v>
      </c>
    </row>
    <row r="605" spans="1:20" x14ac:dyDescent="0.3">
      <c r="A605" t="s">
        <v>807</v>
      </c>
      <c r="B605" t="s">
        <v>308</v>
      </c>
      <c r="C605" t="s">
        <v>17</v>
      </c>
      <c r="D605">
        <v>48</v>
      </c>
      <c r="E605" t="s">
        <v>18</v>
      </c>
      <c r="F605" t="s">
        <v>126</v>
      </c>
      <c r="G605" t="s">
        <v>20</v>
      </c>
      <c r="H605">
        <v>25000</v>
      </c>
      <c r="I605">
        <v>13</v>
      </c>
      <c r="J605">
        <v>4</v>
      </c>
      <c r="K605">
        <v>5</v>
      </c>
      <c r="L605" t="s">
        <v>21</v>
      </c>
      <c r="M605" t="s">
        <v>29</v>
      </c>
      <c r="N605" t="s">
        <v>34</v>
      </c>
      <c r="O605" t="s">
        <v>23</v>
      </c>
      <c r="P605" t="str">
        <f t="shared" si="45"/>
        <v>40-49</v>
      </c>
      <c r="Q605" t="str">
        <f t="shared" si="46"/>
        <v>Low</v>
      </c>
      <c r="R605" t="str">
        <f t="shared" si="47"/>
        <v>Senior</v>
      </c>
      <c r="S605" t="str">
        <f t="shared" si="48"/>
        <v>High Performer</v>
      </c>
      <c r="T605" s="4" t="str">
        <f t="shared" si="49"/>
        <v>Satisfied</v>
      </c>
    </row>
    <row r="606" spans="1:20" x14ac:dyDescent="0.3">
      <c r="A606" t="s">
        <v>808</v>
      </c>
      <c r="B606" t="s">
        <v>217</v>
      </c>
      <c r="C606" t="s">
        <v>17</v>
      </c>
      <c r="D606">
        <v>54</v>
      </c>
      <c r="E606" t="s">
        <v>41</v>
      </c>
      <c r="F606" t="s">
        <v>73</v>
      </c>
      <c r="G606" t="s">
        <v>28</v>
      </c>
      <c r="H606">
        <v>91000</v>
      </c>
      <c r="I606">
        <v>20</v>
      </c>
      <c r="J606">
        <v>2</v>
      </c>
      <c r="K606">
        <v>4</v>
      </c>
      <c r="L606" t="s">
        <v>29</v>
      </c>
      <c r="M606" t="s">
        <v>29</v>
      </c>
      <c r="N606" t="s">
        <v>34</v>
      </c>
      <c r="O606" t="s">
        <v>43</v>
      </c>
      <c r="P606" t="str">
        <f t="shared" si="45"/>
        <v>50+</v>
      </c>
      <c r="Q606" t="str">
        <f t="shared" si="46"/>
        <v>High</v>
      </c>
      <c r="R606" t="str">
        <f t="shared" si="47"/>
        <v>Senior</v>
      </c>
      <c r="S606" t="str">
        <f t="shared" si="48"/>
        <v>Needs Improvement</v>
      </c>
      <c r="T606" s="4" t="str">
        <f t="shared" si="49"/>
        <v>Satisfied</v>
      </c>
    </row>
    <row r="607" spans="1:20" x14ac:dyDescent="0.3">
      <c r="A607" t="s">
        <v>809</v>
      </c>
      <c r="B607" t="s">
        <v>96</v>
      </c>
      <c r="C607" t="s">
        <v>37</v>
      </c>
      <c r="D607">
        <v>40</v>
      </c>
      <c r="E607" t="s">
        <v>66</v>
      </c>
      <c r="F607" t="s">
        <v>67</v>
      </c>
      <c r="G607" t="s">
        <v>33</v>
      </c>
      <c r="H607">
        <v>119000</v>
      </c>
      <c r="I607">
        <v>6</v>
      </c>
      <c r="J607">
        <v>4</v>
      </c>
      <c r="K607">
        <v>3</v>
      </c>
      <c r="L607" t="s">
        <v>29</v>
      </c>
      <c r="M607" t="s">
        <v>29</v>
      </c>
      <c r="N607" t="s">
        <v>34</v>
      </c>
      <c r="O607" t="s">
        <v>54</v>
      </c>
      <c r="P607" t="str">
        <f t="shared" si="45"/>
        <v>40-49</v>
      </c>
      <c r="Q607" t="str">
        <f t="shared" si="46"/>
        <v>High</v>
      </c>
      <c r="R607" t="str">
        <f t="shared" si="47"/>
        <v>Mid-Level</v>
      </c>
      <c r="S607" t="str">
        <f t="shared" si="48"/>
        <v>High Performer</v>
      </c>
      <c r="T607" s="4" t="str">
        <f t="shared" si="49"/>
        <v>Neutral</v>
      </c>
    </row>
    <row r="608" spans="1:20" x14ac:dyDescent="0.3">
      <c r="A608" t="s">
        <v>810</v>
      </c>
      <c r="B608" t="s">
        <v>486</v>
      </c>
      <c r="C608" t="s">
        <v>17</v>
      </c>
      <c r="D608">
        <v>48</v>
      </c>
      <c r="E608" t="s">
        <v>18</v>
      </c>
      <c r="F608" t="s">
        <v>126</v>
      </c>
      <c r="G608" t="s">
        <v>46</v>
      </c>
      <c r="H608">
        <v>42000</v>
      </c>
      <c r="I608">
        <v>12</v>
      </c>
      <c r="J608">
        <v>5</v>
      </c>
      <c r="K608">
        <v>2</v>
      </c>
      <c r="L608" t="s">
        <v>29</v>
      </c>
      <c r="M608" t="s">
        <v>29</v>
      </c>
      <c r="N608" t="s">
        <v>22</v>
      </c>
      <c r="O608" t="s">
        <v>43</v>
      </c>
      <c r="P608" t="str">
        <f t="shared" si="45"/>
        <v>40-49</v>
      </c>
      <c r="Q608" t="str">
        <f t="shared" si="46"/>
        <v>Medium</v>
      </c>
      <c r="R608" t="str">
        <f t="shared" si="47"/>
        <v>Senior</v>
      </c>
      <c r="S608" t="str">
        <f t="shared" si="48"/>
        <v>High Performer</v>
      </c>
      <c r="T608" s="4" t="str">
        <f t="shared" si="49"/>
        <v>Dissatisfied</v>
      </c>
    </row>
    <row r="609" spans="1:20" x14ac:dyDescent="0.3">
      <c r="A609" t="s">
        <v>811</v>
      </c>
      <c r="B609" t="s">
        <v>16</v>
      </c>
      <c r="C609" t="s">
        <v>17</v>
      </c>
      <c r="D609">
        <v>35</v>
      </c>
      <c r="E609" t="s">
        <v>66</v>
      </c>
      <c r="F609" t="s">
        <v>82</v>
      </c>
      <c r="G609" t="s">
        <v>20</v>
      </c>
      <c r="H609">
        <v>57000</v>
      </c>
      <c r="I609">
        <v>14</v>
      </c>
      <c r="J609">
        <v>5</v>
      </c>
      <c r="K609">
        <v>5</v>
      </c>
      <c r="L609" t="s">
        <v>29</v>
      </c>
      <c r="M609" t="s">
        <v>29</v>
      </c>
      <c r="N609" t="s">
        <v>22</v>
      </c>
      <c r="O609" t="s">
        <v>23</v>
      </c>
      <c r="P609" t="str">
        <f t="shared" si="45"/>
        <v>30-39</v>
      </c>
      <c r="Q609" t="str">
        <f t="shared" si="46"/>
        <v>Medium</v>
      </c>
      <c r="R609" t="str">
        <f t="shared" si="47"/>
        <v>Senior</v>
      </c>
      <c r="S609" t="str">
        <f t="shared" si="48"/>
        <v>High Performer</v>
      </c>
      <c r="T609" s="4" t="str">
        <f t="shared" si="49"/>
        <v>Satisfied</v>
      </c>
    </row>
    <row r="610" spans="1:20" x14ac:dyDescent="0.3">
      <c r="A610" t="s">
        <v>812</v>
      </c>
      <c r="B610" t="s">
        <v>104</v>
      </c>
      <c r="C610" t="s">
        <v>17</v>
      </c>
      <c r="D610">
        <v>43</v>
      </c>
      <c r="E610" t="s">
        <v>41</v>
      </c>
      <c r="F610" t="s">
        <v>73</v>
      </c>
      <c r="G610" t="s">
        <v>28</v>
      </c>
      <c r="H610">
        <v>83000</v>
      </c>
      <c r="I610">
        <v>15</v>
      </c>
      <c r="J610">
        <v>4</v>
      </c>
      <c r="K610">
        <v>3</v>
      </c>
      <c r="L610" t="s">
        <v>29</v>
      </c>
      <c r="M610" t="s">
        <v>29</v>
      </c>
      <c r="N610" t="s">
        <v>34</v>
      </c>
      <c r="O610" t="s">
        <v>70</v>
      </c>
      <c r="P610" t="str">
        <f t="shared" si="45"/>
        <v>40-49</v>
      </c>
      <c r="Q610" t="str">
        <f t="shared" si="46"/>
        <v>High</v>
      </c>
      <c r="R610" t="str">
        <f t="shared" si="47"/>
        <v>Senior</v>
      </c>
      <c r="S610" t="str">
        <f t="shared" si="48"/>
        <v>High Performer</v>
      </c>
      <c r="T610" s="4" t="str">
        <f t="shared" si="49"/>
        <v>Neutral</v>
      </c>
    </row>
    <row r="611" spans="1:20" x14ac:dyDescent="0.3">
      <c r="A611" t="s">
        <v>813</v>
      </c>
      <c r="B611" t="s">
        <v>269</v>
      </c>
      <c r="C611" t="s">
        <v>37</v>
      </c>
      <c r="D611">
        <v>44</v>
      </c>
      <c r="E611" t="s">
        <v>26</v>
      </c>
      <c r="F611" t="s">
        <v>50</v>
      </c>
      <c r="G611" t="s">
        <v>33</v>
      </c>
      <c r="H611">
        <v>49000</v>
      </c>
      <c r="I611">
        <v>12</v>
      </c>
      <c r="J611">
        <v>2</v>
      </c>
      <c r="K611">
        <v>2</v>
      </c>
      <c r="L611" t="s">
        <v>29</v>
      </c>
      <c r="M611" t="s">
        <v>29</v>
      </c>
      <c r="N611" t="s">
        <v>34</v>
      </c>
      <c r="O611" t="s">
        <v>43</v>
      </c>
      <c r="P611" t="str">
        <f t="shared" si="45"/>
        <v>40-49</v>
      </c>
      <c r="Q611" t="str">
        <f t="shared" si="46"/>
        <v>Medium</v>
      </c>
      <c r="R611" t="str">
        <f t="shared" si="47"/>
        <v>Senior</v>
      </c>
      <c r="S611" t="str">
        <f t="shared" si="48"/>
        <v>Needs Improvement</v>
      </c>
      <c r="T611" s="4" t="str">
        <f t="shared" si="49"/>
        <v>Dissatisfied</v>
      </c>
    </row>
    <row r="612" spans="1:20" x14ac:dyDescent="0.3">
      <c r="A612" t="s">
        <v>814</v>
      </c>
      <c r="B612" t="s">
        <v>815</v>
      </c>
      <c r="C612" t="s">
        <v>37</v>
      </c>
      <c r="D612">
        <v>55</v>
      </c>
      <c r="E612" t="s">
        <v>66</v>
      </c>
      <c r="F612" t="s">
        <v>67</v>
      </c>
      <c r="G612" t="s">
        <v>46</v>
      </c>
      <c r="H612">
        <v>29000</v>
      </c>
      <c r="I612">
        <v>11</v>
      </c>
      <c r="J612">
        <v>4</v>
      </c>
      <c r="K612">
        <v>4</v>
      </c>
      <c r="L612" t="s">
        <v>21</v>
      </c>
      <c r="M612" t="s">
        <v>29</v>
      </c>
      <c r="N612" t="s">
        <v>22</v>
      </c>
      <c r="O612" t="s">
        <v>23</v>
      </c>
      <c r="P612" t="str">
        <f t="shared" si="45"/>
        <v>50+</v>
      </c>
      <c r="Q612" t="str">
        <f t="shared" si="46"/>
        <v>Low</v>
      </c>
      <c r="R612" t="str">
        <f t="shared" si="47"/>
        <v>Senior</v>
      </c>
      <c r="S612" t="str">
        <f t="shared" si="48"/>
        <v>High Performer</v>
      </c>
      <c r="T612" s="4" t="str">
        <f t="shared" si="49"/>
        <v>Satisfied</v>
      </c>
    </row>
    <row r="613" spans="1:20" x14ac:dyDescent="0.3">
      <c r="A613" t="s">
        <v>816</v>
      </c>
      <c r="B613" t="s">
        <v>151</v>
      </c>
      <c r="C613" t="s">
        <v>37</v>
      </c>
      <c r="D613">
        <v>23</v>
      </c>
      <c r="E613" t="s">
        <v>41</v>
      </c>
      <c r="F613" t="s">
        <v>42</v>
      </c>
      <c r="G613" t="s">
        <v>20</v>
      </c>
      <c r="H613">
        <v>72000</v>
      </c>
      <c r="I613">
        <v>2</v>
      </c>
      <c r="J613">
        <v>4</v>
      </c>
      <c r="K613">
        <v>1</v>
      </c>
      <c r="L613" t="s">
        <v>29</v>
      </c>
      <c r="M613" t="s">
        <v>29</v>
      </c>
      <c r="N613" t="s">
        <v>34</v>
      </c>
      <c r="O613" t="s">
        <v>54</v>
      </c>
      <c r="P613" t="str">
        <f t="shared" si="45"/>
        <v>20-29</v>
      </c>
      <c r="Q613" t="str">
        <f t="shared" si="46"/>
        <v>High</v>
      </c>
      <c r="R613" t="str">
        <f t="shared" si="47"/>
        <v>Junior</v>
      </c>
      <c r="S613" t="str">
        <f t="shared" si="48"/>
        <v>High Performer</v>
      </c>
      <c r="T613" s="4" t="str">
        <f t="shared" si="49"/>
        <v>Dissatisfied</v>
      </c>
    </row>
    <row r="614" spans="1:20" x14ac:dyDescent="0.3">
      <c r="A614" t="s">
        <v>817</v>
      </c>
      <c r="B614" t="s">
        <v>261</v>
      </c>
      <c r="C614" t="s">
        <v>37</v>
      </c>
      <c r="D614">
        <v>27</v>
      </c>
      <c r="E614" t="s">
        <v>41</v>
      </c>
      <c r="F614" t="s">
        <v>42</v>
      </c>
      <c r="G614" t="s">
        <v>28</v>
      </c>
      <c r="H614">
        <v>100000</v>
      </c>
      <c r="I614">
        <v>5</v>
      </c>
      <c r="J614">
        <v>4</v>
      </c>
      <c r="K614">
        <v>5</v>
      </c>
      <c r="L614" t="s">
        <v>21</v>
      </c>
      <c r="M614" t="s">
        <v>21</v>
      </c>
      <c r="N614" t="s">
        <v>34</v>
      </c>
      <c r="O614" t="s">
        <v>43</v>
      </c>
      <c r="P614" t="str">
        <f t="shared" si="45"/>
        <v>20-29</v>
      </c>
      <c r="Q614" t="str">
        <f t="shared" si="46"/>
        <v>High</v>
      </c>
      <c r="R614" t="str">
        <f t="shared" si="47"/>
        <v>Mid-Level</v>
      </c>
      <c r="S614" t="str">
        <f t="shared" si="48"/>
        <v>High Performer</v>
      </c>
      <c r="T614" s="4" t="str">
        <f t="shared" si="49"/>
        <v>Satisfied</v>
      </c>
    </row>
    <row r="615" spans="1:20" x14ac:dyDescent="0.3">
      <c r="A615" t="s">
        <v>818</v>
      </c>
      <c r="B615" t="s">
        <v>201</v>
      </c>
      <c r="C615" t="s">
        <v>17</v>
      </c>
      <c r="D615">
        <v>32</v>
      </c>
      <c r="E615" t="s">
        <v>41</v>
      </c>
      <c r="F615" t="s">
        <v>73</v>
      </c>
      <c r="G615" t="s">
        <v>46</v>
      </c>
      <c r="H615">
        <v>93000</v>
      </c>
      <c r="I615">
        <v>11</v>
      </c>
      <c r="J615">
        <v>2</v>
      </c>
      <c r="K615">
        <v>1</v>
      </c>
      <c r="L615" t="s">
        <v>29</v>
      </c>
      <c r="M615" t="s">
        <v>29</v>
      </c>
      <c r="N615" t="s">
        <v>22</v>
      </c>
      <c r="O615" t="s">
        <v>54</v>
      </c>
      <c r="P615" t="str">
        <f t="shared" si="45"/>
        <v>30-39</v>
      </c>
      <c r="Q615" t="str">
        <f t="shared" si="46"/>
        <v>High</v>
      </c>
      <c r="R615" t="str">
        <f t="shared" si="47"/>
        <v>Senior</v>
      </c>
      <c r="S615" t="str">
        <f t="shared" si="48"/>
        <v>Needs Improvement</v>
      </c>
      <c r="T615" s="4" t="str">
        <f t="shared" si="49"/>
        <v>Dissatisfied</v>
      </c>
    </row>
    <row r="616" spans="1:20" x14ac:dyDescent="0.3">
      <c r="A616" t="s">
        <v>819</v>
      </c>
      <c r="B616" t="s">
        <v>53</v>
      </c>
      <c r="C616" t="s">
        <v>17</v>
      </c>
      <c r="D616">
        <v>24</v>
      </c>
      <c r="E616" t="s">
        <v>41</v>
      </c>
      <c r="F616" t="s">
        <v>73</v>
      </c>
      <c r="G616" t="s">
        <v>28</v>
      </c>
      <c r="H616">
        <v>33000</v>
      </c>
      <c r="I616">
        <v>1</v>
      </c>
      <c r="J616">
        <v>3</v>
      </c>
      <c r="K616">
        <v>3</v>
      </c>
      <c r="L616" t="s">
        <v>29</v>
      </c>
      <c r="M616" t="s">
        <v>29</v>
      </c>
      <c r="N616" t="s">
        <v>34</v>
      </c>
      <c r="O616" t="s">
        <v>43</v>
      </c>
      <c r="P616" t="str">
        <f t="shared" si="45"/>
        <v>20-29</v>
      </c>
      <c r="Q616" t="str">
        <f t="shared" si="46"/>
        <v>Low</v>
      </c>
      <c r="R616" t="str">
        <f t="shared" si="47"/>
        <v>Junior</v>
      </c>
      <c r="S616" t="str">
        <f t="shared" si="48"/>
        <v>Needs Improvement</v>
      </c>
      <c r="T616" s="4" t="str">
        <f t="shared" si="49"/>
        <v>Neutral</v>
      </c>
    </row>
    <row r="617" spans="1:20" x14ac:dyDescent="0.3">
      <c r="A617" t="s">
        <v>820</v>
      </c>
      <c r="B617" t="s">
        <v>84</v>
      </c>
      <c r="C617" t="s">
        <v>37</v>
      </c>
      <c r="D617">
        <v>32</v>
      </c>
      <c r="E617" t="s">
        <v>49</v>
      </c>
      <c r="F617" t="s">
        <v>50</v>
      </c>
      <c r="G617" t="s">
        <v>46</v>
      </c>
      <c r="H617">
        <v>85000</v>
      </c>
      <c r="I617">
        <v>3</v>
      </c>
      <c r="J617">
        <v>2</v>
      </c>
      <c r="K617">
        <v>4</v>
      </c>
      <c r="L617" t="s">
        <v>29</v>
      </c>
      <c r="M617" t="s">
        <v>29</v>
      </c>
      <c r="N617" t="s">
        <v>34</v>
      </c>
      <c r="O617" t="s">
        <v>30</v>
      </c>
      <c r="P617" t="str">
        <f t="shared" si="45"/>
        <v>30-39</v>
      </c>
      <c r="Q617" t="str">
        <f t="shared" si="46"/>
        <v>High</v>
      </c>
      <c r="R617" t="str">
        <f t="shared" si="47"/>
        <v>Mid-Level</v>
      </c>
      <c r="S617" t="str">
        <f t="shared" si="48"/>
        <v>Needs Improvement</v>
      </c>
      <c r="T617" s="4" t="str">
        <f t="shared" si="49"/>
        <v>Satisfied</v>
      </c>
    </row>
    <row r="618" spans="1:20" x14ac:dyDescent="0.3">
      <c r="A618" t="s">
        <v>821</v>
      </c>
      <c r="B618" t="s">
        <v>84</v>
      </c>
      <c r="C618" t="s">
        <v>17</v>
      </c>
      <c r="D618">
        <v>24</v>
      </c>
      <c r="E618" t="s">
        <v>49</v>
      </c>
      <c r="F618" t="s">
        <v>27</v>
      </c>
      <c r="G618" t="s">
        <v>20</v>
      </c>
      <c r="H618">
        <v>112000</v>
      </c>
      <c r="I618">
        <v>3</v>
      </c>
      <c r="J618">
        <v>2</v>
      </c>
      <c r="K618">
        <v>4</v>
      </c>
      <c r="L618" t="s">
        <v>29</v>
      </c>
      <c r="M618" t="s">
        <v>29</v>
      </c>
      <c r="N618" t="s">
        <v>34</v>
      </c>
      <c r="O618" t="s">
        <v>70</v>
      </c>
      <c r="P618" t="str">
        <f t="shared" si="45"/>
        <v>20-29</v>
      </c>
      <c r="Q618" t="str">
        <f t="shared" si="46"/>
        <v>High</v>
      </c>
      <c r="R618" t="str">
        <f t="shared" si="47"/>
        <v>Mid-Level</v>
      </c>
      <c r="S618" t="str">
        <f t="shared" si="48"/>
        <v>Needs Improvement</v>
      </c>
      <c r="T618" s="4" t="str">
        <f t="shared" si="49"/>
        <v>Satisfied</v>
      </c>
    </row>
    <row r="619" spans="1:20" x14ac:dyDescent="0.3">
      <c r="A619" t="s">
        <v>822</v>
      </c>
      <c r="B619" t="s">
        <v>306</v>
      </c>
      <c r="C619" t="s">
        <v>37</v>
      </c>
      <c r="D619">
        <v>41</v>
      </c>
      <c r="E619" t="s">
        <v>18</v>
      </c>
      <c r="F619" t="s">
        <v>19</v>
      </c>
      <c r="G619" t="s">
        <v>20</v>
      </c>
      <c r="H619">
        <v>73000</v>
      </c>
      <c r="I619">
        <v>3</v>
      </c>
      <c r="J619">
        <v>4</v>
      </c>
      <c r="K619">
        <v>2</v>
      </c>
      <c r="L619" t="s">
        <v>29</v>
      </c>
      <c r="M619" t="s">
        <v>29</v>
      </c>
      <c r="N619" t="s">
        <v>34</v>
      </c>
      <c r="O619" t="s">
        <v>38</v>
      </c>
      <c r="P619" t="str">
        <f t="shared" si="45"/>
        <v>40-49</v>
      </c>
      <c r="Q619" t="str">
        <f t="shared" si="46"/>
        <v>High</v>
      </c>
      <c r="R619" t="str">
        <f t="shared" si="47"/>
        <v>Mid-Level</v>
      </c>
      <c r="S619" t="str">
        <f t="shared" si="48"/>
        <v>High Performer</v>
      </c>
      <c r="T619" s="4" t="str">
        <f t="shared" si="49"/>
        <v>Dissatisfied</v>
      </c>
    </row>
    <row r="620" spans="1:20" x14ac:dyDescent="0.3">
      <c r="A620" t="s">
        <v>823</v>
      </c>
      <c r="B620" t="s">
        <v>223</v>
      </c>
      <c r="C620" t="s">
        <v>17</v>
      </c>
      <c r="D620">
        <v>30</v>
      </c>
      <c r="E620" t="s">
        <v>26</v>
      </c>
      <c r="F620" t="s">
        <v>27</v>
      </c>
      <c r="G620" t="s">
        <v>46</v>
      </c>
      <c r="H620">
        <v>74000</v>
      </c>
      <c r="I620">
        <v>0</v>
      </c>
      <c r="J620">
        <v>2</v>
      </c>
      <c r="K620">
        <v>5</v>
      </c>
      <c r="L620" t="s">
        <v>29</v>
      </c>
      <c r="M620" t="s">
        <v>29</v>
      </c>
      <c r="N620" t="s">
        <v>34</v>
      </c>
      <c r="O620" t="s">
        <v>54</v>
      </c>
      <c r="P620" t="str">
        <f t="shared" si="45"/>
        <v>30-39</v>
      </c>
      <c r="Q620" t="str">
        <f t="shared" si="46"/>
        <v>High</v>
      </c>
      <c r="R620" t="str">
        <f t="shared" si="47"/>
        <v>Junior</v>
      </c>
      <c r="S620" t="str">
        <f t="shared" si="48"/>
        <v>Needs Improvement</v>
      </c>
      <c r="T620" s="4" t="str">
        <f t="shared" si="49"/>
        <v>Satisfied</v>
      </c>
    </row>
    <row r="621" spans="1:20" x14ac:dyDescent="0.3">
      <c r="A621" t="s">
        <v>824</v>
      </c>
      <c r="B621" t="s">
        <v>625</v>
      </c>
      <c r="C621" t="s">
        <v>17</v>
      </c>
      <c r="D621">
        <v>38</v>
      </c>
      <c r="E621" t="s">
        <v>66</v>
      </c>
      <c r="F621" t="s">
        <v>82</v>
      </c>
      <c r="G621" t="s">
        <v>33</v>
      </c>
      <c r="H621">
        <v>73000</v>
      </c>
      <c r="I621">
        <v>6</v>
      </c>
      <c r="J621">
        <v>4</v>
      </c>
      <c r="K621">
        <v>3</v>
      </c>
      <c r="L621" t="s">
        <v>21</v>
      </c>
      <c r="M621" t="s">
        <v>29</v>
      </c>
      <c r="N621" t="s">
        <v>22</v>
      </c>
      <c r="O621" t="s">
        <v>75</v>
      </c>
      <c r="P621" t="str">
        <f t="shared" si="45"/>
        <v>30-39</v>
      </c>
      <c r="Q621" t="str">
        <f t="shared" si="46"/>
        <v>High</v>
      </c>
      <c r="R621" t="str">
        <f t="shared" si="47"/>
        <v>Mid-Level</v>
      </c>
      <c r="S621" t="str">
        <f t="shared" si="48"/>
        <v>High Performer</v>
      </c>
      <c r="T621" s="4" t="str">
        <f t="shared" si="49"/>
        <v>Neutral</v>
      </c>
    </row>
    <row r="622" spans="1:20" x14ac:dyDescent="0.3">
      <c r="A622" t="s">
        <v>825</v>
      </c>
      <c r="B622" t="s">
        <v>360</v>
      </c>
      <c r="C622" t="s">
        <v>37</v>
      </c>
      <c r="D622">
        <v>47</v>
      </c>
      <c r="E622" t="s">
        <v>26</v>
      </c>
      <c r="F622" t="s">
        <v>50</v>
      </c>
      <c r="G622" t="s">
        <v>28</v>
      </c>
      <c r="H622">
        <v>69000</v>
      </c>
      <c r="I622">
        <v>14</v>
      </c>
      <c r="J622">
        <v>4</v>
      </c>
      <c r="K622">
        <v>4</v>
      </c>
      <c r="L622" t="s">
        <v>21</v>
      </c>
      <c r="M622" t="s">
        <v>21</v>
      </c>
      <c r="N622" t="s">
        <v>22</v>
      </c>
      <c r="O622" t="s">
        <v>38</v>
      </c>
      <c r="P622" t="str">
        <f t="shared" si="45"/>
        <v>40-49</v>
      </c>
      <c r="Q622" t="str">
        <f t="shared" si="46"/>
        <v>Medium</v>
      </c>
      <c r="R622" t="str">
        <f t="shared" si="47"/>
        <v>Senior</v>
      </c>
      <c r="S622" t="str">
        <f t="shared" si="48"/>
        <v>High Performer</v>
      </c>
      <c r="T622" s="4" t="str">
        <f t="shared" si="49"/>
        <v>Satisfied</v>
      </c>
    </row>
    <row r="623" spans="1:20" x14ac:dyDescent="0.3">
      <c r="A623" t="s">
        <v>826</v>
      </c>
      <c r="B623" t="s">
        <v>376</v>
      </c>
      <c r="C623" t="s">
        <v>37</v>
      </c>
      <c r="D623">
        <v>25</v>
      </c>
      <c r="E623" t="s">
        <v>49</v>
      </c>
      <c r="F623" t="s">
        <v>50</v>
      </c>
      <c r="G623" t="s">
        <v>33</v>
      </c>
      <c r="H623">
        <v>85000</v>
      </c>
      <c r="I623">
        <v>4</v>
      </c>
      <c r="J623">
        <v>2</v>
      </c>
      <c r="K623">
        <v>2</v>
      </c>
      <c r="L623" t="s">
        <v>29</v>
      </c>
      <c r="M623" t="s">
        <v>29</v>
      </c>
      <c r="N623" t="s">
        <v>22</v>
      </c>
      <c r="O623" t="s">
        <v>23</v>
      </c>
      <c r="P623" t="str">
        <f t="shared" si="45"/>
        <v>20-29</v>
      </c>
      <c r="Q623" t="str">
        <f t="shared" si="46"/>
        <v>High</v>
      </c>
      <c r="R623" t="str">
        <f t="shared" si="47"/>
        <v>Mid-Level</v>
      </c>
      <c r="S623" t="str">
        <f t="shared" si="48"/>
        <v>Needs Improvement</v>
      </c>
      <c r="T623" s="4" t="str">
        <f t="shared" si="49"/>
        <v>Dissatisfied</v>
      </c>
    </row>
    <row r="624" spans="1:20" x14ac:dyDescent="0.3">
      <c r="A624" t="s">
        <v>827</v>
      </c>
      <c r="B624" t="s">
        <v>261</v>
      </c>
      <c r="C624" t="s">
        <v>37</v>
      </c>
      <c r="D624">
        <v>31</v>
      </c>
      <c r="E624" t="s">
        <v>41</v>
      </c>
      <c r="F624" t="s">
        <v>73</v>
      </c>
      <c r="G624" t="s">
        <v>46</v>
      </c>
      <c r="H624">
        <v>43000</v>
      </c>
      <c r="I624">
        <v>9</v>
      </c>
      <c r="J624">
        <v>3</v>
      </c>
      <c r="K624">
        <v>3</v>
      </c>
      <c r="L624" t="s">
        <v>21</v>
      </c>
      <c r="M624" t="s">
        <v>29</v>
      </c>
      <c r="N624" t="s">
        <v>34</v>
      </c>
      <c r="O624" t="s">
        <v>54</v>
      </c>
      <c r="P624" t="str">
        <f t="shared" si="45"/>
        <v>30-39</v>
      </c>
      <c r="Q624" t="str">
        <f t="shared" si="46"/>
        <v>Medium</v>
      </c>
      <c r="R624" t="str">
        <f t="shared" si="47"/>
        <v>Senior</v>
      </c>
      <c r="S624" t="str">
        <f t="shared" si="48"/>
        <v>Needs Improvement</v>
      </c>
      <c r="T624" s="4" t="str">
        <f t="shared" si="49"/>
        <v>Neutral</v>
      </c>
    </row>
    <row r="625" spans="1:20" x14ac:dyDescent="0.3">
      <c r="A625" t="s">
        <v>828</v>
      </c>
      <c r="B625" t="s">
        <v>302</v>
      </c>
      <c r="C625" t="s">
        <v>37</v>
      </c>
      <c r="D625">
        <v>31</v>
      </c>
      <c r="E625" t="s">
        <v>41</v>
      </c>
      <c r="F625" t="s">
        <v>73</v>
      </c>
      <c r="G625" t="s">
        <v>28</v>
      </c>
      <c r="H625">
        <v>63000</v>
      </c>
      <c r="I625">
        <v>10</v>
      </c>
      <c r="J625">
        <v>5</v>
      </c>
      <c r="K625">
        <v>1</v>
      </c>
      <c r="L625" t="s">
        <v>21</v>
      </c>
      <c r="M625" t="s">
        <v>29</v>
      </c>
      <c r="N625" t="s">
        <v>34</v>
      </c>
      <c r="O625" t="s">
        <v>38</v>
      </c>
      <c r="P625" t="str">
        <f t="shared" si="45"/>
        <v>30-39</v>
      </c>
      <c r="Q625" t="str">
        <f t="shared" si="46"/>
        <v>Medium</v>
      </c>
      <c r="R625" t="str">
        <f t="shared" si="47"/>
        <v>Senior</v>
      </c>
      <c r="S625" t="str">
        <f t="shared" si="48"/>
        <v>High Performer</v>
      </c>
      <c r="T625" s="4" t="str">
        <f t="shared" si="49"/>
        <v>Dissatisfied</v>
      </c>
    </row>
    <row r="626" spans="1:20" x14ac:dyDescent="0.3">
      <c r="A626" t="s">
        <v>829</v>
      </c>
      <c r="B626" t="s">
        <v>128</v>
      </c>
      <c r="C626" t="s">
        <v>17</v>
      </c>
      <c r="D626">
        <v>37</v>
      </c>
      <c r="E626" t="s">
        <v>49</v>
      </c>
      <c r="F626" t="s">
        <v>27</v>
      </c>
      <c r="G626" t="s">
        <v>20</v>
      </c>
      <c r="H626">
        <v>44000</v>
      </c>
      <c r="I626">
        <v>14</v>
      </c>
      <c r="J626">
        <v>4</v>
      </c>
      <c r="K626">
        <v>4</v>
      </c>
      <c r="L626" t="s">
        <v>21</v>
      </c>
      <c r="M626" t="s">
        <v>29</v>
      </c>
      <c r="N626" t="s">
        <v>22</v>
      </c>
      <c r="O626" t="s">
        <v>51</v>
      </c>
      <c r="P626" t="str">
        <f t="shared" si="45"/>
        <v>30-39</v>
      </c>
      <c r="Q626" t="str">
        <f t="shared" si="46"/>
        <v>Medium</v>
      </c>
      <c r="R626" t="str">
        <f t="shared" si="47"/>
        <v>Senior</v>
      </c>
      <c r="S626" t="str">
        <f t="shared" si="48"/>
        <v>High Performer</v>
      </c>
      <c r="T626" s="4" t="str">
        <f t="shared" si="49"/>
        <v>Satisfied</v>
      </c>
    </row>
    <row r="627" spans="1:20" x14ac:dyDescent="0.3">
      <c r="A627" t="s">
        <v>830</v>
      </c>
      <c r="B627" t="s">
        <v>154</v>
      </c>
      <c r="C627" t="s">
        <v>37</v>
      </c>
      <c r="D627">
        <v>30</v>
      </c>
      <c r="E627" t="s">
        <v>26</v>
      </c>
      <c r="F627" t="s">
        <v>50</v>
      </c>
      <c r="G627" t="s">
        <v>28</v>
      </c>
      <c r="H627">
        <v>39000</v>
      </c>
      <c r="I627">
        <v>9</v>
      </c>
      <c r="J627">
        <v>3</v>
      </c>
      <c r="K627">
        <v>1</v>
      </c>
      <c r="L627" t="s">
        <v>29</v>
      </c>
      <c r="M627" t="s">
        <v>29</v>
      </c>
      <c r="N627" t="s">
        <v>22</v>
      </c>
      <c r="O627" t="s">
        <v>51</v>
      </c>
      <c r="P627" t="str">
        <f t="shared" si="45"/>
        <v>30-39</v>
      </c>
      <c r="Q627" t="str">
        <f t="shared" si="46"/>
        <v>Low</v>
      </c>
      <c r="R627" t="str">
        <f t="shared" si="47"/>
        <v>Senior</v>
      </c>
      <c r="S627" t="str">
        <f t="shared" si="48"/>
        <v>Needs Improvement</v>
      </c>
      <c r="T627" s="4" t="str">
        <f t="shared" si="49"/>
        <v>Dissatisfied</v>
      </c>
    </row>
    <row r="628" spans="1:20" x14ac:dyDescent="0.3">
      <c r="A628" t="s">
        <v>831</v>
      </c>
      <c r="B628" t="s">
        <v>94</v>
      </c>
      <c r="C628" t="s">
        <v>37</v>
      </c>
      <c r="D628">
        <v>52</v>
      </c>
      <c r="E628" t="s">
        <v>18</v>
      </c>
      <c r="F628" t="s">
        <v>126</v>
      </c>
      <c r="G628" t="s">
        <v>28</v>
      </c>
      <c r="H628">
        <v>63000</v>
      </c>
      <c r="I628">
        <v>4</v>
      </c>
      <c r="J628">
        <v>4</v>
      </c>
      <c r="K628">
        <v>4</v>
      </c>
      <c r="L628" t="s">
        <v>29</v>
      </c>
      <c r="M628" t="s">
        <v>29</v>
      </c>
      <c r="N628" t="s">
        <v>22</v>
      </c>
      <c r="O628" t="s">
        <v>30</v>
      </c>
      <c r="P628" t="str">
        <f t="shared" si="45"/>
        <v>50+</v>
      </c>
      <c r="Q628" t="str">
        <f t="shared" si="46"/>
        <v>Medium</v>
      </c>
      <c r="R628" t="str">
        <f t="shared" si="47"/>
        <v>Mid-Level</v>
      </c>
      <c r="S628" t="str">
        <f t="shared" si="48"/>
        <v>High Performer</v>
      </c>
      <c r="T628" s="4" t="str">
        <f t="shared" si="49"/>
        <v>Satisfied</v>
      </c>
    </row>
    <row r="629" spans="1:20" x14ac:dyDescent="0.3">
      <c r="A629" t="s">
        <v>832</v>
      </c>
      <c r="B629" t="s">
        <v>94</v>
      </c>
      <c r="C629" t="s">
        <v>37</v>
      </c>
      <c r="D629">
        <v>54</v>
      </c>
      <c r="E629" t="s">
        <v>57</v>
      </c>
      <c r="F629" t="s">
        <v>50</v>
      </c>
      <c r="G629" t="s">
        <v>28</v>
      </c>
      <c r="H629">
        <v>55000</v>
      </c>
      <c r="I629">
        <v>8</v>
      </c>
      <c r="J629">
        <v>2</v>
      </c>
      <c r="K629">
        <v>1</v>
      </c>
      <c r="L629" t="s">
        <v>21</v>
      </c>
      <c r="M629" t="s">
        <v>21</v>
      </c>
      <c r="N629" t="s">
        <v>22</v>
      </c>
      <c r="O629" t="s">
        <v>30</v>
      </c>
      <c r="P629" t="str">
        <f t="shared" si="45"/>
        <v>50+</v>
      </c>
      <c r="Q629" t="str">
        <f t="shared" si="46"/>
        <v>Medium</v>
      </c>
      <c r="R629" t="str">
        <f t="shared" si="47"/>
        <v>Senior</v>
      </c>
      <c r="S629" t="str">
        <f t="shared" si="48"/>
        <v>Needs Improvement</v>
      </c>
      <c r="T629" s="4" t="str">
        <f t="shared" si="49"/>
        <v>Dissatisfied</v>
      </c>
    </row>
    <row r="630" spans="1:20" x14ac:dyDescent="0.3">
      <c r="A630" t="s">
        <v>833</v>
      </c>
      <c r="B630" t="s">
        <v>267</v>
      </c>
      <c r="C630" t="s">
        <v>37</v>
      </c>
      <c r="D630">
        <v>45</v>
      </c>
      <c r="E630" t="s">
        <v>41</v>
      </c>
      <c r="F630" t="s">
        <v>42</v>
      </c>
      <c r="G630" t="s">
        <v>20</v>
      </c>
      <c r="H630">
        <v>72000</v>
      </c>
      <c r="I630">
        <v>3</v>
      </c>
      <c r="J630">
        <v>2</v>
      </c>
      <c r="K630">
        <v>4</v>
      </c>
      <c r="L630" t="s">
        <v>21</v>
      </c>
      <c r="M630" t="s">
        <v>29</v>
      </c>
      <c r="N630" t="s">
        <v>34</v>
      </c>
      <c r="O630" t="s">
        <v>70</v>
      </c>
      <c r="P630" t="str">
        <f t="shared" si="45"/>
        <v>40-49</v>
      </c>
      <c r="Q630" t="str">
        <f t="shared" si="46"/>
        <v>High</v>
      </c>
      <c r="R630" t="str">
        <f t="shared" si="47"/>
        <v>Mid-Level</v>
      </c>
      <c r="S630" t="str">
        <f t="shared" si="48"/>
        <v>Needs Improvement</v>
      </c>
      <c r="T630" s="4" t="str">
        <f t="shared" si="49"/>
        <v>Satisfied</v>
      </c>
    </row>
    <row r="631" spans="1:20" x14ac:dyDescent="0.3">
      <c r="A631" t="s">
        <v>834</v>
      </c>
      <c r="B631" t="s">
        <v>558</v>
      </c>
      <c r="C631" t="s">
        <v>17</v>
      </c>
      <c r="D631">
        <v>47</v>
      </c>
      <c r="E631" t="s">
        <v>66</v>
      </c>
      <c r="F631" t="s">
        <v>82</v>
      </c>
      <c r="G631" t="s">
        <v>33</v>
      </c>
      <c r="H631">
        <v>50000</v>
      </c>
      <c r="I631">
        <v>6</v>
      </c>
      <c r="J631">
        <v>5</v>
      </c>
      <c r="K631">
        <v>5</v>
      </c>
      <c r="L631" t="s">
        <v>29</v>
      </c>
      <c r="M631" t="s">
        <v>29</v>
      </c>
      <c r="N631" t="s">
        <v>34</v>
      </c>
      <c r="O631" t="s">
        <v>30</v>
      </c>
      <c r="P631" t="str">
        <f t="shared" si="45"/>
        <v>40-49</v>
      </c>
      <c r="Q631" t="str">
        <f t="shared" si="46"/>
        <v>Medium</v>
      </c>
      <c r="R631" t="str">
        <f t="shared" si="47"/>
        <v>Mid-Level</v>
      </c>
      <c r="S631" t="str">
        <f t="shared" si="48"/>
        <v>High Performer</v>
      </c>
      <c r="T631" s="4" t="str">
        <f t="shared" si="49"/>
        <v>Satisfied</v>
      </c>
    </row>
    <row r="632" spans="1:20" x14ac:dyDescent="0.3">
      <c r="A632" t="s">
        <v>835</v>
      </c>
      <c r="B632" t="s">
        <v>84</v>
      </c>
      <c r="C632" t="s">
        <v>37</v>
      </c>
      <c r="D632">
        <v>44</v>
      </c>
      <c r="E632" t="s">
        <v>57</v>
      </c>
      <c r="F632" t="s">
        <v>50</v>
      </c>
      <c r="G632" t="s">
        <v>46</v>
      </c>
      <c r="H632">
        <v>91000</v>
      </c>
      <c r="I632">
        <v>3</v>
      </c>
      <c r="J632">
        <v>2</v>
      </c>
      <c r="K632">
        <v>3</v>
      </c>
      <c r="L632" t="s">
        <v>21</v>
      </c>
      <c r="M632" t="s">
        <v>29</v>
      </c>
      <c r="N632" t="s">
        <v>22</v>
      </c>
      <c r="O632" t="s">
        <v>70</v>
      </c>
      <c r="P632" t="str">
        <f t="shared" si="45"/>
        <v>40-49</v>
      </c>
      <c r="Q632" t="str">
        <f t="shared" si="46"/>
        <v>High</v>
      </c>
      <c r="R632" t="str">
        <f t="shared" si="47"/>
        <v>Mid-Level</v>
      </c>
      <c r="S632" t="str">
        <f t="shared" si="48"/>
        <v>Needs Improvement</v>
      </c>
      <c r="T632" s="4" t="str">
        <f t="shared" si="49"/>
        <v>Neutral</v>
      </c>
    </row>
    <row r="633" spans="1:20" x14ac:dyDescent="0.3">
      <c r="A633" t="s">
        <v>836</v>
      </c>
      <c r="B633" t="s">
        <v>59</v>
      </c>
      <c r="C633" t="s">
        <v>17</v>
      </c>
      <c r="D633">
        <v>30</v>
      </c>
      <c r="E633" t="s">
        <v>66</v>
      </c>
      <c r="F633" t="s">
        <v>82</v>
      </c>
      <c r="G633" t="s">
        <v>46</v>
      </c>
      <c r="H633">
        <v>97000</v>
      </c>
      <c r="I633">
        <v>6</v>
      </c>
      <c r="J633">
        <v>2</v>
      </c>
      <c r="K633">
        <v>4</v>
      </c>
      <c r="L633" t="s">
        <v>21</v>
      </c>
      <c r="M633" t="s">
        <v>29</v>
      </c>
      <c r="N633" t="s">
        <v>34</v>
      </c>
      <c r="O633" t="s">
        <v>30</v>
      </c>
      <c r="P633" t="str">
        <f t="shared" si="45"/>
        <v>30-39</v>
      </c>
      <c r="Q633" t="str">
        <f t="shared" si="46"/>
        <v>High</v>
      </c>
      <c r="R633" t="str">
        <f t="shared" si="47"/>
        <v>Mid-Level</v>
      </c>
      <c r="S633" t="str">
        <f t="shared" si="48"/>
        <v>Needs Improvement</v>
      </c>
      <c r="T633" s="4" t="str">
        <f t="shared" si="49"/>
        <v>Satisfied</v>
      </c>
    </row>
    <row r="634" spans="1:20" x14ac:dyDescent="0.3">
      <c r="A634" t="s">
        <v>837</v>
      </c>
      <c r="B634" t="s">
        <v>111</v>
      </c>
      <c r="C634" t="s">
        <v>17</v>
      </c>
      <c r="D634">
        <v>25</v>
      </c>
      <c r="E634" t="s">
        <v>66</v>
      </c>
      <c r="F634" t="s">
        <v>67</v>
      </c>
      <c r="G634" t="s">
        <v>20</v>
      </c>
      <c r="H634">
        <v>74000</v>
      </c>
      <c r="I634">
        <v>4</v>
      </c>
      <c r="J634">
        <v>3</v>
      </c>
      <c r="K634">
        <v>4</v>
      </c>
      <c r="L634" t="s">
        <v>21</v>
      </c>
      <c r="M634" t="s">
        <v>29</v>
      </c>
      <c r="N634" t="s">
        <v>34</v>
      </c>
      <c r="O634" t="s">
        <v>38</v>
      </c>
      <c r="P634" t="str">
        <f t="shared" si="45"/>
        <v>20-29</v>
      </c>
      <c r="Q634" t="str">
        <f t="shared" si="46"/>
        <v>High</v>
      </c>
      <c r="R634" t="str">
        <f t="shared" si="47"/>
        <v>Mid-Level</v>
      </c>
      <c r="S634" t="str">
        <f t="shared" si="48"/>
        <v>Needs Improvement</v>
      </c>
      <c r="T634" s="4" t="str">
        <f t="shared" si="49"/>
        <v>Satisfied</v>
      </c>
    </row>
    <row r="635" spans="1:20" x14ac:dyDescent="0.3">
      <c r="A635" t="s">
        <v>838</v>
      </c>
      <c r="B635" t="s">
        <v>246</v>
      </c>
      <c r="C635" t="s">
        <v>17</v>
      </c>
      <c r="D635">
        <v>26</v>
      </c>
      <c r="E635" t="s">
        <v>57</v>
      </c>
      <c r="F635" t="s">
        <v>27</v>
      </c>
      <c r="G635" t="s">
        <v>33</v>
      </c>
      <c r="H635">
        <v>104000</v>
      </c>
      <c r="I635">
        <v>5</v>
      </c>
      <c r="J635">
        <v>3</v>
      </c>
      <c r="K635">
        <v>2</v>
      </c>
      <c r="L635" t="s">
        <v>21</v>
      </c>
      <c r="M635" t="s">
        <v>21</v>
      </c>
      <c r="N635" t="s">
        <v>34</v>
      </c>
      <c r="O635" t="s">
        <v>38</v>
      </c>
      <c r="P635" t="str">
        <f t="shared" si="45"/>
        <v>20-29</v>
      </c>
      <c r="Q635" t="str">
        <f t="shared" si="46"/>
        <v>High</v>
      </c>
      <c r="R635" t="str">
        <f t="shared" si="47"/>
        <v>Mid-Level</v>
      </c>
      <c r="S635" t="str">
        <f t="shared" si="48"/>
        <v>Needs Improvement</v>
      </c>
      <c r="T635" s="4" t="str">
        <f t="shared" si="49"/>
        <v>Dissatisfied</v>
      </c>
    </row>
    <row r="636" spans="1:20" x14ac:dyDescent="0.3">
      <c r="A636" t="s">
        <v>839</v>
      </c>
      <c r="B636" t="s">
        <v>201</v>
      </c>
      <c r="C636" t="s">
        <v>37</v>
      </c>
      <c r="D636">
        <v>26</v>
      </c>
      <c r="E636" t="s">
        <v>18</v>
      </c>
      <c r="F636" t="s">
        <v>126</v>
      </c>
      <c r="G636" t="s">
        <v>20</v>
      </c>
      <c r="H636">
        <v>101000</v>
      </c>
      <c r="I636">
        <v>5</v>
      </c>
      <c r="J636">
        <v>4</v>
      </c>
      <c r="K636">
        <v>3</v>
      </c>
      <c r="L636" t="s">
        <v>29</v>
      </c>
      <c r="M636" t="s">
        <v>29</v>
      </c>
      <c r="N636" t="s">
        <v>34</v>
      </c>
      <c r="O636" t="s">
        <v>54</v>
      </c>
      <c r="P636" t="str">
        <f t="shared" si="45"/>
        <v>20-29</v>
      </c>
      <c r="Q636" t="str">
        <f t="shared" si="46"/>
        <v>High</v>
      </c>
      <c r="R636" t="str">
        <f t="shared" si="47"/>
        <v>Mid-Level</v>
      </c>
      <c r="S636" t="str">
        <f t="shared" si="48"/>
        <v>High Performer</v>
      </c>
      <c r="T636" s="4" t="str">
        <f t="shared" si="49"/>
        <v>Neutral</v>
      </c>
    </row>
    <row r="637" spans="1:20" x14ac:dyDescent="0.3">
      <c r="A637" t="s">
        <v>840</v>
      </c>
      <c r="B637" t="s">
        <v>263</v>
      </c>
      <c r="C637" t="s">
        <v>17</v>
      </c>
      <c r="D637">
        <v>40</v>
      </c>
      <c r="E637" t="s">
        <v>41</v>
      </c>
      <c r="F637" t="s">
        <v>73</v>
      </c>
      <c r="G637" t="s">
        <v>33</v>
      </c>
      <c r="H637">
        <v>114000</v>
      </c>
      <c r="I637">
        <v>19</v>
      </c>
      <c r="J637">
        <v>5</v>
      </c>
      <c r="K637">
        <v>1</v>
      </c>
      <c r="L637" t="s">
        <v>29</v>
      </c>
      <c r="M637" t="s">
        <v>29</v>
      </c>
      <c r="N637" t="s">
        <v>22</v>
      </c>
      <c r="O637" t="s">
        <v>51</v>
      </c>
      <c r="P637" t="str">
        <f t="shared" si="45"/>
        <v>40-49</v>
      </c>
      <c r="Q637" t="str">
        <f t="shared" si="46"/>
        <v>High</v>
      </c>
      <c r="R637" t="str">
        <f t="shared" si="47"/>
        <v>Senior</v>
      </c>
      <c r="S637" t="str">
        <f t="shared" si="48"/>
        <v>High Performer</v>
      </c>
      <c r="T637" s="4" t="str">
        <f t="shared" si="49"/>
        <v>Dissatisfied</v>
      </c>
    </row>
    <row r="638" spans="1:20" x14ac:dyDescent="0.3">
      <c r="A638" t="s">
        <v>841</v>
      </c>
      <c r="B638" t="s">
        <v>394</v>
      </c>
      <c r="C638" t="s">
        <v>17</v>
      </c>
      <c r="D638">
        <v>39</v>
      </c>
      <c r="E638" t="s">
        <v>41</v>
      </c>
      <c r="F638" t="s">
        <v>42</v>
      </c>
      <c r="G638" t="s">
        <v>28</v>
      </c>
      <c r="H638">
        <v>107000</v>
      </c>
      <c r="I638">
        <v>0</v>
      </c>
      <c r="J638">
        <v>2</v>
      </c>
      <c r="K638">
        <v>3</v>
      </c>
      <c r="L638" t="s">
        <v>21</v>
      </c>
      <c r="M638" t="s">
        <v>29</v>
      </c>
      <c r="N638" t="s">
        <v>34</v>
      </c>
      <c r="O638" t="s">
        <v>70</v>
      </c>
      <c r="P638" t="str">
        <f t="shared" si="45"/>
        <v>30-39</v>
      </c>
      <c r="Q638" t="str">
        <f t="shared" si="46"/>
        <v>High</v>
      </c>
      <c r="R638" t="str">
        <f t="shared" si="47"/>
        <v>Junior</v>
      </c>
      <c r="S638" t="str">
        <f t="shared" si="48"/>
        <v>Needs Improvement</v>
      </c>
      <c r="T638" s="4" t="str">
        <f t="shared" si="49"/>
        <v>Neutral</v>
      </c>
    </row>
    <row r="639" spans="1:20" x14ac:dyDescent="0.3">
      <c r="A639" t="s">
        <v>842</v>
      </c>
      <c r="B639" t="s">
        <v>273</v>
      </c>
      <c r="C639" t="s">
        <v>17</v>
      </c>
      <c r="D639">
        <v>25</v>
      </c>
      <c r="E639" t="s">
        <v>41</v>
      </c>
      <c r="F639" t="s">
        <v>42</v>
      </c>
      <c r="G639" t="s">
        <v>28</v>
      </c>
      <c r="H639">
        <v>116000</v>
      </c>
      <c r="I639">
        <v>4</v>
      </c>
      <c r="J639">
        <v>2</v>
      </c>
      <c r="K639">
        <v>4</v>
      </c>
      <c r="L639" t="s">
        <v>29</v>
      </c>
      <c r="M639" t="s">
        <v>29</v>
      </c>
      <c r="N639" t="s">
        <v>22</v>
      </c>
      <c r="O639" t="s">
        <v>38</v>
      </c>
      <c r="P639" t="str">
        <f t="shared" si="45"/>
        <v>20-29</v>
      </c>
      <c r="Q639" t="str">
        <f t="shared" si="46"/>
        <v>High</v>
      </c>
      <c r="R639" t="str">
        <f t="shared" si="47"/>
        <v>Mid-Level</v>
      </c>
      <c r="S639" t="str">
        <f t="shared" si="48"/>
        <v>Needs Improvement</v>
      </c>
      <c r="T639" s="4" t="str">
        <f t="shared" si="49"/>
        <v>Satisfied</v>
      </c>
    </row>
    <row r="640" spans="1:20" x14ac:dyDescent="0.3">
      <c r="A640" t="s">
        <v>843</v>
      </c>
      <c r="B640" t="s">
        <v>197</v>
      </c>
      <c r="C640" t="s">
        <v>37</v>
      </c>
      <c r="D640">
        <v>31</v>
      </c>
      <c r="E640" t="s">
        <v>66</v>
      </c>
      <c r="F640" t="s">
        <v>82</v>
      </c>
      <c r="G640" t="s">
        <v>46</v>
      </c>
      <c r="H640">
        <v>116000</v>
      </c>
      <c r="I640">
        <v>9</v>
      </c>
      <c r="J640">
        <v>3</v>
      </c>
      <c r="K640">
        <v>5</v>
      </c>
      <c r="L640" t="s">
        <v>29</v>
      </c>
      <c r="M640" t="s">
        <v>29</v>
      </c>
      <c r="N640" t="s">
        <v>34</v>
      </c>
      <c r="O640" t="s">
        <v>54</v>
      </c>
      <c r="P640" t="str">
        <f t="shared" si="45"/>
        <v>30-39</v>
      </c>
      <c r="Q640" t="str">
        <f t="shared" si="46"/>
        <v>High</v>
      </c>
      <c r="R640" t="str">
        <f t="shared" si="47"/>
        <v>Senior</v>
      </c>
      <c r="S640" t="str">
        <f t="shared" si="48"/>
        <v>Needs Improvement</v>
      </c>
      <c r="T640" s="4" t="str">
        <f t="shared" si="49"/>
        <v>Satisfied</v>
      </c>
    </row>
    <row r="641" spans="1:20" x14ac:dyDescent="0.3">
      <c r="A641" t="s">
        <v>844</v>
      </c>
      <c r="B641" t="s">
        <v>134</v>
      </c>
      <c r="C641" t="s">
        <v>17</v>
      </c>
      <c r="D641">
        <v>52</v>
      </c>
      <c r="E641" t="s">
        <v>41</v>
      </c>
      <c r="F641" t="s">
        <v>73</v>
      </c>
      <c r="G641" t="s">
        <v>46</v>
      </c>
      <c r="H641">
        <v>76000</v>
      </c>
      <c r="I641">
        <v>14</v>
      </c>
      <c r="J641">
        <v>5</v>
      </c>
      <c r="K641">
        <v>1</v>
      </c>
      <c r="L641" t="s">
        <v>29</v>
      </c>
      <c r="M641" t="s">
        <v>29</v>
      </c>
      <c r="N641" t="s">
        <v>34</v>
      </c>
      <c r="O641" t="s">
        <v>54</v>
      </c>
      <c r="P641" t="str">
        <f t="shared" si="45"/>
        <v>50+</v>
      </c>
      <c r="Q641" t="str">
        <f t="shared" si="46"/>
        <v>High</v>
      </c>
      <c r="R641" t="str">
        <f t="shared" si="47"/>
        <v>Senior</v>
      </c>
      <c r="S641" t="str">
        <f t="shared" si="48"/>
        <v>High Performer</v>
      </c>
      <c r="T641" s="4" t="str">
        <f t="shared" si="49"/>
        <v>Dissatisfied</v>
      </c>
    </row>
    <row r="642" spans="1:20" x14ac:dyDescent="0.3">
      <c r="A642" t="s">
        <v>845</v>
      </c>
      <c r="B642" t="s">
        <v>261</v>
      </c>
      <c r="C642" t="s">
        <v>37</v>
      </c>
      <c r="D642">
        <v>48</v>
      </c>
      <c r="E642" t="s">
        <v>66</v>
      </c>
      <c r="F642" t="s">
        <v>67</v>
      </c>
      <c r="G642" t="s">
        <v>20</v>
      </c>
      <c r="H642">
        <v>64000</v>
      </c>
      <c r="I642">
        <v>9</v>
      </c>
      <c r="J642">
        <v>2</v>
      </c>
      <c r="K642">
        <v>5</v>
      </c>
      <c r="L642" t="s">
        <v>21</v>
      </c>
      <c r="M642" t="s">
        <v>29</v>
      </c>
      <c r="N642" t="s">
        <v>34</v>
      </c>
      <c r="O642" t="s">
        <v>75</v>
      </c>
      <c r="P642" t="str">
        <f t="shared" ref="P642:P705" si="50">IF(D642&lt;30,"20-29",IF(D642&lt;40,"30-39",IF(D642&lt;50,"40-49","50+")))</f>
        <v>40-49</v>
      </c>
      <c r="Q642" t="str">
        <f t="shared" ref="Q642:Q705" si="51">IF(H642&lt;40000,"Low",IF(H642&lt;70000,"Medium","High"))</f>
        <v>Medium</v>
      </c>
      <c r="R642" t="str">
        <f t="shared" ref="R642:R705" si="52">IF(I642&lt;3,"Junior",IF(I642&lt;7,"Mid-Level","Senior"))</f>
        <v>Senior</v>
      </c>
      <c r="S642" t="str">
        <f t="shared" ref="S642:S705" si="53">IF(J642&gt;=4,"High Performer","Needs Improvement")</f>
        <v>Needs Improvement</v>
      </c>
      <c r="T642" s="4" t="str">
        <f t="shared" ref="T642:T705" si="54">IF(K642&gt;=4,"Satisfied",IF(K642=3,"Neutral","Dissatisfied"))</f>
        <v>Satisfied</v>
      </c>
    </row>
    <row r="643" spans="1:20" x14ac:dyDescent="0.3">
      <c r="A643" t="s">
        <v>846</v>
      </c>
      <c r="B643" t="s">
        <v>502</v>
      </c>
      <c r="C643" t="s">
        <v>17</v>
      </c>
      <c r="D643">
        <v>52</v>
      </c>
      <c r="E643" t="s">
        <v>26</v>
      </c>
      <c r="F643" t="s">
        <v>50</v>
      </c>
      <c r="G643" t="s">
        <v>20</v>
      </c>
      <c r="H643">
        <v>100000</v>
      </c>
      <c r="I643">
        <v>15</v>
      </c>
      <c r="J643">
        <v>4</v>
      </c>
      <c r="K643">
        <v>4</v>
      </c>
      <c r="L643" t="s">
        <v>29</v>
      </c>
      <c r="M643" t="s">
        <v>29</v>
      </c>
      <c r="N643" t="s">
        <v>22</v>
      </c>
      <c r="O643" t="s">
        <v>54</v>
      </c>
      <c r="P643" t="str">
        <f t="shared" si="50"/>
        <v>50+</v>
      </c>
      <c r="Q643" t="str">
        <f t="shared" si="51"/>
        <v>High</v>
      </c>
      <c r="R643" t="str">
        <f t="shared" si="52"/>
        <v>Senior</v>
      </c>
      <c r="S643" t="str">
        <f t="shared" si="53"/>
        <v>High Performer</v>
      </c>
      <c r="T643" s="4" t="str">
        <f t="shared" si="54"/>
        <v>Satisfied</v>
      </c>
    </row>
    <row r="644" spans="1:20" x14ac:dyDescent="0.3">
      <c r="A644" t="s">
        <v>847</v>
      </c>
      <c r="B644" t="s">
        <v>269</v>
      </c>
      <c r="C644" t="s">
        <v>37</v>
      </c>
      <c r="D644">
        <v>47</v>
      </c>
      <c r="E644" t="s">
        <v>18</v>
      </c>
      <c r="F644" t="s">
        <v>126</v>
      </c>
      <c r="G644" t="s">
        <v>46</v>
      </c>
      <c r="H644">
        <v>26000</v>
      </c>
      <c r="I644">
        <v>15</v>
      </c>
      <c r="J644">
        <v>3</v>
      </c>
      <c r="K644">
        <v>4</v>
      </c>
      <c r="L644" t="s">
        <v>29</v>
      </c>
      <c r="M644" t="s">
        <v>29</v>
      </c>
      <c r="N644" t="s">
        <v>22</v>
      </c>
      <c r="O644" t="s">
        <v>30</v>
      </c>
      <c r="P644" t="str">
        <f t="shared" si="50"/>
        <v>40-49</v>
      </c>
      <c r="Q644" t="str">
        <f t="shared" si="51"/>
        <v>Low</v>
      </c>
      <c r="R644" t="str">
        <f t="shared" si="52"/>
        <v>Senior</v>
      </c>
      <c r="S644" t="str">
        <f t="shared" si="53"/>
        <v>Needs Improvement</v>
      </c>
      <c r="T644" s="4" t="str">
        <f t="shared" si="54"/>
        <v>Satisfied</v>
      </c>
    </row>
    <row r="645" spans="1:20" x14ac:dyDescent="0.3">
      <c r="A645" t="s">
        <v>848</v>
      </c>
      <c r="B645" t="s">
        <v>242</v>
      </c>
      <c r="C645" t="s">
        <v>17</v>
      </c>
      <c r="D645">
        <v>42</v>
      </c>
      <c r="E645" t="s">
        <v>66</v>
      </c>
      <c r="F645" t="s">
        <v>82</v>
      </c>
      <c r="G645" t="s">
        <v>20</v>
      </c>
      <c r="H645">
        <v>118000</v>
      </c>
      <c r="I645">
        <v>18</v>
      </c>
      <c r="J645">
        <v>4</v>
      </c>
      <c r="K645">
        <v>3</v>
      </c>
      <c r="L645" t="s">
        <v>21</v>
      </c>
      <c r="M645" t="s">
        <v>29</v>
      </c>
      <c r="N645" t="s">
        <v>22</v>
      </c>
      <c r="O645" t="s">
        <v>30</v>
      </c>
      <c r="P645" t="str">
        <f t="shared" si="50"/>
        <v>40-49</v>
      </c>
      <c r="Q645" t="str">
        <f t="shared" si="51"/>
        <v>High</v>
      </c>
      <c r="R645" t="str">
        <f t="shared" si="52"/>
        <v>Senior</v>
      </c>
      <c r="S645" t="str">
        <f t="shared" si="53"/>
        <v>High Performer</v>
      </c>
      <c r="T645" s="4" t="str">
        <f t="shared" si="54"/>
        <v>Neutral</v>
      </c>
    </row>
    <row r="646" spans="1:20" x14ac:dyDescent="0.3">
      <c r="A646" t="s">
        <v>849</v>
      </c>
      <c r="B646" t="s">
        <v>497</v>
      </c>
      <c r="C646" t="s">
        <v>37</v>
      </c>
      <c r="D646">
        <v>53</v>
      </c>
      <c r="E646" t="s">
        <v>49</v>
      </c>
      <c r="F646" t="s">
        <v>50</v>
      </c>
      <c r="G646" t="s">
        <v>20</v>
      </c>
      <c r="H646">
        <v>120000</v>
      </c>
      <c r="I646">
        <v>4</v>
      </c>
      <c r="J646">
        <v>5</v>
      </c>
      <c r="K646">
        <v>4</v>
      </c>
      <c r="L646" t="s">
        <v>29</v>
      </c>
      <c r="M646" t="s">
        <v>29</v>
      </c>
      <c r="N646" t="s">
        <v>34</v>
      </c>
      <c r="O646" t="s">
        <v>70</v>
      </c>
      <c r="P646" t="str">
        <f t="shared" si="50"/>
        <v>50+</v>
      </c>
      <c r="Q646" t="str">
        <f t="shared" si="51"/>
        <v>High</v>
      </c>
      <c r="R646" t="str">
        <f t="shared" si="52"/>
        <v>Mid-Level</v>
      </c>
      <c r="S646" t="str">
        <f t="shared" si="53"/>
        <v>High Performer</v>
      </c>
      <c r="T646" s="4" t="str">
        <f t="shared" si="54"/>
        <v>Satisfied</v>
      </c>
    </row>
    <row r="647" spans="1:20" x14ac:dyDescent="0.3">
      <c r="A647" t="s">
        <v>850</v>
      </c>
      <c r="B647" t="s">
        <v>397</v>
      </c>
      <c r="C647" t="s">
        <v>37</v>
      </c>
      <c r="D647">
        <v>28</v>
      </c>
      <c r="E647" t="s">
        <v>49</v>
      </c>
      <c r="F647" t="s">
        <v>27</v>
      </c>
      <c r="G647" t="s">
        <v>46</v>
      </c>
      <c r="H647">
        <v>89000</v>
      </c>
      <c r="I647">
        <v>6</v>
      </c>
      <c r="J647">
        <v>5</v>
      </c>
      <c r="K647">
        <v>1</v>
      </c>
      <c r="L647" t="s">
        <v>21</v>
      </c>
      <c r="M647" t="s">
        <v>21</v>
      </c>
      <c r="N647" t="s">
        <v>34</v>
      </c>
      <c r="O647" t="s">
        <v>54</v>
      </c>
      <c r="P647" t="str">
        <f t="shared" si="50"/>
        <v>20-29</v>
      </c>
      <c r="Q647" t="str">
        <f t="shared" si="51"/>
        <v>High</v>
      </c>
      <c r="R647" t="str">
        <f t="shared" si="52"/>
        <v>Mid-Level</v>
      </c>
      <c r="S647" t="str">
        <f t="shared" si="53"/>
        <v>High Performer</v>
      </c>
      <c r="T647" s="4" t="str">
        <f t="shared" si="54"/>
        <v>Dissatisfied</v>
      </c>
    </row>
    <row r="648" spans="1:20" x14ac:dyDescent="0.3">
      <c r="A648" t="s">
        <v>851</v>
      </c>
      <c r="B648" t="s">
        <v>251</v>
      </c>
      <c r="C648" t="s">
        <v>37</v>
      </c>
      <c r="D648">
        <v>52</v>
      </c>
      <c r="E648" t="s">
        <v>26</v>
      </c>
      <c r="F648" t="s">
        <v>27</v>
      </c>
      <c r="G648" t="s">
        <v>33</v>
      </c>
      <c r="H648">
        <v>89000</v>
      </c>
      <c r="I648">
        <v>3</v>
      </c>
      <c r="J648">
        <v>5</v>
      </c>
      <c r="K648">
        <v>4</v>
      </c>
      <c r="L648" t="s">
        <v>29</v>
      </c>
      <c r="M648" t="s">
        <v>29</v>
      </c>
      <c r="N648" t="s">
        <v>22</v>
      </c>
      <c r="O648" t="s">
        <v>23</v>
      </c>
      <c r="P648" t="str">
        <f t="shared" si="50"/>
        <v>50+</v>
      </c>
      <c r="Q648" t="str">
        <f t="shared" si="51"/>
        <v>High</v>
      </c>
      <c r="R648" t="str">
        <f t="shared" si="52"/>
        <v>Mid-Level</v>
      </c>
      <c r="S648" t="str">
        <f t="shared" si="53"/>
        <v>High Performer</v>
      </c>
      <c r="T648" s="4" t="str">
        <f t="shared" si="54"/>
        <v>Satisfied</v>
      </c>
    </row>
    <row r="649" spans="1:20" x14ac:dyDescent="0.3">
      <c r="A649" t="s">
        <v>852</v>
      </c>
      <c r="B649" t="s">
        <v>130</v>
      </c>
      <c r="C649" t="s">
        <v>37</v>
      </c>
      <c r="D649">
        <v>28</v>
      </c>
      <c r="E649" t="s">
        <v>66</v>
      </c>
      <c r="F649" t="s">
        <v>67</v>
      </c>
      <c r="G649" t="s">
        <v>20</v>
      </c>
      <c r="H649">
        <v>41000</v>
      </c>
      <c r="I649">
        <v>5</v>
      </c>
      <c r="J649">
        <v>5</v>
      </c>
      <c r="K649">
        <v>3</v>
      </c>
      <c r="L649" t="s">
        <v>21</v>
      </c>
      <c r="M649" t="s">
        <v>21</v>
      </c>
      <c r="N649" t="s">
        <v>34</v>
      </c>
      <c r="O649" t="s">
        <v>70</v>
      </c>
      <c r="P649" t="str">
        <f t="shared" si="50"/>
        <v>20-29</v>
      </c>
      <c r="Q649" t="str">
        <f t="shared" si="51"/>
        <v>Medium</v>
      </c>
      <c r="R649" t="str">
        <f t="shared" si="52"/>
        <v>Mid-Level</v>
      </c>
      <c r="S649" t="str">
        <f t="shared" si="53"/>
        <v>High Performer</v>
      </c>
      <c r="T649" s="4" t="str">
        <f t="shared" si="54"/>
        <v>Neutral</v>
      </c>
    </row>
    <row r="650" spans="1:20" x14ac:dyDescent="0.3">
      <c r="A650" t="s">
        <v>853</v>
      </c>
      <c r="B650" t="s">
        <v>242</v>
      </c>
      <c r="C650" t="s">
        <v>37</v>
      </c>
      <c r="D650">
        <v>29</v>
      </c>
      <c r="E650" t="s">
        <v>57</v>
      </c>
      <c r="F650" t="s">
        <v>27</v>
      </c>
      <c r="G650" t="s">
        <v>20</v>
      </c>
      <c r="H650">
        <v>66000</v>
      </c>
      <c r="I650">
        <v>0</v>
      </c>
      <c r="J650">
        <v>5</v>
      </c>
      <c r="K650">
        <v>3</v>
      </c>
      <c r="L650" t="s">
        <v>29</v>
      </c>
      <c r="M650" t="s">
        <v>21</v>
      </c>
      <c r="N650" t="s">
        <v>22</v>
      </c>
      <c r="O650" t="s">
        <v>75</v>
      </c>
      <c r="P650" t="str">
        <f t="shared" si="50"/>
        <v>20-29</v>
      </c>
      <c r="Q650" t="str">
        <f t="shared" si="51"/>
        <v>Medium</v>
      </c>
      <c r="R650" t="str">
        <f t="shared" si="52"/>
        <v>Junior</v>
      </c>
      <c r="S650" t="str">
        <f t="shared" si="53"/>
        <v>High Performer</v>
      </c>
      <c r="T650" s="4" t="str">
        <f t="shared" si="54"/>
        <v>Neutral</v>
      </c>
    </row>
    <row r="651" spans="1:20" x14ac:dyDescent="0.3">
      <c r="A651" t="s">
        <v>854</v>
      </c>
      <c r="B651" t="s">
        <v>379</v>
      </c>
      <c r="C651" t="s">
        <v>37</v>
      </c>
      <c r="D651">
        <v>30</v>
      </c>
      <c r="E651" t="s">
        <v>66</v>
      </c>
      <c r="F651" t="s">
        <v>82</v>
      </c>
      <c r="G651" t="s">
        <v>33</v>
      </c>
      <c r="H651">
        <v>28000</v>
      </c>
      <c r="I651">
        <v>9</v>
      </c>
      <c r="J651">
        <v>3</v>
      </c>
      <c r="K651">
        <v>1</v>
      </c>
      <c r="L651" t="s">
        <v>21</v>
      </c>
      <c r="M651" t="s">
        <v>21</v>
      </c>
      <c r="N651" t="s">
        <v>34</v>
      </c>
      <c r="O651" t="s">
        <v>23</v>
      </c>
      <c r="P651" t="str">
        <f t="shared" si="50"/>
        <v>30-39</v>
      </c>
      <c r="Q651" t="str">
        <f t="shared" si="51"/>
        <v>Low</v>
      </c>
      <c r="R651" t="str">
        <f t="shared" si="52"/>
        <v>Senior</v>
      </c>
      <c r="S651" t="str">
        <f t="shared" si="53"/>
        <v>Needs Improvement</v>
      </c>
      <c r="T651" s="4" t="str">
        <f t="shared" si="54"/>
        <v>Dissatisfied</v>
      </c>
    </row>
    <row r="652" spans="1:20" x14ac:dyDescent="0.3">
      <c r="A652" t="s">
        <v>855</v>
      </c>
      <c r="B652" t="s">
        <v>666</v>
      </c>
      <c r="C652" t="s">
        <v>37</v>
      </c>
      <c r="D652">
        <v>46</v>
      </c>
      <c r="E652" t="s">
        <v>26</v>
      </c>
      <c r="F652" t="s">
        <v>50</v>
      </c>
      <c r="G652" t="s">
        <v>28</v>
      </c>
      <c r="H652">
        <v>118000</v>
      </c>
      <c r="I652">
        <v>19</v>
      </c>
      <c r="J652">
        <v>2</v>
      </c>
      <c r="K652">
        <v>5</v>
      </c>
      <c r="L652" t="s">
        <v>21</v>
      </c>
      <c r="M652" t="s">
        <v>29</v>
      </c>
      <c r="N652" t="s">
        <v>22</v>
      </c>
      <c r="O652" t="s">
        <v>30</v>
      </c>
      <c r="P652" t="str">
        <f t="shared" si="50"/>
        <v>40-49</v>
      </c>
      <c r="Q652" t="str">
        <f t="shared" si="51"/>
        <v>High</v>
      </c>
      <c r="R652" t="str">
        <f t="shared" si="52"/>
        <v>Senior</v>
      </c>
      <c r="S652" t="str">
        <f t="shared" si="53"/>
        <v>Needs Improvement</v>
      </c>
      <c r="T652" s="4" t="str">
        <f t="shared" si="54"/>
        <v>Satisfied</v>
      </c>
    </row>
    <row r="653" spans="1:20" x14ac:dyDescent="0.3">
      <c r="A653" t="s">
        <v>856</v>
      </c>
      <c r="B653" t="s">
        <v>90</v>
      </c>
      <c r="C653" t="s">
        <v>37</v>
      </c>
      <c r="D653">
        <v>41</v>
      </c>
      <c r="E653" t="s">
        <v>41</v>
      </c>
      <c r="F653" t="s">
        <v>42</v>
      </c>
      <c r="G653" t="s">
        <v>20</v>
      </c>
      <c r="H653">
        <v>90000</v>
      </c>
      <c r="I653">
        <v>18</v>
      </c>
      <c r="J653">
        <v>2</v>
      </c>
      <c r="K653">
        <v>1</v>
      </c>
      <c r="L653" t="s">
        <v>21</v>
      </c>
      <c r="M653" t="s">
        <v>29</v>
      </c>
      <c r="N653" t="s">
        <v>34</v>
      </c>
      <c r="O653" t="s">
        <v>51</v>
      </c>
      <c r="P653" t="str">
        <f t="shared" si="50"/>
        <v>40-49</v>
      </c>
      <c r="Q653" t="str">
        <f t="shared" si="51"/>
        <v>High</v>
      </c>
      <c r="R653" t="str">
        <f t="shared" si="52"/>
        <v>Senior</v>
      </c>
      <c r="S653" t="str">
        <f t="shared" si="53"/>
        <v>Needs Improvement</v>
      </c>
      <c r="T653" s="4" t="str">
        <f t="shared" si="54"/>
        <v>Dissatisfied</v>
      </c>
    </row>
    <row r="654" spans="1:20" x14ac:dyDescent="0.3">
      <c r="A654" t="s">
        <v>857</v>
      </c>
      <c r="B654" t="s">
        <v>486</v>
      </c>
      <c r="C654" t="s">
        <v>17</v>
      </c>
      <c r="D654">
        <v>29</v>
      </c>
      <c r="E654" t="s">
        <v>18</v>
      </c>
      <c r="F654" t="s">
        <v>126</v>
      </c>
      <c r="G654" t="s">
        <v>46</v>
      </c>
      <c r="H654">
        <v>114000</v>
      </c>
      <c r="I654">
        <v>6</v>
      </c>
      <c r="J654">
        <v>4</v>
      </c>
      <c r="K654">
        <v>1</v>
      </c>
      <c r="L654" t="s">
        <v>29</v>
      </c>
      <c r="M654" t="s">
        <v>21</v>
      </c>
      <c r="N654" t="s">
        <v>22</v>
      </c>
      <c r="O654" t="s">
        <v>51</v>
      </c>
      <c r="P654" t="str">
        <f t="shared" si="50"/>
        <v>20-29</v>
      </c>
      <c r="Q654" t="str">
        <f t="shared" si="51"/>
        <v>High</v>
      </c>
      <c r="R654" t="str">
        <f t="shared" si="52"/>
        <v>Mid-Level</v>
      </c>
      <c r="S654" t="str">
        <f t="shared" si="53"/>
        <v>High Performer</v>
      </c>
      <c r="T654" s="4" t="str">
        <f t="shared" si="54"/>
        <v>Dissatisfied</v>
      </c>
    </row>
    <row r="655" spans="1:20" x14ac:dyDescent="0.3">
      <c r="A655" t="s">
        <v>858</v>
      </c>
      <c r="B655" t="s">
        <v>125</v>
      </c>
      <c r="C655" t="s">
        <v>17</v>
      </c>
      <c r="D655">
        <v>34</v>
      </c>
      <c r="E655" t="s">
        <v>41</v>
      </c>
      <c r="F655" t="s">
        <v>42</v>
      </c>
      <c r="G655" t="s">
        <v>46</v>
      </c>
      <c r="H655">
        <v>62000</v>
      </c>
      <c r="I655">
        <v>0</v>
      </c>
      <c r="J655">
        <v>5</v>
      </c>
      <c r="K655">
        <v>4</v>
      </c>
      <c r="L655" t="s">
        <v>29</v>
      </c>
      <c r="M655" t="s">
        <v>29</v>
      </c>
      <c r="N655" t="s">
        <v>22</v>
      </c>
      <c r="O655" t="s">
        <v>54</v>
      </c>
      <c r="P655" t="str">
        <f t="shared" si="50"/>
        <v>30-39</v>
      </c>
      <c r="Q655" t="str">
        <f t="shared" si="51"/>
        <v>Medium</v>
      </c>
      <c r="R655" t="str">
        <f t="shared" si="52"/>
        <v>Junior</v>
      </c>
      <c r="S655" t="str">
        <f t="shared" si="53"/>
        <v>High Performer</v>
      </c>
      <c r="T655" s="4" t="str">
        <f t="shared" si="54"/>
        <v>Satisfied</v>
      </c>
    </row>
    <row r="656" spans="1:20" x14ac:dyDescent="0.3">
      <c r="A656" t="s">
        <v>859</v>
      </c>
      <c r="B656" t="s">
        <v>448</v>
      </c>
      <c r="C656" t="s">
        <v>37</v>
      </c>
      <c r="D656">
        <v>32</v>
      </c>
      <c r="E656" t="s">
        <v>41</v>
      </c>
      <c r="F656" t="s">
        <v>42</v>
      </c>
      <c r="G656" t="s">
        <v>46</v>
      </c>
      <c r="H656">
        <v>69000</v>
      </c>
      <c r="I656">
        <v>11</v>
      </c>
      <c r="J656">
        <v>5</v>
      </c>
      <c r="K656">
        <v>3</v>
      </c>
      <c r="L656" t="s">
        <v>21</v>
      </c>
      <c r="M656" t="s">
        <v>21</v>
      </c>
      <c r="N656" t="s">
        <v>22</v>
      </c>
      <c r="O656" t="s">
        <v>54</v>
      </c>
      <c r="P656" t="str">
        <f t="shared" si="50"/>
        <v>30-39</v>
      </c>
      <c r="Q656" t="str">
        <f t="shared" si="51"/>
        <v>Medium</v>
      </c>
      <c r="R656" t="str">
        <f t="shared" si="52"/>
        <v>Senior</v>
      </c>
      <c r="S656" t="str">
        <f t="shared" si="53"/>
        <v>High Performer</v>
      </c>
      <c r="T656" s="4" t="str">
        <f t="shared" si="54"/>
        <v>Neutral</v>
      </c>
    </row>
    <row r="657" spans="1:20" x14ac:dyDescent="0.3">
      <c r="A657" t="s">
        <v>860</v>
      </c>
      <c r="B657" t="s">
        <v>625</v>
      </c>
      <c r="C657" t="s">
        <v>17</v>
      </c>
      <c r="D657">
        <v>26</v>
      </c>
      <c r="E657" t="s">
        <v>66</v>
      </c>
      <c r="F657" t="s">
        <v>82</v>
      </c>
      <c r="G657" t="s">
        <v>46</v>
      </c>
      <c r="H657">
        <v>86000</v>
      </c>
      <c r="I657">
        <v>5</v>
      </c>
      <c r="J657">
        <v>5</v>
      </c>
      <c r="K657">
        <v>2</v>
      </c>
      <c r="L657" t="s">
        <v>21</v>
      </c>
      <c r="M657" t="s">
        <v>21</v>
      </c>
      <c r="N657" t="s">
        <v>34</v>
      </c>
      <c r="O657" t="s">
        <v>43</v>
      </c>
      <c r="P657" t="str">
        <f t="shared" si="50"/>
        <v>20-29</v>
      </c>
      <c r="Q657" t="str">
        <f t="shared" si="51"/>
        <v>High</v>
      </c>
      <c r="R657" t="str">
        <f t="shared" si="52"/>
        <v>Mid-Level</v>
      </c>
      <c r="S657" t="str">
        <f t="shared" si="53"/>
        <v>High Performer</v>
      </c>
      <c r="T657" s="4" t="str">
        <f t="shared" si="54"/>
        <v>Dissatisfied</v>
      </c>
    </row>
    <row r="658" spans="1:20" x14ac:dyDescent="0.3">
      <c r="A658" t="s">
        <v>861</v>
      </c>
      <c r="B658" t="s">
        <v>238</v>
      </c>
      <c r="C658" t="s">
        <v>17</v>
      </c>
      <c r="D658">
        <v>30</v>
      </c>
      <c r="E658" t="s">
        <v>57</v>
      </c>
      <c r="F658" t="s">
        <v>27</v>
      </c>
      <c r="G658" t="s">
        <v>28</v>
      </c>
      <c r="H658">
        <v>109000</v>
      </c>
      <c r="I658">
        <v>3</v>
      </c>
      <c r="J658">
        <v>2</v>
      </c>
      <c r="K658">
        <v>5</v>
      </c>
      <c r="L658" t="s">
        <v>29</v>
      </c>
      <c r="M658" t="s">
        <v>29</v>
      </c>
      <c r="N658" t="s">
        <v>22</v>
      </c>
      <c r="O658" t="s">
        <v>75</v>
      </c>
      <c r="P658" t="str">
        <f t="shared" si="50"/>
        <v>30-39</v>
      </c>
      <c r="Q658" t="str">
        <f t="shared" si="51"/>
        <v>High</v>
      </c>
      <c r="R658" t="str">
        <f t="shared" si="52"/>
        <v>Mid-Level</v>
      </c>
      <c r="S658" t="str">
        <f t="shared" si="53"/>
        <v>Needs Improvement</v>
      </c>
      <c r="T658" s="4" t="str">
        <f t="shared" si="54"/>
        <v>Satisfied</v>
      </c>
    </row>
    <row r="659" spans="1:20" x14ac:dyDescent="0.3">
      <c r="A659" t="s">
        <v>862</v>
      </c>
      <c r="B659" t="s">
        <v>166</v>
      </c>
      <c r="C659" t="s">
        <v>17</v>
      </c>
      <c r="D659">
        <v>43</v>
      </c>
      <c r="E659" t="s">
        <v>26</v>
      </c>
      <c r="F659" t="s">
        <v>50</v>
      </c>
      <c r="G659" t="s">
        <v>33</v>
      </c>
      <c r="H659">
        <v>39000</v>
      </c>
      <c r="I659">
        <v>3</v>
      </c>
      <c r="J659">
        <v>3</v>
      </c>
      <c r="K659">
        <v>2</v>
      </c>
      <c r="L659" t="s">
        <v>21</v>
      </c>
      <c r="M659" t="s">
        <v>21</v>
      </c>
      <c r="N659" t="s">
        <v>22</v>
      </c>
      <c r="O659" t="s">
        <v>54</v>
      </c>
      <c r="P659" t="str">
        <f t="shared" si="50"/>
        <v>40-49</v>
      </c>
      <c r="Q659" t="str">
        <f t="shared" si="51"/>
        <v>Low</v>
      </c>
      <c r="R659" t="str">
        <f t="shared" si="52"/>
        <v>Mid-Level</v>
      </c>
      <c r="S659" t="str">
        <f t="shared" si="53"/>
        <v>Needs Improvement</v>
      </c>
      <c r="T659" s="4" t="str">
        <f t="shared" si="54"/>
        <v>Dissatisfied</v>
      </c>
    </row>
    <row r="660" spans="1:20" x14ac:dyDescent="0.3">
      <c r="A660" t="s">
        <v>863</v>
      </c>
      <c r="B660" t="s">
        <v>154</v>
      </c>
      <c r="C660" t="s">
        <v>17</v>
      </c>
      <c r="D660">
        <v>55</v>
      </c>
      <c r="E660" t="s">
        <v>49</v>
      </c>
      <c r="F660" t="s">
        <v>27</v>
      </c>
      <c r="G660" t="s">
        <v>33</v>
      </c>
      <c r="H660">
        <v>46000</v>
      </c>
      <c r="I660">
        <v>2</v>
      </c>
      <c r="J660">
        <v>3</v>
      </c>
      <c r="K660">
        <v>1</v>
      </c>
      <c r="L660" t="s">
        <v>29</v>
      </c>
      <c r="M660" t="s">
        <v>29</v>
      </c>
      <c r="N660" t="s">
        <v>22</v>
      </c>
      <c r="O660" t="s">
        <v>38</v>
      </c>
      <c r="P660" t="str">
        <f t="shared" si="50"/>
        <v>50+</v>
      </c>
      <c r="Q660" t="str">
        <f t="shared" si="51"/>
        <v>Medium</v>
      </c>
      <c r="R660" t="str">
        <f t="shared" si="52"/>
        <v>Junior</v>
      </c>
      <c r="S660" t="str">
        <f t="shared" si="53"/>
        <v>Needs Improvement</v>
      </c>
      <c r="T660" s="4" t="str">
        <f t="shared" si="54"/>
        <v>Dissatisfied</v>
      </c>
    </row>
    <row r="661" spans="1:20" x14ac:dyDescent="0.3">
      <c r="A661" t="s">
        <v>864</v>
      </c>
      <c r="B661" t="s">
        <v>160</v>
      </c>
      <c r="C661" t="s">
        <v>37</v>
      </c>
      <c r="D661">
        <v>44</v>
      </c>
      <c r="E661" t="s">
        <v>57</v>
      </c>
      <c r="F661" t="s">
        <v>50</v>
      </c>
      <c r="G661" t="s">
        <v>28</v>
      </c>
      <c r="H661">
        <v>109000</v>
      </c>
      <c r="I661">
        <v>14</v>
      </c>
      <c r="J661">
        <v>5</v>
      </c>
      <c r="K661">
        <v>1</v>
      </c>
      <c r="L661" t="s">
        <v>21</v>
      </c>
      <c r="M661" t="s">
        <v>21</v>
      </c>
      <c r="N661" t="s">
        <v>22</v>
      </c>
      <c r="O661" t="s">
        <v>70</v>
      </c>
      <c r="P661" t="str">
        <f t="shared" si="50"/>
        <v>40-49</v>
      </c>
      <c r="Q661" t="str">
        <f t="shared" si="51"/>
        <v>High</v>
      </c>
      <c r="R661" t="str">
        <f t="shared" si="52"/>
        <v>Senior</v>
      </c>
      <c r="S661" t="str">
        <f t="shared" si="53"/>
        <v>High Performer</v>
      </c>
      <c r="T661" s="4" t="str">
        <f t="shared" si="54"/>
        <v>Dissatisfied</v>
      </c>
    </row>
    <row r="662" spans="1:20" x14ac:dyDescent="0.3">
      <c r="A662" t="s">
        <v>865</v>
      </c>
      <c r="B662" t="s">
        <v>77</v>
      </c>
      <c r="C662" t="s">
        <v>17</v>
      </c>
      <c r="D662">
        <v>30</v>
      </c>
      <c r="E662" t="s">
        <v>41</v>
      </c>
      <c r="F662" t="s">
        <v>42</v>
      </c>
      <c r="G662" t="s">
        <v>46</v>
      </c>
      <c r="H662">
        <v>97000</v>
      </c>
      <c r="I662">
        <v>3</v>
      </c>
      <c r="J662">
        <v>4</v>
      </c>
      <c r="K662">
        <v>5</v>
      </c>
      <c r="L662" t="s">
        <v>21</v>
      </c>
      <c r="M662" t="s">
        <v>29</v>
      </c>
      <c r="N662" t="s">
        <v>22</v>
      </c>
      <c r="O662" t="s">
        <v>43</v>
      </c>
      <c r="P662" t="str">
        <f t="shared" si="50"/>
        <v>30-39</v>
      </c>
      <c r="Q662" t="str">
        <f t="shared" si="51"/>
        <v>High</v>
      </c>
      <c r="R662" t="str">
        <f t="shared" si="52"/>
        <v>Mid-Level</v>
      </c>
      <c r="S662" t="str">
        <f t="shared" si="53"/>
        <v>High Performer</v>
      </c>
      <c r="T662" s="4" t="str">
        <f t="shared" si="54"/>
        <v>Satisfied</v>
      </c>
    </row>
    <row r="663" spans="1:20" x14ac:dyDescent="0.3">
      <c r="A663" t="s">
        <v>866</v>
      </c>
      <c r="B663" t="s">
        <v>197</v>
      </c>
      <c r="C663" t="s">
        <v>17</v>
      </c>
      <c r="D663">
        <v>29</v>
      </c>
      <c r="E663" t="s">
        <v>57</v>
      </c>
      <c r="F663" t="s">
        <v>50</v>
      </c>
      <c r="G663" t="s">
        <v>20</v>
      </c>
      <c r="H663">
        <v>71000</v>
      </c>
      <c r="I663">
        <v>3</v>
      </c>
      <c r="J663">
        <v>5</v>
      </c>
      <c r="K663">
        <v>5</v>
      </c>
      <c r="L663" t="s">
        <v>21</v>
      </c>
      <c r="M663" t="s">
        <v>29</v>
      </c>
      <c r="N663" t="s">
        <v>22</v>
      </c>
      <c r="O663" t="s">
        <v>23</v>
      </c>
      <c r="P663" t="str">
        <f t="shared" si="50"/>
        <v>20-29</v>
      </c>
      <c r="Q663" t="str">
        <f t="shared" si="51"/>
        <v>High</v>
      </c>
      <c r="R663" t="str">
        <f t="shared" si="52"/>
        <v>Mid-Level</v>
      </c>
      <c r="S663" t="str">
        <f t="shared" si="53"/>
        <v>High Performer</v>
      </c>
      <c r="T663" s="4" t="str">
        <f t="shared" si="54"/>
        <v>Satisfied</v>
      </c>
    </row>
    <row r="664" spans="1:20" x14ac:dyDescent="0.3">
      <c r="A664" t="s">
        <v>867</v>
      </c>
      <c r="B664" t="s">
        <v>151</v>
      </c>
      <c r="C664" t="s">
        <v>17</v>
      </c>
      <c r="D664">
        <v>28</v>
      </c>
      <c r="E664" t="s">
        <v>26</v>
      </c>
      <c r="F664" t="s">
        <v>50</v>
      </c>
      <c r="G664" t="s">
        <v>46</v>
      </c>
      <c r="H664">
        <v>25000</v>
      </c>
      <c r="I664">
        <v>4</v>
      </c>
      <c r="J664">
        <v>3</v>
      </c>
      <c r="K664">
        <v>3</v>
      </c>
      <c r="L664" t="s">
        <v>21</v>
      </c>
      <c r="M664" t="s">
        <v>21</v>
      </c>
      <c r="N664" t="s">
        <v>34</v>
      </c>
      <c r="O664" t="s">
        <v>54</v>
      </c>
      <c r="P664" t="str">
        <f t="shared" si="50"/>
        <v>20-29</v>
      </c>
      <c r="Q664" t="str">
        <f t="shared" si="51"/>
        <v>Low</v>
      </c>
      <c r="R664" t="str">
        <f t="shared" si="52"/>
        <v>Mid-Level</v>
      </c>
      <c r="S664" t="str">
        <f t="shared" si="53"/>
        <v>Needs Improvement</v>
      </c>
      <c r="T664" s="4" t="str">
        <f t="shared" si="54"/>
        <v>Neutral</v>
      </c>
    </row>
    <row r="665" spans="1:20" x14ac:dyDescent="0.3">
      <c r="A665" t="s">
        <v>868</v>
      </c>
      <c r="B665" t="s">
        <v>372</v>
      </c>
      <c r="C665" t="s">
        <v>37</v>
      </c>
      <c r="D665">
        <v>35</v>
      </c>
      <c r="E665" t="s">
        <v>26</v>
      </c>
      <c r="F665" t="s">
        <v>27</v>
      </c>
      <c r="G665" t="s">
        <v>33</v>
      </c>
      <c r="H665">
        <v>107000</v>
      </c>
      <c r="I665">
        <v>2</v>
      </c>
      <c r="J665">
        <v>2</v>
      </c>
      <c r="K665">
        <v>2</v>
      </c>
      <c r="L665" t="s">
        <v>29</v>
      </c>
      <c r="M665" t="s">
        <v>29</v>
      </c>
      <c r="N665" t="s">
        <v>34</v>
      </c>
      <c r="O665" t="s">
        <v>38</v>
      </c>
      <c r="P665" t="str">
        <f t="shared" si="50"/>
        <v>30-39</v>
      </c>
      <c r="Q665" t="str">
        <f t="shared" si="51"/>
        <v>High</v>
      </c>
      <c r="R665" t="str">
        <f t="shared" si="52"/>
        <v>Junior</v>
      </c>
      <c r="S665" t="str">
        <f t="shared" si="53"/>
        <v>Needs Improvement</v>
      </c>
      <c r="T665" s="4" t="str">
        <f t="shared" si="54"/>
        <v>Dissatisfied</v>
      </c>
    </row>
    <row r="666" spans="1:20" x14ac:dyDescent="0.3">
      <c r="A666" t="s">
        <v>869</v>
      </c>
      <c r="B666" t="s">
        <v>446</v>
      </c>
      <c r="C666" t="s">
        <v>37</v>
      </c>
      <c r="D666">
        <v>53</v>
      </c>
      <c r="E666" t="s">
        <v>57</v>
      </c>
      <c r="F666" t="s">
        <v>27</v>
      </c>
      <c r="G666" t="s">
        <v>20</v>
      </c>
      <c r="H666">
        <v>37000</v>
      </c>
      <c r="I666">
        <v>20</v>
      </c>
      <c r="J666">
        <v>3</v>
      </c>
      <c r="K666">
        <v>2</v>
      </c>
      <c r="L666" t="s">
        <v>29</v>
      </c>
      <c r="M666" t="s">
        <v>21</v>
      </c>
      <c r="N666" t="s">
        <v>34</v>
      </c>
      <c r="O666" t="s">
        <v>43</v>
      </c>
      <c r="P666" t="str">
        <f t="shared" si="50"/>
        <v>50+</v>
      </c>
      <c r="Q666" t="str">
        <f t="shared" si="51"/>
        <v>Low</v>
      </c>
      <c r="R666" t="str">
        <f t="shared" si="52"/>
        <v>Senior</v>
      </c>
      <c r="S666" t="str">
        <f t="shared" si="53"/>
        <v>Needs Improvement</v>
      </c>
      <c r="T666" s="4" t="str">
        <f t="shared" si="54"/>
        <v>Dissatisfied</v>
      </c>
    </row>
    <row r="667" spans="1:20" x14ac:dyDescent="0.3">
      <c r="A667" t="s">
        <v>870</v>
      </c>
      <c r="B667" t="s">
        <v>502</v>
      </c>
      <c r="C667" t="s">
        <v>37</v>
      </c>
      <c r="D667">
        <v>54</v>
      </c>
      <c r="E667" t="s">
        <v>57</v>
      </c>
      <c r="F667" t="s">
        <v>27</v>
      </c>
      <c r="G667" t="s">
        <v>46</v>
      </c>
      <c r="H667">
        <v>31000</v>
      </c>
      <c r="I667">
        <v>20</v>
      </c>
      <c r="J667">
        <v>5</v>
      </c>
      <c r="K667">
        <v>4</v>
      </c>
      <c r="L667" t="s">
        <v>21</v>
      </c>
      <c r="M667" t="s">
        <v>29</v>
      </c>
      <c r="N667" t="s">
        <v>34</v>
      </c>
      <c r="O667" t="s">
        <v>54</v>
      </c>
      <c r="P667" t="str">
        <f t="shared" si="50"/>
        <v>50+</v>
      </c>
      <c r="Q667" t="str">
        <f t="shared" si="51"/>
        <v>Low</v>
      </c>
      <c r="R667" t="str">
        <f t="shared" si="52"/>
        <v>Senior</v>
      </c>
      <c r="S667" t="str">
        <f t="shared" si="53"/>
        <v>High Performer</v>
      </c>
      <c r="T667" s="4" t="str">
        <f t="shared" si="54"/>
        <v>Satisfied</v>
      </c>
    </row>
    <row r="668" spans="1:20" x14ac:dyDescent="0.3">
      <c r="A668" t="s">
        <v>871</v>
      </c>
      <c r="B668" t="s">
        <v>125</v>
      </c>
      <c r="C668" t="s">
        <v>37</v>
      </c>
      <c r="D668">
        <v>50</v>
      </c>
      <c r="E668" t="s">
        <v>57</v>
      </c>
      <c r="F668" t="s">
        <v>50</v>
      </c>
      <c r="G668" t="s">
        <v>20</v>
      </c>
      <c r="H668">
        <v>98000</v>
      </c>
      <c r="I668">
        <v>18</v>
      </c>
      <c r="J668">
        <v>5</v>
      </c>
      <c r="K668">
        <v>4</v>
      </c>
      <c r="L668" t="s">
        <v>21</v>
      </c>
      <c r="M668" t="s">
        <v>21</v>
      </c>
      <c r="N668" t="s">
        <v>22</v>
      </c>
      <c r="O668" t="s">
        <v>75</v>
      </c>
      <c r="P668" t="str">
        <f t="shared" si="50"/>
        <v>50+</v>
      </c>
      <c r="Q668" t="str">
        <f t="shared" si="51"/>
        <v>High</v>
      </c>
      <c r="R668" t="str">
        <f t="shared" si="52"/>
        <v>Senior</v>
      </c>
      <c r="S668" t="str">
        <f t="shared" si="53"/>
        <v>High Performer</v>
      </c>
      <c r="T668" s="4" t="str">
        <f t="shared" si="54"/>
        <v>Satisfied</v>
      </c>
    </row>
    <row r="669" spans="1:20" x14ac:dyDescent="0.3">
      <c r="A669" t="s">
        <v>872</v>
      </c>
      <c r="B669" t="s">
        <v>357</v>
      </c>
      <c r="C669" t="s">
        <v>37</v>
      </c>
      <c r="D669">
        <v>29</v>
      </c>
      <c r="E669" t="s">
        <v>49</v>
      </c>
      <c r="F669" t="s">
        <v>50</v>
      </c>
      <c r="G669" t="s">
        <v>46</v>
      </c>
      <c r="H669">
        <v>91000</v>
      </c>
      <c r="I669">
        <v>8</v>
      </c>
      <c r="J669">
        <v>3</v>
      </c>
      <c r="K669">
        <v>5</v>
      </c>
      <c r="L669" t="s">
        <v>29</v>
      </c>
      <c r="M669" t="s">
        <v>29</v>
      </c>
      <c r="N669" t="s">
        <v>22</v>
      </c>
      <c r="O669" t="s">
        <v>75</v>
      </c>
      <c r="P669" t="str">
        <f t="shared" si="50"/>
        <v>20-29</v>
      </c>
      <c r="Q669" t="str">
        <f t="shared" si="51"/>
        <v>High</v>
      </c>
      <c r="R669" t="str">
        <f t="shared" si="52"/>
        <v>Senior</v>
      </c>
      <c r="S669" t="str">
        <f t="shared" si="53"/>
        <v>Needs Improvement</v>
      </c>
      <c r="T669" s="4" t="str">
        <f t="shared" si="54"/>
        <v>Satisfied</v>
      </c>
    </row>
    <row r="670" spans="1:20" x14ac:dyDescent="0.3">
      <c r="A670" t="s">
        <v>873</v>
      </c>
      <c r="B670" t="s">
        <v>147</v>
      </c>
      <c r="C670" t="s">
        <v>37</v>
      </c>
      <c r="D670">
        <v>53</v>
      </c>
      <c r="E670" t="s">
        <v>57</v>
      </c>
      <c r="F670" t="s">
        <v>27</v>
      </c>
      <c r="G670" t="s">
        <v>20</v>
      </c>
      <c r="H670">
        <v>57000</v>
      </c>
      <c r="I670">
        <v>4</v>
      </c>
      <c r="J670">
        <v>4</v>
      </c>
      <c r="K670">
        <v>1</v>
      </c>
      <c r="L670" t="s">
        <v>29</v>
      </c>
      <c r="M670" t="s">
        <v>29</v>
      </c>
      <c r="N670" t="s">
        <v>22</v>
      </c>
      <c r="O670" t="s">
        <v>54</v>
      </c>
      <c r="P670" t="str">
        <f t="shared" si="50"/>
        <v>50+</v>
      </c>
      <c r="Q670" t="str">
        <f t="shared" si="51"/>
        <v>Medium</v>
      </c>
      <c r="R670" t="str">
        <f t="shared" si="52"/>
        <v>Mid-Level</v>
      </c>
      <c r="S670" t="str">
        <f t="shared" si="53"/>
        <v>High Performer</v>
      </c>
      <c r="T670" s="4" t="str">
        <f t="shared" si="54"/>
        <v>Dissatisfied</v>
      </c>
    </row>
    <row r="671" spans="1:20" x14ac:dyDescent="0.3">
      <c r="A671" t="s">
        <v>874</v>
      </c>
      <c r="B671" t="s">
        <v>360</v>
      </c>
      <c r="C671" t="s">
        <v>37</v>
      </c>
      <c r="D671">
        <v>52</v>
      </c>
      <c r="E671" t="s">
        <v>18</v>
      </c>
      <c r="F671" t="s">
        <v>19</v>
      </c>
      <c r="G671" t="s">
        <v>20</v>
      </c>
      <c r="H671">
        <v>60000</v>
      </c>
      <c r="I671">
        <v>19</v>
      </c>
      <c r="J671">
        <v>3</v>
      </c>
      <c r="K671">
        <v>2</v>
      </c>
      <c r="L671" t="s">
        <v>21</v>
      </c>
      <c r="M671" t="s">
        <v>29</v>
      </c>
      <c r="N671" t="s">
        <v>22</v>
      </c>
      <c r="O671" t="s">
        <v>51</v>
      </c>
      <c r="P671" t="str">
        <f t="shared" si="50"/>
        <v>50+</v>
      </c>
      <c r="Q671" t="str">
        <f t="shared" si="51"/>
        <v>Medium</v>
      </c>
      <c r="R671" t="str">
        <f t="shared" si="52"/>
        <v>Senior</v>
      </c>
      <c r="S671" t="str">
        <f t="shared" si="53"/>
        <v>Needs Improvement</v>
      </c>
      <c r="T671" s="4" t="str">
        <f t="shared" si="54"/>
        <v>Dissatisfied</v>
      </c>
    </row>
    <row r="672" spans="1:20" x14ac:dyDescent="0.3">
      <c r="A672" t="s">
        <v>875</v>
      </c>
      <c r="B672" t="s">
        <v>244</v>
      </c>
      <c r="C672" t="s">
        <v>17</v>
      </c>
      <c r="D672">
        <v>47</v>
      </c>
      <c r="E672" t="s">
        <v>18</v>
      </c>
      <c r="F672" t="s">
        <v>126</v>
      </c>
      <c r="G672" t="s">
        <v>20</v>
      </c>
      <c r="H672">
        <v>119000</v>
      </c>
      <c r="I672">
        <v>3</v>
      </c>
      <c r="J672">
        <v>4</v>
      </c>
      <c r="K672">
        <v>2</v>
      </c>
      <c r="L672" t="s">
        <v>21</v>
      </c>
      <c r="M672" t="s">
        <v>21</v>
      </c>
      <c r="N672" t="s">
        <v>22</v>
      </c>
      <c r="O672" t="s">
        <v>30</v>
      </c>
      <c r="P672" t="str">
        <f t="shared" si="50"/>
        <v>40-49</v>
      </c>
      <c r="Q672" t="str">
        <f t="shared" si="51"/>
        <v>High</v>
      </c>
      <c r="R672" t="str">
        <f t="shared" si="52"/>
        <v>Mid-Level</v>
      </c>
      <c r="S672" t="str">
        <f t="shared" si="53"/>
        <v>High Performer</v>
      </c>
      <c r="T672" s="4" t="str">
        <f t="shared" si="54"/>
        <v>Dissatisfied</v>
      </c>
    </row>
    <row r="673" spans="1:20" x14ac:dyDescent="0.3">
      <c r="A673" t="s">
        <v>876</v>
      </c>
      <c r="B673" t="s">
        <v>48</v>
      </c>
      <c r="C673" t="s">
        <v>37</v>
      </c>
      <c r="D673">
        <v>43</v>
      </c>
      <c r="E673" t="s">
        <v>57</v>
      </c>
      <c r="F673" t="s">
        <v>27</v>
      </c>
      <c r="G673" t="s">
        <v>28</v>
      </c>
      <c r="H673">
        <v>91000</v>
      </c>
      <c r="I673">
        <v>9</v>
      </c>
      <c r="J673">
        <v>2</v>
      </c>
      <c r="K673">
        <v>2</v>
      </c>
      <c r="L673" t="s">
        <v>21</v>
      </c>
      <c r="M673" t="s">
        <v>21</v>
      </c>
      <c r="N673" t="s">
        <v>22</v>
      </c>
      <c r="O673" t="s">
        <v>75</v>
      </c>
      <c r="P673" t="str">
        <f t="shared" si="50"/>
        <v>40-49</v>
      </c>
      <c r="Q673" t="str">
        <f t="shared" si="51"/>
        <v>High</v>
      </c>
      <c r="R673" t="str">
        <f t="shared" si="52"/>
        <v>Senior</v>
      </c>
      <c r="S673" t="str">
        <f t="shared" si="53"/>
        <v>Needs Improvement</v>
      </c>
      <c r="T673" s="4" t="str">
        <f t="shared" si="54"/>
        <v>Dissatisfied</v>
      </c>
    </row>
    <row r="674" spans="1:20" x14ac:dyDescent="0.3">
      <c r="A674" t="s">
        <v>877</v>
      </c>
      <c r="B674" t="s">
        <v>132</v>
      </c>
      <c r="C674" t="s">
        <v>37</v>
      </c>
      <c r="D674">
        <v>48</v>
      </c>
      <c r="E674" t="s">
        <v>57</v>
      </c>
      <c r="F674" t="s">
        <v>27</v>
      </c>
      <c r="G674" t="s">
        <v>33</v>
      </c>
      <c r="H674">
        <v>59000</v>
      </c>
      <c r="I674">
        <v>5</v>
      </c>
      <c r="J674">
        <v>5</v>
      </c>
      <c r="K674">
        <v>4</v>
      </c>
      <c r="L674" t="s">
        <v>29</v>
      </c>
      <c r="M674" t="s">
        <v>29</v>
      </c>
      <c r="N674" t="s">
        <v>34</v>
      </c>
      <c r="O674" t="s">
        <v>51</v>
      </c>
      <c r="P674" t="str">
        <f t="shared" si="50"/>
        <v>40-49</v>
      </c>
      <c r="Q674" t="str">
        <f t="shared" si="51"/>
        <v>Medium</v>
      </c>
      <c r="R674" t="str">
        <f t="shared" si="52"/>
        <v>Mid-Level</v>
      </c>
      <c r="S674" t="str">
        <f t="shared" si="53"/>
        <v>High Performer</v>
      </c>
      <c r="T674" s="4" t="str">
        <f t="shared" si="54"/>
        <v>Satisfied</v>
      </c>
    </row>
    <row r="675" spans="1:20" x14ac:dyDescent="0.3">
      <c r="A675" t="s">
        <v>878</v>
      </c>
      <c r="B675" t="s">
        <v>233</v>
      </c>
      <c r="C675" t="s">
        <v>37</v>
      </c>
      <c r="D675">
        <v>29</v>
      </c>
      <c r="E675" t="s">
        <v>49</v>
      </c>
      <c r="F675" t="s">
        <v>27</v>
      </c>
      <c r="G675" t="s">
        <v>46</v>
      </c>
      <c r="H675">
        <v>52000</v>
      </c>
      <c r="I675">
        <v>8</v>
      </c>
      <c r="J675">
        <v>2</v>
      </c>
      <c r="K675">
        <v>4</v>
      </c>
      <c r="L675" t="s">
        <v>29</v>
      </c>
      <c r="M675" t="s">
        <v>29</v>
      </c>
      <c r="N675" t="s">
        <v>34</v>
      </c>
      <c r="O675" t="s">
        <v>54</v>
      </c>
      <c r="P675" t="str">
        <f t="shared" si="50"/>
        <v>20-29</v>
      </c>
      <c r="Q675" t="str">
        <f t="shared" si="51"/>
        <v>Medium</v>
      </c>
      <c r="R675" t="str">
        <f t="shared" si="52"/>
        <v>Senior</v>
      </c>
      <c r="S675" t="str">
        <f t="shared" si="53"/>
        <v>Needs Improvement</v>
      </c>
      <c r="T675" s="4" t="str">
        <f t="shared" si="54"/>
        <v>Satisfied</v>
      </c>
    </row>
    <row r="676" spans="1:20" x14ac:dyDescent="0.3">
      <c r="A676" t="s">
        <v>879</v>
      </c>
      <c r="B676" t="s">
        <v>166</v>
      </c>
      <c r="C676" t="s">
        <v>17</v>
      </c>
      <c r="D676">
        <v>22</v>
      </c>
      <c r="E676" t="s">
        <v>66</v>
      </c>
      <c r="F676" t="s">
        <v>82</v>
      </c>
      <c r="G676" t="s">
        <v>33</v>
      </c>
      <c r="H676">
        <v>113000</v>
      </c>
      <c r="I676">
        <v>1</v>
      </c>
      <c r="J676">
        <v>2</v>
      </c>
      <c r="K676">
        <v>1</v>
      </c>
      <c r="L676" t="s">
        <v>29</v>
      </c>
      <c r="M676" t="s">
        <v>29</v>
      </c>
      <c r="N676" t="s">
        <v>22</v>
      </c>
      <c r="O676" t="s">
        <v>75</v>
      </c>
      <c r="P676" t="str">
        <f t="shared" si="50"/>
        <v>20-29</v>
      </c>
      <c r="Q676" t="str">
        <f t="shared" si="51"/>
        <v>High</v>
      </c>
      <c r="R676" t="str">
        <f t="shared" si="52"/>
        <v>Junior</v>
      </c>
      <c r="S676" t="str">
        <f t="shared" si="53"/>
        <v>Needs Improvement</v>
      </c>
      <c r="T676" s="4" t="str">
        <f t="shared" si="54"/>
        <v>Dissatisfied</v>
      </c>
    </row>
    <row r="677" spans="1:20" x14ac:dyDescent="0.3">
      <c r="A677" t="s">
        <v>880</v>
      </c>
      <c r="B677" t="s">
        <v>191</v>
      </c>
      <c r="C677" t="s">
        <v>17</v>
      </c>
      <c r="D677">
        <v>29</v>
      </c>
      <c r="E677" t="s">
        <v>26</v>
      </c>
      <c r="F677" t="s">
        <v>50</v>
      </c>
      <c r="G677" t="s">
        <v>28</v>
      </c>
      <c r="H677">
        <v>31000</v>
      </c>
      <c r="I677">
        <v>8</v>
      </c>
      <c r="J677">
        <v>2</v>
      </c>
      <c r="K677">
        <v>4</v>
      </c>
      <c r="L677" t="s">
        <v>21</v>
      </c>
      <c r="M677" t="s">
        <v>29</v>
      </c>
      <c r="N677" t="s">
        <v>22</v>
      </c>
      <c r="O677" t="s">
        <v>38</v>
      </c>
      <c r="P677" t="str">
        <f t="shared" si="50"/>
        <v>20-29</v>
      </c>
      <c r="Q677" t="str">
        <f t="shared" si="51"/>
        <v>Low</v>
      </c>
      <c r="R677" t="str">
        <f t="shared" si="52"/>
        <v>Senior</v>
      </c>
      <c r="S677" t="str">
        <f t="shared" si="53"/>
        <v>Needs Improvement</v>
      </c>
      <c r="T677" s="4" t="str">
        <f t="shared" si="54"/>
        <v>Satisfied</v>
      </c>
    </row>
    <row r="678" spans="1:20" x14ac:dyDescent="0.3">
      <c r="A678" t="s">
        <v>881</v>
      </c>
      <c r="B678" t="s">
        <v>706</v>
      </c>
      <c r="C678" t="s">
        <v>17</v>
      </c>
      <c r="D678">
        <v>34</v>
      </c>
      <c r="E678" t="s">
        <v>41</v>
      </c>
      <c r="F678" t="s">
        <v>73</v>
      </c>
      <c r="G678" t="s">
        <v>20</v>
      </c>
      <c r="H678">
        <v>104000</v>
      </c>
      <c r="I678">
        <v>10</v>
      </c>
      <c r="J678">
        <v>2</v>
      </c>
      <c r="K678">
        <v>4</v>
      </c>
      <c r="L678" t="s">
        <v>29</v>
      </c>
      <c r="M678" t="s">
        <v>29</v>
      </c>
      <c r="N678" t="s">
        <v>22</v>
      </c>
      <c r="O678" t="s">
        <v>51</v>
      </c>
      <c r="P678" t="str">
        <f t="shared" si="50"/>
        <v>30-39</v>
      </c>
      <c r="Q678" t="str">
        <f t="shared" si="51"/>
        <v>High</v>
      </c>
      <c r="R678" t="str">
        <f t="shared" si="52"/>
        <v>Senior</v>
      </c>
      <c r="S678" t="str">
        <f t="shared" si="53"/>
        <v>Needs Improvement</v>
      </c>
      <c r="T678" s="4" t="str">
        <f t="shared" si="54"/>
        <v>Satisfied</v>
      </c>
    </row>
    <row r="679" spans="1:20" x14ac:dyDescent="0.3">
      <c r="A679" t="s">
        <v>882</v>
      </c>
      <c r="B679" t="s">
        <v>249</v>
      </c>
      <c r="C679" t="s">
        <v>37</v>
      </c>
      <c r="D679">
        <v>51</v>
      </c>
      <c r="E679" t="s">
        <v>26</v>
      </c>
      <c r="F679" t="s">
        <v>27</v>
      </c>
      <c r="G679" t="s">
        <v>33</v>
      </c>
      <c r="H679">
        <v>27000</v>
      </c>
      <c r="I679">
        <v>3</v>
      </c>
      <c r="J679">
        <v>2</v>
      </c>
      <c r="K679">
        <v>1</v>
      </c>
      <c r="L679" t="s">
        <v>21</v>
      </c>
      <c r="M679" t="s">
        <v>29</v>
      </c>
      <c r="N679" t="s">
        <v>22</v>
      </c>
      <c r="O679" t="s">
        <v>75</v>
      </c>
      <c r="P679" t="str">
        <f t="shared" si="50"/>
        <v>50+</v>
      </c>
      <c r="Q679" t="str">
        <f t="shared" si="51"/>
        <v>Low</v>
      </c>
      <c r="R679" t="str">
        <f t="shared" si="52"/>
        <v>Mid-Level</v>
      </c>
      <c r="S679" t="str">
        <f t="shared" si="53"/>
        <v>Needs Improvement</v>
      </c>
      <c r="T679" s="4" t="str">
        <f t="shared" si="54"/>
        <v>Dissatisfied</v>
      </c>
    </row>
    <row r="680" spans="1:20" x14ac:dyDescent="0.3">
      <c r="A680" t="s">
        <v>883</v>
      </c>
      <c r="B680" t="s">
        <v>552</v>
      </c>
      <c r="C680" t="s">
        <v>17</v>
      </c>
      <c r="D680">
        <v>35</v>
      </c>
      <c r="E680" t="s">
        <v>41</v>
      </c>
      <c r="F680" t="s">
        <v>42</v>
      </c>
      <c r="G680" t="s">
        <v>33</v>
      </c>
      <c r="H680">
        <v>40000</v>
      </c>
      <c r="I680">
        <v>10</v>
      </c>
      <c r="J680">
        <v>5</v>
      </c>
      <c r="K680">
        <v>3</v>
      </c>
      <c r="L680" t="s">
        <v>29</v>
      </c>
      <c r="M680" t="s">
        <v>29</v>
      </c>
      <c r="N680" t="s">
        <v>34</v>
      </c>
      <c r="O680" t="s">
        <v>51</v>
      </c>
      <c r="P680" t="str">
        <f t="shared" si="50"/>
        <v>30-39</v>
      </c>
      <c r="Q680" t="str">
        <f t="shared" si="51"/>
        <v>Medium</v>
      </c>
      <c r="R680" t="str">
        <f t="shared" si="52"/>
        <v>Senior</v>
      </c>
      <c r="S680" t="str">
        <f t="shared" si="53"/>
        <v>High Performer</v>
      </c>
      <c r="T680" s="4" t="str">
        <f t="shared" si="54"/>
        <v>Neutral</v>
      </c>
    </row>
    <row r="681" spans="1:20" x14ac:dyDescent="0.3">
      <c r="A681" t="s">
        <v>884</v>
      </c>
      <c r="B681" t="s">
        <v>476</v>
      </c>
      <c r="C681" t="s">
        <v>17</v>
      </c>
      <c r="D681">
        <v>40</v>
      </c>
      <c r="E681" t="s">
        <v>49</v>
      </c>
      <c r="F681" t="s">
        <v>50</v>
      </c>
      <c r="G681" t="s">
        <v>28</v>
      </c>
      <c r="H681">
        <v>115000</v>
      </c>
      <c r="I681">
        <v>16</v>
      </c>
      <c r="J681">
        <v>4</v>
      </c>
      <c r="K681">
        <v>1</v>
      </c>
      <c r="L681" t="s">
        <v>21</v>
      </c>
      <c r="M681" t="s">
        <v>29</v>
      </c>
      <c r="N681" t="s">
        <v>34</v>
      </c>
      <c r="O681" t="s">
        <v>30</v>
      </c>
      <c r="P681" t="str">
        <f t="shared" si="50"/>
        <v>40-49</v>
      </c>
      <c r="Q681" t="str">
        <f t="shared" si="51"/>
        <v>High</v>
      </c>
      <c r="R681" t="str">
        <f t="shared" si="52"/>
        <v>Senior</v>
      </c>
      <c r="S681" t="str">
        <f t="shared" si="53"/>
        <v>High Performer</v>
      </c>
      <c r="T681" s="4" t="str">
        <f t="shared" si="54"/>
        <v>Dissatisfied</v>
      </c>
    </row>
    <row r="682" spans="1:20" x14ac:dyDescent="0.3">
      <c r="A682" t="s">
        <v>885</v>
      </c>
      <c r="B682" t="s">
        <v>197</v>
      </c>
      <c r="C682" t="s">
        <v>37</v>
      </c>
      <c r="D682">
        <v>43</v>
      </c>
      <c r="E682" t="s">
        <v>26</v>
      </c>
      <c r="F682" t="s">
        <v>27</v>
      </c>
      <c r="G682" t="s">
        <v>33</v>
      </c>
      <c r="H682">
        <v>105000</v>
      </c>
      <c r="I682">
        <v>6</v>
      </c>
      <c r="J682">
        <v>3</v>
      </c>
      <c r="K682">
        <v>4</v>
      </c>
      <c r="L682" t="s">
        <v>21</v>
      </c>
      <c r="M682" t="s">
        <v>21</v>
      </c>
      <c r="N682" t="s">
        <v>34</v>
      </c>
      <c r="O682" t="s">
        <v>54</v>
      </c>
      <c r="P682" t="str">
        <f t="shared" si="50"/>
        <v>40-49</v>
      </c>
      <c r="Q682" t="str">
        <f t="shared" si="51"/>
        <v>High</v>
      </c>
      <c r="R682" t="str">
        <f t="shared" si="52"/>
        <v>Mid-Level</v>
      </c>
      <c r="S682" t="str">
        <f t="shared" si="53"/>
        <v>Needs Improvement</v>
      </c>
      <c r="T682" s="4" t="str">
        <f t="shared" si="54"/>
        <v>Satisfied</v>
      </c>
    </row>
    <row r="683" spans="1:20" x14ac:dyDescent="0.3">
      <c r="A683" t="s">
        <v>886</v>
      </c>
      <c r="B683" t="s">
        <v>100</v>
      </c>
      <c r="C683" t="s">
        <v>17</v>
      </c>
      <c r="D683">
        <v>43</v>
      </c>
      <c r="E683" t="s">
        <v>26</v>
      </c>
      <c r="F683" t="s">
        <v>27</v>
      </c>
      <c r="G683" t="s">
        <v>20</v>
      </c>
      <c r="H683">
        <v>26000</v>
      </c>
      <c r="I683">
        <v>12</v>
      </c>
      <c r="J683">
        <v>4</v>
      </c>
      <c r="K683">
        <v>4</v>
      </c>
      <c r="L683" t="s">
        <v>21</v>
      </c>
      <c r="M683" t="s">
        <v>29</v>
      </c>
      <c r="N683" t="s">
        <v>22</v>
      </c>
      <c r="O683" t="s">
        <v>75</v>
      </c>
      <c r="P683" t="str">
        <f t="shared" si="50"/>
        <v>40-49</v>
      </c>
      <c r="Q683" t="str">
        <f t="shared" si="51"/>
        <v>Low</v>
      </c>
      <c r="R683" t="str">
        <f t="shared" si="52"/>
        <v>Senior</v>
      </c>
      <c r="S683" t="str">
        <f t="shared" si="53"/>
        <v>High Performer</v>
      </c>
      <c r="T683" s="4" t="str">
        <f t="shared" si="54"/>
        <v>Satisfied</v>
      </c>
    </row>
    <row r="684" spans="1:20" x14ac:dyDescent="0.3">
      <c r="A684" t="s">
        <v>887</v>
      </c>
      <c r="B684" t="s">
        <v>32</v>
      </c>
      <c r="C684" t="s">
        <v>17</v>
      </c>
      <c r="D684">
        <v>33</v>
      </c>
      <c r="E684" t="s">
        <v>57</v>
      </c>
      <c r="F684" t="s">
        <v>50</v>
      </c>
      <c r="G684" t="s">
        <v>33</v>
      </c>
      <c r="H684">
        <v>26000</v>
      </c>
      <c r="I684">
        <v>12</v>
      </c>
      <c r="J684">
        <v>2</v>
      </c>
      <c r="K684">
        <v>2</v>
      </c>
      <c r="L684" t="s">
        <v>29</v>
      </c>
      <c r="M684" t="s">
        <v>29</v>
      </c>
      <c r="N684" t="s">
        <v>22</v>
      </c>
      <c r="O684" t="s">
        <v>43</v>
      </c>
      <c r="P684" t="str">
        <f t="shared" si="50"/>
        <v>30-39</v>
      </c>
      <c r="Q684" t="str">
        <f t="shared" si="51"/>
        <v>Low</v>
      </c>
      <c r="R684" t="str">
        <f t="shared" si="52"/>
        <v>Senior</v>
      </c>
      <c r="S684" t="str">
        <f t="shared" si="53"/>
        <v>Needs Improvement</v>
      </c>
      <c r="T684" s="4" t="str">
        <f t="shared" si="54"/>
        <v>Dissatisfied</v>
      </c>
    </row>
    <row r="685" spans="1:20" x14ac:dyDescent="0.3">
      <c r="A685" t="s">
        <v>888</v>
      </c>
      <c r="B685" t="s">
        <v>360</v>
      </c>
      <c r="C685" t="s">
        <v>17</v>
      </c>
      <c r="D685">
        <v>38</v>
      </c>
      <c r="E685" t="s">
        <v>57</v>
      </c>
      <c r="F685" t="s">
        <v>50</v>
      </c>
      <c r="G685" t="s">
        <v>46</v>
      </c>
      <c r="H685">
        <v>73000</v>
      </c>
      <c r="I685">
        <v>5</v>
      </c>
      <c r="J685">
        <v>5</v>
      </c>
      <c r="K685">
        <v>1</v>
      </c>
      <c r="L685" t="s">
        <v>21</v>
      </c>
      <c r="M685" t="s">
        <v>21</v>
      </c>
      <c r="N685" t="s">
        <v>22</v>
      </c>
      <c r="O685" t="s">
        <v>30</v>
      </c>
      <c r="P685" t="str">
        <f t="shared" si="50"/>
        <v>30-39</v>
      </c>
      <c r="Q685" t="str">
        <f t="shared" si="51"/>
        <v>High</v>
      </c>
      <c r="R685" t="str">
        <f t="shared" si="52"/>
        <v>Mid-Level</v>
      </c>
      <c r="S685" t="str">
        <f t="shared" si="53"/>
        <v>High Performer</v>
      </c>
      <c r="T685" s="4" t="str">
        <f t="shared" si="54"/>
        <v>Dissatisfied</v>
      </c>
    </row>
    <row r="686" spans="1:20" x14ac:dyDescent="0.3">
      <c r="A686" t="s">
        <v>889</v>
      </c>
      <c r="B686" t="s">
        <v>96</v>
      </c>
      <c r="C686" t="s">
        <v>17</v>
      </c>
      <c r="D686">
        <v>35</v>
      </c>
      <c r="E686" t="s">
        <v>66</v>
      </c>
      <c r="F686" t="s">
        <v>67</v>
      </c>
      <c r="G686" t="s">
        <v>28</v>
      </c>
      <c r="H686">
        <v>30000</v>
      </c>
      <c r="I686">
        <v>2</v>
      </c>
      <c r="J686">
        <v>4</v>
      </c>
      <c r="K686">
        <v>2</v>
      </c>
      <c r="L686" t="s">
        <v>21</v>
      </c>
      <c r="M686" t="s">
        <v>29</v>
      </c>
      <c r="N686" t="s">
        <v>34</v>
      </c>
      <c r="O686" t="s">
        <v>23</v>
      </c>
      <c r="P686" t="str">
        <f t="shared" si="50"/>
        <v>30-39</v>
      </c>
      <c r="Q686" t="str">
        <f t="shared" si="51"/>
        <v>Low</v>
      </c>
      <c r="R686" t="str">
        <f t="shared" si="52"/>
        <v>Junior</v>
      </c>
      <c r="S686" t="str">
        <f t="shared" si="53"/>
        <v>High Performer</v>
      </c>
      <c r="T686" s="4" t="str">
        <f t="shared" si="54"/>
        <v>Dissatisfied</v>
      </c>
    </row>
    <row r="687" spans="1:20" x14ac:dyDescent="0.3">
      <c r="A687" t="s">
        <v>890</v>
      </c>
      <c r="B687" t="s">
        <v>207</v>
      </c>
      <c r="C687" t="s">
        <v>17</v>
      </c>
      <c r="D687">
        <v>28</v>
      </c>
      <c r="E687" t="s">
        <v>41</v>
      </c>
      <c r="F687" t="s">
        <v>73</v>
      </c>
      <c r="G687" t="s">
        <v>28</v>
      </c>
      <c r="H687">
        <v>53000</v>
      </c>
      <c r="I687">
        <v>7</v>
      </c>
      <c r="J687">
        <v>2</v>
      </c>
      <c r="K687">
        <v>3</v>
      </c>
      <c r="L687" t="s">
        <v>21</v>
      </c>
      <c r="M687" t="s">
        <v>29</v>
      </c>
      <c r="N687" t="s">
        <v>22</v>
      </c>
      <c r="O687" t="s">
        <v>43</v>
      </c>
      <c r="P687" t="str">
        <f t="shared" si="50"/>
        <v>20-29</v>
      </c>
      <c r="Q687" t="str">
        <f t="shared" si="51"/>
        <v>Medium</v>
      </c>
      <c r="R687" t="str">
        <f t="shared" si="52"/>
        <v>Senior</v>
      </c>
      <c r="S687" t="str">
        <f t="shared" si="53"/>
        <v>Needs Improvement</v>
      </c>
      <c r="T687" s="4" t="str">
        <f t="shared" si="54"/>
        <v>Neutral</v>
      </c>
    </row>
    <row r="688" spans="1:20" x14ac:dyDescent="0.3">
      <c r="A688" t="s">
        <v>891</v>
      </c>
      <c r="B688" t="s">
        <v>384</v>
      </c>
      <c r="C688" t="s">
        <v>37</v>
      </c>
      <c r="D688">
        <v>28</v>
      </c>
      <c r="E688" t="s">
        <v>57</v>
      </c>
      <c r="F688" t="s">
        <v>27</v>
      </c>
      <c r="G688" t="s">
        <v>33</v>
      </c>
      <c r="H688">
        <v>75000</v>
      </c>
      <c r="I688">
        <v>7</v>
      </c>
      <c r="J688">
        <v>4</v>
      </c>
      <c r="K688">
        <v>3</v>
      </c>
      <c r="L688" t="s">
        <v>29</v>
      </c>
      <c r="M688" t="s">
        <v>29</v>
      </c>
      <c r="N688" t="s">
        <v>34</v>
      </c>
      <c r="O688" t="s">
        <v>75</v>
      </c>
      <c r="P688" t="str">
        <f t="shared" si="50"/>
        <v>20-29</v>
      </c>
      <c r="Q688" t="str">
        <f t="shared" si="51"/>
        <v>High</v>
      </c>
      <c r="R688" t="str">
        <f t="shared" si="52"/>
        <v>Senior</v>
      </c>
      <c r="S688" t="str">
        <f t="shared" si="53"/>
        <v>High Performer</v>
      </c>
      <c r="T688" s="4" t="str">
        <f t="shared" si="54"/>
        <v>Neutral</v>
      </c>
    </row>
    <row r="689" spans="1:20" x14ac:dyDescent="0.3">
      <c r="A689" t="s">
        <v>892</v>
      </c>
      <c r="B689" t="s">
        <v>366</v>
      </c>
      <c r="C689" t="s">
        <v>37</v>
      </c>
      <c r="D689">
        <v>22</v>
      </c>
      <c r="E689" t="s">
        <v>18</v>
      </c>
      <c r="F689" t="s">
        <v>126</v>
      </c>
      <c r="G689" t="s">
        <v>33</v>
      </c>
      <c r="H689">
        <v>85000</v>
      </c>
      <c r="I689">
        <v>1</v>
      </c>
      <c r="J689">
        <v>2</v>
      </c>
      <c r="K689">
        <v>4</v>
      </c>
      <c r="L689" t="s">
        <v>29</v>
      </c>
      <c r="M689" t="s">
        <v>29</v>
      </c>
      <c r="N689" t="s">
        <v>22</v>
      </c>
      <c r="O689" t="s">
        <v>43</v>
      </c>
      <c r="P689" t="str">
        <f t="shared" si="50"/>
        <v>20-29</v>
      </c>
      <c r="Q689" t="str">
        <f t="shared" si="51"/>
        <v>High</v>
      </c>
      <c r="R689" t="str">
        <f t="shared" si="52"/>
        <v>Junior</v>
      </c>
      <c r="S689" t="str">
        <f t="shared" si="53"/>
        <v>Needs Improvement</v>
      </c>
      <c r="T689" s="4" t="str">
        <f t="shared" si="54"/>
        <v>Satisfied</v>
      </c>
    </row>
    <row r="690" spans="1:20" x14ac:dyDescent="0.3">
      <c r="A690" t="s">
        <v>893</v>
      </c>
      <c r="B690" t="s">
        <v>320</v>
      </c>
      <c r="C690" t="s">
        <v>17</v>
      </c>
      <c r="D690">
        <v>51</v>
      </c>
      <c r="E690" t="s">
        <v>66</v>
      </c>
      <c r="F690" t="s">
        <v>82</v>
      </c>
      <c r="G690" t="s">
        <v>20</v>
      </c>
      <c r="H690">
        <v>108000</v>
      </c>
      <c r="I690">
        <v>4</v>
      </c>
      <c r="J690">
        <v>3</v>
      </c>
      <c r="K690">
        <v>2</v>
      </c>
      <c r="L690" t="s">
        <v>29</v>
      </c>
      <c r="M690" t="s">
        <v>29</v>
      </c>
      <c r="N690" t="s">
        <v>22</v>
      </c>
      <c r="O690" t="s">
        <v>23</v>
      </c>
      <c r="P690" t="str">
        <f t="shared" si="50"/>
        <v>50+</v>
      </c>
      <c r="Q690" t="str">
        <f t="shared" si="51"/>
        <v>High</v>
      </c>
      <c r="R690" t="str">
        <f t="shared" si="52"/>
        <v>Mid-Level</v>
      </c>
      <c r="S690" t="str">
        <f t="shared" si="53"/>
        <v>Needs Improvement</v>
      </c>
      <c r="T690" s="4" t="str">
        <f t="shared" si="54"/>
        <v>Dissatisfied</v>
      </c>
    </row>
    <row r="691" spans="1:20" x14ac:dyDescent="0.3">
      <c r="A691" t="s">
        <v>894</v>
      </c>
      <c r="B691" t="s">
        <v>154</v>
      </c>
      <c r="C691" t="s">
        <v>37</v>
      </c>
      <c r="D691">
        <v>42</v>
      </c>
      <c r="E691" t="s">
        <v>41</v>
      </c>
      <c r="F691" t="s">
        <v>73</v>
      </c>
      <c r="G691" t="s">
        <v>28</v>
      </c>
      <c r="H691">
        <v>34000</v>
      </c>
      <c r="I691">
        <v>3</v>
      </c>
      <c r="J691">
        <v>4</v>
      </c>
      <c r="K691">
        <v>3</v>
      </c>
      <c r="L691" t="s">
        <v>21</v>
      </c>
      <c r="M691" t="s">
        <v>29</v>
      </c>
      <c r="N691" t="s">
        <v>22</v>
      </c>
      <c r="O691" t="s">
        <v>38</v>
      </c>
      <c r="P691" t="str">
        <f t="shared" si="50"/>
        <v>40-49</v>
      </c>
      <c r="Q691" t="str">
        <f t="shared" si="51"/>
        <v>Low</v>
      </c>
      <c r="R691" t="str">
        <f t="shared" si="52"/>
        <v>Mid-Level</v>
      </c>
      <c r="S691" t="str">
        <f t="shared" si="53"/>
        <v>High Performer</v>
      </c>
      <c r="T691" s="4" t="str">
        <f t="shared" si="54"/>
        <v>Neutral</v>
      </c>
    </row>
    <row r="692" spans="1:20" x14ac:dyDescent="0.3">
      <c r="A692" t="s">
        <v>895</v>
      </c>
      <c r="B692" t="s">
        <v>633</v>
      </c>
      <c r="C692" t="s">
        <v>17</v>
      </c>
      <c r="D692">
        <v>45</v>
      </c>
      <c r="E692" t="s">
        <v>57</v>
      </c>
      <c r="F692" t="s">
        <v>27</v>
      </c>
      <c r="G692" t="s">
        <v>33</v>
      </c>
      <c r="H692">
        <v>85000</v>
      </c>
      <c r="I692">
        <v>5</v>
      </c>
      <c r="J692">
        <v>5</v>
      </c>
      <c r="K692">
        <v>2</v>
      </c>
      <c r="L692" t="s">
        <v>21</v>
      </c>
      <c r="M692" t="s">
        <v>21</v>
      </c>
      <c r="N692" t="s">
        <v>34</v>
      </c>
      <c r="O692" t="s">
        <v>51</v>
      </c>
      <c r="P692" t="str">
        <f t="shared" si="50"/>
        <v>40-49</v>
      </c>
      <c r="Q692" t="str">
        <f t="shared" si="51"/>
        <v>High</v>
      </c>
      <c r="R692" t="str">
        <f t="shared" si="52"/>
        <v>Mid-Level</v>
      </c>
      <c r="S692" t="str">
        <f t="shared" si="53"/>
        <v>High Performer</v>
      </c>
      <c r="T692" s="4" t="str">
        <f t="shared" si="54"/>
        <v>Dissatisfied</v>
      </c>
    </row>
    <row r="693" spans="1:20" x14ac:dyDescent="0.3">
      <c r="A693" t="s">
        <v>896</v>
      </c>
      <c r="B693" t="s">
        <v>86</v>
      </c>
      <c r="C693" t="s">
        <v>17</v>
      </c>
      <c r="D693">
        <v>37</v>
      </c>
      <c r="E693" t="s">
        <v>26</v>
      </c>
      <c r="F693" t="s">
        <v>50</v>
      </c>
      <c r="G693" t="s">
        <v>20</v>
      </c>
      <c r="H693">
        <v>113000</v>
      </c>
      <c r="I693">
        <v>5</v>
      </c>
      <c r="J693">
        <v>2</v>
      </c>
      <c r="K693">
        <v>3</v>
      </c>
      <c r="L693" t="s">
        <v>21</v>
      </c>
      <c r="M693" t="s">
        <v>29</v>
      </c>
      <c r="N693" t="s">
        <v>34</v>
      </c>
      <c r="O693" t="s">
        <v>54</v>
      </c>
      <c r="P693" t="str">
        <f t="shared" si="50"/>
        <v>30-39</v>
      </c>
      <c r="Q693" t="str">
        <f t="shared" si="51"/>
        <v>High</v>
      </c>
      <c r="R693" t="str">
        <f t="shared" si="52"/>
        <v>Mid-Level</v>
      </c>
      <c r="S693" t="str">
        <f t="shared" si="53"/>
        <v>Needs Improvement</v>
      </c>
      <c r="T693" s="4" t="str">
        <f t="shared" si="54"/>
        <v>Neutral</v>
      </c>
    </row>
    <row r="694" spans="1:20" x14ac:dyDescent="0.3">
      <c r="A694" t="s">
        <v>897</v>
      </c>
      <c r="B694" t="s">
        <v>362</v>
      </c>
      <c r="C694" t="s">
        <v>37</v>
      </c>
      <c r="D694">
        <v>45</v>
      </c>
      <c r="E694" t="s">
        <v>18</v>
      </c>
      <c r="F694" t="s">
        <v>126</v>
      </c>
      <c r="G694" t="s">
        <v>28</v>
      </c>
      <c r="H694">
        <v>42000</v>
      </c>
      <c r="I694">
        <v>10</v>
      </c>
      <c r="J694">
        <v>2</v>
      </c>
      <c r="K694">
        <v>1</v>
      </c>
      <c r="L694" t="s">
        <v>29</v>
      </c>
      <c r="M694" t="s">
        <v>29</v>
      </c>
      <c r="N694" t="s">
        <v>34</v>
      </c>
      <c r="O694" t="s">
        <v>30</v>
      </c>
      <c r="P694" t="str">
        <f t="shared" si="50"/>
        <v>40-49</v>
      </c>
      <c r="Q694" t="str">
        <f t="shared" si="51"/>
        <v>Medium</v>
      </c>
      <c r="R694" t="str">
        <f t="shared" si="52"/>
        <v>Senior</v>
      </c>
      <c r="S694" t="str">
        <f t="shared" si="53"/>
        <v>Needs Improvement</v>
      </c>
      <c r="T694" s="4" t="str">
        <f t="shared" si="54"/>
        <v>Dissatisfied</v>
      </c>
    </row>
    <row r="695" spans="1:20" x14ac:dyDescent="0.3">
      <c r="A695" t="s">
        <v>898</v>
      </c>
      <c r="B695" t="s">
        <v>529</v>
      </c>
      <c r="C695" t="s">
        <v>37</v>
      </c>
      <c r="D695">
        <v>45</v>
      </c>
      <c r="E695" t="s">
        <v>41</v>
      </c>
      <c r="F695" t="s">
        <v>73</v>
      </c>
      <c r="G695" t="s">
        <v>33</v>
      </c>
      <c r="H695">
        <v>35000</v>
      </c>
      <c r="I695">
        <v>4</v>
      </c>
      <c r="J695">
        <v>3</v>
      </c>
      <c r="K695">
        <v>5</v>
      </c>
      <c r="L695" t="s">
        <v>29</v>
      </c>
      <c r="M695" t="s">
        <v>29</v>
      </c>
      <c r="N695" t="s">
        <v>34</v>
      </c>
      <c r="O695" t="s">
        <v>51</v>
      </c>
      <c r="P695" t="str">
        <f t="shared" si="50"/>
        <v>40-49</v>
      </c>
      <c r="Q695" t="str">
        <f t="shared" si="51"/>
        <v>Low</v>
      </c>
      <c r="R695" t="str">
        <f t="shared" si="52"/>
        <v>Mid-Level</v>
      </c>
      <c r="S695" t="str">
        <f t="shared" si="53"/>
        <v>Needs Improvement</v>
      </c>
      <c r="T695" s="4" t="str">
        <f t="shared" si="54"/>
        <v>Satisfied</v>
      </c>
    </row>
    <row r="696" spans="1:20" x14ac:dyDescent="0.3">
      <c r="A696" t="s">
        <v>899</v>
      </c>
      <c r="B696" t="s">
        <v>134</v>
      </c>
      <c r="C696" t="s">
        <v>37</v>
      </c>
      <c r="D696">
        <v>46</v>
      </c>
      <c r="E696" t="s">
        <v>57</v>
      </c>
      <c r="F696" t="s">
        <v>50</v>
      </c>
      <c r="G696" t="s">
        <v>46</v>
      </c>
      <c r="H696">
        <v>87000</v>
      </c>
      <c r="I696">
        <v>20</v>
      </c>
      <c r="J696">
        <v>3</v>
      </c>
      <c r="K696">
        <v>3</v>
      </c>
      <c r="L696" t="s">
        <v>21</v>
      </c>
      <c r="M696" t="s">
        <v>29</v>
      </c>
      <c r="N696" t="s">
        <v>22</v>
      </c>
      <c r="O696" t="s">
        <v>30</v>
      </c>
      <c r="P696" t="str">
        <f t="shared" si="50"/>
        <v>40-49</v>
      </c>
      <c r="Q696" t="str">
        <f t="shared" si="51"/>
        <v>High</v>
      </c>
      <c r="R696" t="str">
        <f t="shared" si="52"/>
        <v>Senior</v>
      </c>
      <c r="S696" t="str">
        <f t="shared" si="53"/>
        <v>Needs Improvement</v>
      </c>
      <c r="T696" s="4" t="str">
        <f t="shared" si="54"/>
        <v>Neutral</v>
      </c>
    </row>
    <row r="697" spans="1:20" x14ac:dyDescent="0.3">
      <c r="A697" t="s">
        <v>900</v>
      </c>
      <c r="B697" t="s">
        <v>253</v>
      </c>
      <c r="C697" t="s">
        <v>17</v>
      </c>
      <c r="D697">
        <v>34</v>
      </c>
      <c r="E697" t="s">
        <v>49</v>
      </c>
      <c r="F697" t="s">
        <v>27</v>
      </c>
      <c r="G697" t="s">
        <v>20</v>
      </c>
      <c r="H697">
        <v>109000</v>
      </c>
      <c r="I697">
        <v>13</v>
      </c>
      <c r="J697">
        <v>2</v>
      </c>
      <c r="K697">
        <v>1</v>
      </c>
      <c r="L697" t="s">
        <v>21</v>
      </c>
      <c r="M697" t="s">
        <v>21</v>
      </c>
      <c r="N697" t="s">
        <v>34</v>
      </c>
      <c r="O697" t="s">
        <v>54</v>
      </c>
      <c r="P697" t="str">
        <f t="shared" si="50"/>
        <v>30-39</v>
      </c>
      <c r="Q697" t="str">
        <f t="shared" si="51"/>
        <v>High</v>
      </c>
      <c r="R697" t="str">
        <f t="shared" si="52"/>
        <v>Senior</v>
      </c>
      <c r="S697" t="str">
        <f t="shared" si="53"/>
        <v>Needs Improvement</v>
      </c>
      <c r="T697" s="4" t="str">
        <f t="shared" si="54"/>
        <v>Dissatisfied</v>
      </c>
    </row>
    <row r="698" spans="1:20" x14ac:dyDescent="0.3">
      <c r="A698" t="s">
        <v>901</v>
      </c>
      <c r="B698" t="s">
        <v>59</v>
      </c>
      <c r="C698" t="s">
        <v>37</v>
      </c>
      <c r="D698">
        <v>43</v>
      </c>
      <c r="E698" t="s">
        <v>26</v>
      </c>
      <c r="F698" t="s">
        <v>50</v>
      </c>
      <c r="G698" t="s">
        <v>28</v>
      </c>
      <c r="H698">
        <v>112000</v>
      </c>
      <c r="I698">
        <v>9</v>
      </c>
      <c r="J698">
        <v>3</v>
      </c>
      <c r="K698">
        <v>2</v>
      </c>
      <c r="L698" t="s">
        <v>21</v>
      </c>
      <c r="M698" t="s">
        <v>21</v>
      </c>
      <c r="N698" t="s">
        <v>34</v>
      </c>
      <c r="O698" t="s">
        <v>75</v>
      </c>
      <c r="P698" t="str">
        <f t="shared" si="50"/>
        <v>40-49</v>
      </c>
      <c r="Q698" t="str">
        <f t="shared" si="51"/>
        <v>High</v>
      </c>
      <c r="R698" t="str">
        <f t="shared" si="52"/>
        <v>Senior</v>
      </c>
      <c r="S698" t="str">
        <f t="shared" si="53"/>
        <v>Needs Improvement</v>
      </c>
      <c r="T698" s="4" t="str">
        <f t="shared" si="54"/>
        <v>Dissatisfied</v>
      </c>
    </row>
    <row r="699" spans="1:20" x14ac:dyDescent="0.3">
      <c r="A699" t="s">
        <v>902</v>
      </c>
      <c r="B699" t="s">
        <v>267</v>
      </c>
      <c r="C699" t="s">
        <v>37</v>
      </c>
      <c r="D699">
        <v>52</v>
      </c>
      <c r="E699" t="s">
        <v>66</v>
      </c>
      <c r="F699" t="s">
        <v>67</v>
      </c>
      <c r="G699" t="s">
        <v>46</v>
      </c>
      <c r="H699">
        <v>28000</v>
      </c>
      <c r="I699">
        <v>2</v>
      </c>
      <c r="J699">
        <v>5</v>
      </c>
      <c r="K699">
        <v>1</v>
      </c>
      <c r="L699" t="s">
        <v>29</v>
      </c>
      <c r="M699" t="s">
        <v>29</v>
      </c>
      <c r="N699" t="s">
        <v>34</v>
      </c>
      <c r="O699" t="s">
        <v>51</v>
      </c>
      <c r="P699" t="str">
        <f t="shared" si="50"/>
        <v>50+</v>
      </c>
      <c r="Q699" t="str">
        <f t="shared" si="51"/>
        <v>Low</v>
      </c>
      <c r="R699" t="str">
        <f t="shared" si="52"/>
        <v>Junior</v>
      </c>
      <c r="S699" t="str">
        <f t="shared" si="53"/>
        <v>High Performer</v>
      </c>
      <c r="T699" s="4" t="str">
        <f t="shared" si="54"/>
        <v>Dissatisfied</v>
      </c>
    </row>
    <row r="700" spans="1:20" x14ac:dyDescent="0.3">
      <c r="A700" t="s">
        <v>903</v>
      </c>
      <c r="B700" t="s">
        <v>96</v>
      </c>
      <c r="C700" t="s">
        <v>17</v>
      </c>
      <c r="D700">
        <v>55</v>
      </c>
      <c r="E700" t="s">
        <v>26</v>
      </c>
      <c r="F700" t="s">
        <v>50</v>
      </c>
      <c r="G700" t="s">
        <v>28</v>
      </c>
      <c r="H700">
        <v>60000</v>
      </c>
      <c r="I700">
        <v>3</v>
      </c>
      <c r="J700">
        <v>3</v>
      </c>
      <c r="K700">
        <v>5</v>
      </c>
      <c r="L700" t="s">
        <v>21</v>
      </c>
      <c r="M700" t="s">
        <v>29</v>
      </c>
      <c r="N700" t="s">
        <v>22</v>
      </c>
      <c r="O700" t="s">
        <v>54</v>
      </c>
      <c r="P700" t="str">
        <f t="shared" si="50"/>
        <v>50+</v>
      </c>
      <c r="Q700" t="str">
        <f t="shared" si="51"/>
        <v>Medium</v>
      </c>
      <c r="R700" t="str">
        <f t="shared" si="52"/>
        <v>Mid-Level</v>
      </c>
      <c r="S700" t="str">
        <f t="shared" si="53"/>
        <v>Needs Improvement</v>
      </c>
      <c r="T700" s="4" t="str">
        <f t="shared" si="54"/>
        <v>Satisfied</v>
      </c>
    </row>
    <row r="701" spans="1:20" x14ac:dyDescent="0.3">
      <c r="A701" t="s">
        <v>904</v>
      </c>
      <c r="B701" t="s">
        <v>242</v>
      </c>
      <c r="C701" t="s">
        <v>37</v>
      </c>
      <c r="D701">
        <v>34</v>
      </c>
      <c r="E701" t="s">
        <v>26</v>
      </c>
      <c r="F701" t="s">
        <v>50</v>
      </c>
      <c r="G701" t="s">
        <v>46</v>
      </c>
      <c r="H701">
        <v>95000</v>
      </c>
      <c r="I701">
        <v>12</v>
      </c>
      <c r="J701">
        <v>5</v>
      </c>
      <c r="K701">
        <v>4</v>
      </c>
      <c r="L701" t="s">
        <v>21</v>
      </c>
      <c r="M701" t="s">
        <v>29</v>
      </c>
      <c r="N701" t="s">
        <v>34</v>
      </c>
      <c r="O701" t="s">
        <v>43</v>
      </c>
      <c r="P701" t="str">
        <f t="shared" si="50"/>
        <v>30-39</v>
      </c>
      <c r="Q701" t="str">
        <f t="shared" si="51"/>
        <v>High</v>
      </c>
      <c r="R701" t="str">
        <f t="shared" si="52"/>
        <v>Senior</v>
      </c>
      <c r="S701" t="str">
        <f t="shared" si="53"/>
        <v>High Performer</v>
      </c>
      <c r="T701" s="4" t="str">
        <f t="shared" si="54"/>
        <v>Satisfied</v>
      </c>
    </row>
    <row r="702" spans="1:20" x14ac:dyDescent="0.3">
      <c r="A702" t="s">
        <v>905</v>
      </c>
      <c r="B702" t="s">
        <v>263</v>
      </c>
      <c r="C702" t="s">
        <v>17</v>
      </c>
      <c r="D702">
        <v>22</v>
      </c>
      <c r="E702" t="s">
        <v>18</v>
      </c>
      <c r="F702" t="s">
        <v>19</v>
      </c>
      <c r="G702" t="s">
        <v>20</v>
      </c>
      <c r="H702">
        <v>38000</v>
      </c>
      <c r="I702">
        <v>1</v>
      </c>
      <c r="J702">
        <v>2</v>
      </c>
      <c r="K702">
        <v>4</v>
      </c>
      <c r="L702" t="s">
        <v>29</v>
      </c>
      <c r="M702" t="s">
        <v>29</v>
      </c>
      <c r="N702" t="s">
        <v>22</v>
      </c>
      <c r="O702" t="s">
        <v>54</v>
      </c>
      <c r="P702" t="str">
        <f t="shared" si="50"/>
        <v>20-29</v>
      </c>
      <c r="Q702" t="str">
        <f t="shared" si="51"/>
        <v>Low</v>
      </c>
      <c r="R702" t="str">
        <f t="shared" si="52"/>
        <v>Junior</v>
      </c>
      <c r="S702" t="str">
        <f t="shared" si="53"/>
        <v>Needs Improvement</v>
      </c>
      <c r="T702" s="4" t="str">
        <f t="shared" si="54"/>
        <v>Satisfied</v>
      </c>
    </row>
    <row r="703" spans="1:20" x14ac:dyDescent="0.3">
      <c r="A703" t="s">
        <v>906</v>
      </c>
      <c r="B703" t="s">
        <v>79</v>
      </c>
      <c r="C703" t="s">
        <v>17</v>
      </c>
      <c r="D703">
        <v>24</v>
      </c>
      <c r="E703" t="s">
        <v>41</v>
      </c>
      <c r="F703" t="s">
        <v>42</v>
      </c>
      <c r="G703" t="s">
        <v>46</v>
      </c>
      <c r="H703">
        <v>86000</v>
      </c>
      <c r="I703">
        <v>3</v>
      </c>
      <c r="J703">
        <v>2</v>
      </c>
      <c r="K703">
        <v>2</v>
      </c>
      <c r="L703" t="s">
        <v>21</v>
      </c>
      <c r="M703" t="s">
        <v>29</v>
      </c>
      <c r="N703" t="s">
        <v>22</v>
      </c>
      <c r="O703" t="s">
        <v>38</v>
      </c>
      <c r="P703" t="str">
        <f t="shared" si="50"/>
        <v>20-29</v>
      </c>
      <c r="Q703" t="str">
        <f t="shared" si="51"/>
        <v>High</v>
      </c>
      <c r="R703" t="str">
        <f t="shared" si="52"/>
        <v>Mid-Level</v>
      </c>
      <c r="S703" t="str">
        <f t="shared" si="53"/>
        <v>Needs Improvement</v>
      </c>
      <c r="T703" s="4" t="str">
        <f t="shared" si="54"/>
        <v>Dissatisfied</v>
      </c>
    </row>
    <row r="704" spans="1:20" x14ac:dyDescent="0.3">
      <c r="A704" t="s">
        <v>907</v>
      </c>
      <c r="B704" t="s">
        <v>642</v>
      </c>
      <c r="C704" t="s">
        <v>37</v>
      </c>
      <c r="D704">
        <v>28</v>
      </c>
      <c r="E704" t="s">
        <v>57</v>
      </c>
      <c r="F704" t="s">
        <v>50</v>
      </c>
      <c r="G704" t="s">
        <v>33</v>
      </c>
      <c r="H704">
        <v>111000</v>
      </c>
      <c r="I704">
        <v>7</v>
      </c>
      <c r="J704">
        <v>4</v>
      </c>
      <c r="K704">
        <v>4</v>
      </c>
      <c r="L704" t="s">
        <v>29</v>
      </c>
      <c r="M704" t="s">
        <v>29</v>
      </c>
      <c r="N704" t="s">
        <v>34</v>
      </c>
      <c r="O704" t="s">
        <v>54</v>
      </c>
      <c r="P704" t="str">
        <f t="shared" si="50"/>
        <v>20-29</v>
      </c>
      <c r="Q704" t="str">
        <f t="shared" si="51"/>
        <v>High</v>
      </c>
      <c r="R704" t="str">
        <f t="shared" si="52"/>
        <v>Senior</v>
      </c>
      <c r="S704" t="str">
        <f t="shared" si="53"/>
        <v>High Performer</v>
      </c>
      <c r="T704" s="4" t="str">
        <f t="shared" si="54"/>
        <v>Satisfied</v>
      </c>
    </row>
    <row r="705" spans="1:20" x14ac:dyDescent="0.3">
      <c r="A705" t="s">
        <v>908</v>
      </c>
      <c r="B705" t="s">
        <v>263</v>
      </c>
      <c r="C705" t="s">
        <v>17</v>
      </c>
      <c r="D705">
        <v>34</v>
      </c>
      <c r="E705" t="s">
        <v>49</v>
      </c>
      <c r="F705" t="s">
        <v>27</v>
      </c>
      <c r="G705" t="s">
        <v>33</v>
      </c>
      <c r="H705">
        <v>42000</v>
      </c>
      <c r="I705">
        <v>13</v>
      </c>
      <c r="J705">
        <v>2</v>
      </c>
      <c r="K705">
        <v>5</v>
      </c>
      <c r="L705" t="s">
        <v>29</v>
      </c>
      <c r="M705" t="s">
        <v>29</v>
      </c>
      <c r="N705" t="s">
        <v>22</v>
      </c>
      <c r="O705" t="s">
        <v>23</v>
      </c>
      <c r="P705" t="str">
        <f t="shared" si="50"/>
        <v>30-39</v>
      </c>
      <c r="Q705" t="str">
        <f t="shared" si="51"/>
        <v>Medium</v>
      </c>
      <c r="R705" t="str">
        <f t="shared" si="52"/>
        <v>Senior</v>
      </c>
      <c r="S705" t="str">
        <f t="shared" si="53"/>
        <v>Needs Improvement</v>
      </c>
      <c r="T705" s="4" t="str">
        <f t="shared" si="54"/>
        <v>Satisfied</v>
      </c>
    </row>
    <row r="706" spans="1:20" x14ac:dyDescent="0.3">
      <c r="A706" t="s">
        <v>909</v>
      </c>
      <c r="B706" t="s">
        <v>94</v>
      </c>
      <c r="C706" t="s">
        <v>37</v>
      </c>
      <c r="D706">
        <v>52</v>
      </c>
      <c r="E706" t="s">
        <v>49</v>
      </c>
      <c r="F706" t="s">
        <v>27</v>
      </c>
      <c r="G706" t="s">
        <v>20</v>
      </c>
      <c r="H706">
        <v>103000</v>
      </c>
      <c r="I706">
        <v>4</v>
      </c>
      <c r="J706">
        <v>2</v>
      </c>
      <c r="K706">
        <v>3</v>
      </c>
      <c r="L706" t="s">
        <v>21</v>
      </c>
      <c r="M706" t="s">
        <v>29</v>
      </c>
      <c r="N706" t="s">
        <v>34</v>
      </c>
      <c r="O706" t="s">
        <v>30</v>
      </c>
      <c r="P706" t="str">
        <f t="shared" ref="P706:P769" si="55">IF(D706&lt;30,"20-29",IF(D706&lt;40,"30-39",IF(D706&lt;50,"40-49","50+")))</f>
        <v>50+</v>
      </c>
      <c r="Q706" t="str">
        <f t="shared" ref="Q706:Q769" si="56">IF(H706&lt;40000,"Low",IF(H706&lt;70000,"Medium","High"))</f>
        <v>High</v>
      </c>
      <c r="R706" t="str">
        <f t="shared" ref="R706:R769" si="57">IF(I706&lt;3,"Junior",IF(I706&lt;7,"Mid-Level","Senior"))</f>
        <v>Mid-Level</v>
      </c>
      <c r="S706" t="str">
        <f t="shared" ref="S706:S769" si="58">IF(J706&gt;=4,"High Performer","Needs Improvement")</f>
        <v>Needs Improvement</v>
      </c>
      <c r="T706" s="4" t="str">
        <f t="shared" ref="T706:T769" si="59">IF(K706&gt;=4,"Satisfied",IF(K706=3,"Neutral","Dissatisfied"))</f>
        <v>Neutral</v>
      </c>
    </row>
    <row r="707" spans="1:20" x14ac:dyDescent="0.3">
      <c r="A707" t="s">
        <v>910</v>
      </c>
      <c r="B707" t="s">
        <v>16</v>
      </c>
      <c r="C707" t="s">
        <v>17</v>
      </c>
      <c r="D707">
        <v>34</v>
      </c>
      <c r="E707" t="s">
        <v>41</v>
      </c>
      <c r="F707" t="s">
        <v>73</v>
      </c>
      <c r="G707" t="s">
        <v>28</v>
      </c>
      <c r="H707">
        <v>49000</v>
      </c>
      <c r="I707">
        <v>12</v>
      </c>
      <c r="J707">
        <v>2</v>
      </c>
      <c r="K707">
        <v>4</v>
      </c>
      <c r="L707" t="s">
        <v>21</v>
      </c>
      <c r="M707" t="s">
        <v>29</v>
      </c>
      <c r="N707" t="s">
        <v>22</v>
      </c>
      <c r="O707" t="s">
        <v>75</v>
      </c>
      <c r="P707" t="str">
        <f t="shared" si="55"/>
        <v>30-39</v>
      </c>
      <c r="Q707" t="str">
        <f t="shared" si="56"/>
        <v>Medium</v>
      </c>
      <c r="R707" t="str">
        <f t="shared" si="57"/>
        <v>Senior</v>
      </c>
      <c r="S707" t="str">
        <f t="shared" si="58"/>
        <v>Needs Improvement</v>
      </c>
      <c r="T707" s="4" t="str">
        <f t="shared" si="59"/>
        <v>Satisfied</v>
      </c>
    </row>
    <row r="708" spans="1:20" x14ac:dyDescent="0.3">
      <c r="A708" t="s">
        <v>911</v>
      </c>
      <c r="B708" t="s">
        <v>357</v>
      </c>
      <c r="C708" t="s">
        <v>17</v>
      </c>
      <c r="D708">
        <v>26</v>
      </c>
      <c r="E708" t="s">
        <v>66</v>
      </c>
      <c r="F708" t="s">
        <v>82</v>
      </c>
      <c r="G708" t="s">
        <v>33</v>
      </c>
      <c r="H708">
        <v>92000</v>
      </c>
      <c r="I708">
        <v>2</v>
      </c>
      <c r="J708">
        <v>4</v>
      </c>
      <c r="K708">
        <v>5</v>
      </c>
      <c r="L708" t="s">
        <v>29</v>
      </c>
      <c r="M708" t="s">
        <v>29</v>
      </c>
      <c r="N708" t="s">
        <v>22</v>
      </c>
      <c r="O708" t="s">
        <v>54</v>
      </c>
      <c r="P708" t="str">
        <f t="shared" si="55"/>
        <v>20-29</v>
      </c>
      <c r="Q708" t="str">
        <f t="shared" si="56"/>
        <v>High</v>
      </c>
      <c r="R708" t="str">
        <f t="shared" si="57"/>
        <v>Junior</v>
      </c>
      <c r="S708" t="str">
        <f t="shared" si="58"/>
        <v>High Performer</v>
      </c>
      <c r="T708" s="4" t="str">
        <f t="shared" si="59"/>
        <v>Satisfied</v>
      </c>
    </row>
    <row r="709" spans="1:20" x14ac:dyDescent="0.3">
      <c r="A709" t="s">
        <v>912</v>
      </c>
      <c r="B709" t="s">
        <v>297</v>
      </c>
      <c r="C709" t="s">
        <v>17</v>
      </c>
      <c r="D709">
        <v>22</v>
      </c>
      <c r="E709" t="s">
        <v>26</v>
      </c>
      <c r="F709" t="s">
        <v>27</v>
      </c>
      <c r="G709" t="s">
        <v>33</v>
      </c>
      <c r="H709">
        <v>112000</v>
      </c>
      <c r="I709">
        <v>1</v>
      </c>
      <c r="J709">
        <v>2</v>
      </c>
      <c r="K709">
        <v>3</v>
      </c>
      <c r="L709" t="s">
        <v>29</v>
      </c>
      <c r="M709" t="s">
        <v>29</v>
      </c>
      <c r="N709" t="s">
        <v>34</v>
      </c>
      <c r="O709" t="s">
        <v>51</v>
      </c>
      <c r="P709" t="str">
        <f t="shared" si="55"/>
        <v>20-29</v>
      </c>
      <c r="Q709" t="str">
        <f t="shared" si="56"/>
        <v>High</v>
      </c>
      <c r="R709" t="str">
        <f t="shared" si="57"/>
        <v>Junior</v>
      </c>
      <c r="S709" t="str">
        <f t="shared" si="58"/>
        <v>Needs Improvement</v>
      </c>
      <c r="T709" s="4" t="str">
        <f t="shared" si="59"/>
        <v>Neutral</v>
      </c>
    </row>
    <row r="710" spans="1:20" x14ac:dyDescent="0.3">
      <c r="A710" t="s">
        <v>913</v>
      </c>
      <c r="B710" t="s">
        <v>88</v>
      </c>
      <c r="C710" t="s">
        <v>17</v>
      </c>
      <c r="D710">
        <v>43</v>
      </c>
      <c r="E710" t="s">
        <v>66</v>
      </c>
      <c r="F710" t="s">
        <v>67</v>
      </c>
      <c r="G710" t="s">
        <v>28</v>
      </c>
      <c r="H710">
        <v>68000</v>
      </c>
      <c r="I710">
        <v>10</v>
      </c>
      <c r="J710">
        <v>5</v>
      </c>
      <c r="K710">
        <v>5</v>
      </c>
      <c r="L710" t="s">
        <v>21</v>
      </c>
      <c r="M710" t="s">
        <v>29</v>
      </c>
      <c r="N710" t="s">
        <v>34</v>
      </c>
      <c r="O710" t="s">
        <v>30</v>
      </c>
      <c r="P710" t="str">
        <f t="shared" si="55"/>
        <v>40-49</v>
      </c>
      <c r="Q710" t="str">
        <f t="shared" si="56"/>
        <v>Medium</v>
      </c>
      <c r="R710" t="str">
        <f t="shared" si="57"/>
        <v>Senior</v>
      </c>
      <c r="S710" t="str">
        <f t="shared" si="58"/>
        <v>High Performer</v>
      </c>
      <c r="T710" s="4" t="str">
        <f t="shared" si="59"/>
        <v>Satisfied</v>
      </c>
    </row>
    <row r="711" spans="1:20" x14ac:dyDescent="0.3">
      <c r="A711" t="s">
        <v>914</v>
      </c>
      <c r="B711" t="s">
        <v>244</v>
      </c>
      <c r="C711" t="s">
        <v>17</v>
      </c>
      <c r="D711">
        <v>30</v>
      </c>
      <c r="E711" t="s">
        <v>26</v>
      </c>
      <c r="F711" t="s">
        <v>50</v>
      </c>
      <c r="G711" t="s">
        <v>33</v>
      </c>
      <c r="H711">
        <v>90000</v>
      </c>
      <c r="I711">
        <v>9</v>
      </c>
      <c r="J711">
        <v>2</v>
      </c>
      <c r="K711">
        <v>2</v>
      </c>
      <c r="L711" t="s">
        <v>29</v>
      </c>
      <c r="M711" t="s">
        <v>29</v>
      </c>
      <c r="N711" t="s">
        <v>22</v>
      </c>
      <c r="O711" t="s">
        <v>43</v>
      </c>
      <c r="P711" t="str">
        <f t="shared" si="55"/>
        <v>30-39</v>
      </c>
      <c r="Q711" t="str">
        <f t="shared" si="56"/>
        <v>High</v>
      </c>
      <c r="R711" t="str">
        <f t="shared" si="57"/>
        <v>Senior</v>
      </c>
      <c r="S711" t="str">
        <f t="shared" si="58"/>
        <v>Needs Improvement</v>
      </c>
      <c r="T711" s="4" t="str">
        <f t="shared" si="59"/>
        <v>Dissatisfied</v>
      </c>
    </row>
    <row r="712" spans="1:20" x14ac:dyDescent="0.3">
      <c r="A712" t="s">
        <v>915</v>
      </c>
      <c r="B712" t="s">
        <v>320</v>
      </c>
      <c r="C712" t="s">
        <v>17</v>
      </c>
      <c r="D712">
        <v>39</v>
      </c>
      <c r="E712" t="s">
        <v>18</v>
      </c>
      <c r="F712" t="s">
        <v>19</v>
      </c>
      <c r="G712" t="s">
        <v>46</v>
      </c>
      <c r="H712">
        <v>64000</v>
      </c>
      <c r="I712">
        <v>17</v>
      </c>
      <c r="J712">
        <v>3</v>
      </c>
      <c r="K712">
        <v>4</v>
      </c>
      <c r="L712" t="s">
        <v>21</v>
      </c>
      <c r="M712" t="s">
        <v>29</v>
      </c>
      <c r="N712" t="s">
        <v>34</v>
      </c>
      <c r="O712" t="s">
        <v>43</v>
      </c>
      <c r="P712" t="str">
        <f t="shared" si="55"/>
        <v>30-39</v>
      </c>
      <c r="Q712" t="str">
        <f t="shared" si="56"/>
        <v>Medium</v>
      </c>
      <c r="R712" t="str">
        <f t="shared" si="57"/>
        <v>Senior</v>
      </c>
      <c r="S712" t="str">
        <f t="shared" si="58"/>
        <v>Needs Improvement</v>
      </c>
      <c r="T712" s="4" t="str">
        <f t="shared" si="59"/>
        <v>Satisfied</v>
      </c>
    </row>
    <row r="713" spans="1:20" x14ac:dyDescent="0.3">
      <c r="A713" t="s">
        <v>916</v>
      </c>
      <c r="B713" t="s">
        <v>132</v>
      </c>
      <c r="C713" t="s">
        <v>37</v>
      </c>
      <c r="D713">
        <v>48</v>
      </c>
      <c r="E713" t="s">
        <v>18</v>
      </c>
      <c r="F713" t="s">
        <v>19</v>
      </c>
      <c r="G713" t="s">
        <v>28</v>
      </c>
      <c r="H713">
        <v>66000</v>
      </c>
      <c r="I713">
        <v>20</v>
      </c>
      <c r="J713">
        <v>2</v>
      </c>
      <c r="K713">
        <v>5</v>
      </c>
      <c r="L713" t="s">
        <v>21</v>
      </c>
      <c r="M713" t="s">
        <v>21</v>
      </c>
      <c r="N713" t="s">
        <v>34</v>
      </c>
      <c r="O713" t="s">
        <v>30</v>
      </c>
      <c r="P713" t="str">
        <f t="shared" si="55"/>
        <v>40-49</v>
      </c>
      <c r="Q713" t="str">
        <f t="shared" si="56"/>
        <v>Medium</v>
      </c>
      <c r="R713" t="str">
        <f t="shared" si="57"/>
        <v>Senior</v>
      </c>
      <c r="S713" t="str">
        <f t="shared" si="58"/>
        <v>Needs Improvement</v>
      </c>
      <c r="T713" s="4" t="str">
        <f t="shared" si="59"/>
        <v>Satisfied</v>
      </c>
    </row>
    <row r="714" spans="1:20" x14ac:dyDescent="0.3">
      <c r="A714" t="s">
        <v>917</v>
      </c>
      <c r="B714" t="s">
        <v>72</v>
      </c>
      <c r="C714" t="s">
        <v>17</v>
      </c>
      <c r="D714">
        <v>54</v>
      </c>
      <c r="E714" t="s">
        <v>41</v>
      </c>
      <c r="F714" t="s">
        <v>73</v>
      </c>
      <c r="G714" t="s">
        <v>33</v>
      </c>
      <c r="H714">
        <v>36000</v>
      </c>
      <c r="I714">
        <v>11</v>
      </c>
      <c r="J714">
        <v>2</v>
      </c>
      <c r="K714">
        <v>3</v>
      </c>
      <c r="L714" t="s">
        <v>29</v>
      </c>
      <c r="M714" t="s">
        <v>29</v>
      </c>
      <c r="N714" t="s">
        <v>22</v>
      </c>
      <c r="O714" t="s">
        <v>23</v>
      </c>
      <c r="P714" t="str">
        <f t="shared" si="55"/>
        <v>50+</v>
      </c>
      <c r="Q714" t="str">
        <f t="shared" si="56"/>
        <v>Low</v>
      </c>
      <c r="R714" t="str">
        <f t="shared" si="57"/>
        <v>Senior</v>
      </c>
      <c r="S714" t="str">
        <f t="shared" si="58"/>
        <v>Needs Improvement</v>
      </c>
      <c r="T714" s="4" t="str">
        <f t="shared" si="59"/>
        <v>Neutral</v>
      </c>
    </row>
    <row r="715" spans="1:20" x14ac:dyDescent="0.3">
      <c r="A715" t="s">
        <v>918</v>
      </c>
      <c r="B715" t="s">
        <v>476</v>
      </c>
      <c r="C715" t="s">
        <v>37</v>
      </c>
      <c r="D715">
        <v>39</v>
      </c>
      <c r="E715" t="s">
        <v>41</v>
      </c>
      <c r="F715" t="s">
        <v>42</v>
      </c>
      <c r="G715" t="s">
        <v>20</v>
      </c>
      <c r="H715">
        <v>51000</v>
      </c>
      <c r="I715">
        <v>7</v>
      </c>
      <c r="J715">
        <v>5</v>
      </c>
      <c r="K715">
        <v>4</v>
      </c>
      <c r="L715" t="s">
        <v>21</v>
      </c>
      <c r="M715" t="s">
        <v>29</v>
      </c>
      <c r="N715" t="s">
        <v>34</v>
      </c>
      <c r="O715" t="s">
        <v>43</v>
      </c>
      <c r="P715" t="str">
        <f t="shared" si="55"/>
        <v>30-39</v>
      </c>
      <c r="Q715" t="str">
        <f t="shared" si="56"/>
        <v>Medium</v>
      </c>
      <c r="R715" t="str">
        <f t="shared" si="57"/>
        <v>Senior</v>
      </c>
      <c r="S715" t="str">
        <f t="shared" si="58"/>
        <v>High Performer</v>
      </c>
      <c r="T715" s="4" t="str">
        <f t="shared" si="59"/>
        <v>Satisfied</v>
      </c>
    </row>
    <row r="716" spans="1:20" x14ac:dyDescent="0.3">
      <c r="A716" t="s">
        <v>919</v>
      </c>
      <c r="B716" t="s">
        <v>263</v>
      </c>
      <c r="C716" t="s">
        <v>17</v>
      </c>
      <c r="D716">
        <v>35</v>
      </c>
      <c r="E716" t="s">
        <v>26</v>
      </c>
      <c r="F716" t="s">
        <v>50</v>
      </c>
      <c r="G716" t="s">
        <v>46</v>
      </c>
      <c r="H716">
        <v>36000</v>
      </c>
      <c r="I716">
        <v>14</v>
      </c>
      <c r="J716">
        <v>2</v>
      </c>
      <c r="K716">
        <v>4</v>
      </c>
      <c r="L716" t="s">
        <v>29</v>
      </c>
      <c r="M716" t="s">
        <v>29</v>
      </c>
      <c r="N716" t="s">
        <v>22</v>
      </c>
      <c r="O716" t="s">
        <v>43</v>
      </c>
      <c r="P716" t="str">
        <f t="shared" si="55"/>
        <v>30-39</v>
      </c>
      <c r="Q716" t="str">
        <f t="shared" si="56"/>
        <v>Low</v>
      </c>
      <c r="R716" t="str">
        <f t="shared" si="57"/>
        <v>Senior</v>
      </c>
      <c r="S716" t="str">
        <f t="shared" si="58"/>
        <v>Needs Improvement</v>
      </c>
      <c r="T716" s="4" t="str">
        <f t="shared" si="59"/>
        <v>Satisfied</v>
      </c>
    </row>
    <row r="717" spans="1:20" x14ac:dyDescent="0.3">
      <c r="A717" t="s">
        <v>920</v>
      </c>
      <c r="B717" t="s">
        <v>77</v>
      </c>
      <c r="C717" t="s">
        <v>37</v>
      </c>
      <c r="D717">
        <v>33</v>
      </c>
      <c r="E717" t="s">
        <v>49</v>
      </c>
      <c r="F717" t="s">
        <v>27</v>
      </c>
      <c r="G717" t="s">
        <v>20</v>
      </c>
      <c r="H717">
        <v>95000</v>
      </c>
      <c r="I717">
        <v>1</v>
      </c>
      <c r="J717">
        <v>4</v>
      </c>
      <c r="K717">
        <v>2</v>
      </c>
      <c r="L717" t="s">
        <v>29</v>
      </c>
      <c r="M717" t="s">
        <v>29</v>
      </c>
      <c r="N717" t="s">
        <v>22</v>
      </c>
      <c r="O717" t="s">
        <v>30</v>
      </c>
      <c r="P717" t="str">
        <f t="shared" si="55"/>
        <v>30-39</v>
      </c>
      <c r="Q717" t="str">
        <f t="shared" si="56"/>
        <v>High</v>
      </c>
      <c r="R717" t="str">
        <f t="shared" si="57"/>
        <v>Junior</v>
      </c>
      <c r="S717" t="str">
        <f t="shared" si="58"/>
        <v>High Performer</v>
      </c>
      <c r="T717" s="4" t="str">
        <f t="shared" si="59"/>
        <v>Dissatisfied</v>
      </c>
    </row>
    <row r="718" spans="1:20" x14ac:dyDescent="0.3">
      <c r="A718" t="s">
        <v>921</v>
      </c>
      <c r="B718" t="s">
        <v>219</v>
      </c>
      <c r="C718" t="s">
        <v>37</v>
      </c>
      <c r="D718">
        <v>51</v>
      </c>
      <c r="E718" t="s">
        <v>18</v>
      </c>
      <c r="F718" t="s">
        <v>126</v>
      </c>
      <c r="G718" t="s">
        <v>46</v>
      </c>
      <c r="H718">
        <v>26000</v>
      </c>
      <c r="I718">
        <v>9</v>
      </c>
      <c r="J718">
        <v>4</v>
      </c>
      <c r="K718">
        <v>5</v>
      </c>
      <c r="L718" t="s">
        <v>21</v>
      </c>
      <c r="M718" t="s">
        <v>29</v>
      </c>
      <c r="N718" t="s">
        <v>22</v>
      </c>
      <c r="O718" t="s">
        <v>23</v>
      </c>
      <c r="P718" t="str">
        <f t="shared" si="55"/>
        <v>50+</v>
      </c>
      <c r="Q718" t="str">
        <f t="shared" si="56"/>
        <v>Low</v>
      </c>
      <c r="R718" t="str">
        <f t="shared" si="57"/>
        <v>Senior</v>
      </c>
      <c r="S718" t="str">
        <f t="shared" si="58"/>
        <v>High Performer</v>
      </c>
      <c r="T718" s="4" t="str">
        <f t="shared" si="59"/>
        <v>Satisfied</v>
      </c>
    </row>
    <row r="719" spans="1:20" x14ac:dyDescent="0.3">
      <c r="A719" t="s">
        <v>922</v>
      </c>
      <c r="B719" t="s">
        <v>142</v>
      </c>
      <c r="C719" t="s">
        <v>17</v>
      </c>
      <c r="D719">
        <v>51</v>
      </c>
      <c r="E719" t="s">
        <v>49</v>
      </c>
      <c r="F719" t="s">
        <v>27</v>
      </c>
      <c r="G719" t="s">
        <v>46</v>
      </c>
      <c r="H719">
        <v>97000</v>
      </c>
      <c r="I719">
        <v>17</v>
      </c>
      <c r="J719">
        <v>2</v>
      </c>
      <c r="K719">
        <v>2</v>
      </c>
      <c r="L719" t="s">
        <v>29</v>
      </c>
      <c r="M719" t="s">
        <v>29</v>
      </c>
      <c r="N719" t="s">
        <v>22</v>
      </c>
      <c r="O719" t="s">
        <v>51</v>
      </c>
      <c r="P719" t="str">
        <f t="shared" si="55"/>
        <v>50+</v>
      </c>
      <c r="Q719" t="str">
        <f t="shared" si="56"/>
        <v>High</v>
      </c>
      <c r="R719" t="str">
        <f t="shared" si="57"/>
        <v>Senior</v>
      </c>
      <c r="S719" t="str">
        <f t="shared" si="58"/>
        <v>Needs Improvement</v>
      </c>
      <c r="T719" s="4" t="str">
        <f t="shared" si="59"/>
        <v>Dissatisfied</v>
      </c>
    </row>
    <row r="720" spans="1:20" x14ac:dyDescent="0.3">
      <c r="A720" t="s">
        <v>923</v>
      </c>
      <c r="B720" t="s">
        <v>529</v>
      </c>
      <c r="C720" t="s">
        <v>17</v>
      </c>
      <c r="D720">
        <v>46</v>
      </c>
      <c r="E720" t="s">
        <v>49</v>
      </c>
      <c r="F720" t="s">
        <v>27</v>
      </c>
      <c r="G720" t="s">
        <v>46</v>
      </c>
      <c r="H720">
        <v>98000</v>
      </c>
      <c r="I720">
        <v>14</v>
      </c>
      <c r="J720">
        <v>5</v>
      </c>
      <c r="K720">
        <v>5</v>
      </c>
      <c r="L720" t="s">
        <v>21</v>
      </c>
      <c r="M720" t="s">
        <v>29</v>
      </c>
      <c r="N720" t="s">
        <v>34</v>
      </c>
      <c r="O720" t="s">
        <v>51</v>
      </c>
      <c r="P720" t="str">
        <f t="shared" si="55"/>
        <v>40-49</v>
      </c>
      <c r="Q720" t="str">
        <f t="shared" si="56"/>
        <v>High</v>
      </c>
      <c r="R720" t="str">
        <f t="shared" si="57"/>
        <v>Senior</v>
      </c>
      <c r="S720" t="str">
        <f t="shared" si="58"/>
        <v>High Performer</v>
      </c>
      <c r="T720" s="4" t="str">
        <f t="shared" si="59"/>
        <v>Satisfied</v>
      </c>
    </row>
    <row r="721" spans="1:20" x14ac:dyDescent="0.3">
      <c r="A721" t="s">
        <v>924</v>
      </c>
      <c r="B721" t="s">
        <v>357</v>
      </c>
      <c r="C721" t="s">
        <v>37</v>
      </c>
      <c r="D721">
        <v>33</v>
      </c>
      <c r="E721" t="s">
        <v>18</v>
      </c>
      <c r="F721" t="s">
        <v>19</v>
      </c>
      <c r="G721" t="s">
        <v>46</v>
      </c>
      <c r="H721">
        <v>65000</v>
      </c>
      <c r="I721">
        <v>5</v>
      </c>
      <c r="J721">
        <v>3</v>
      </c>
      <c r="K721">
        <v>4</v>
      </c>
      <c r="L721" t="s">
        <v>29</v>
      </c>
      <c r="M721" t="s">
        <v>21</v>
      </c>
      <c r="N721" t="s">
        <v>34</v>
      </c>
      <c r="O721" t="s">
        <v>51</v>
      </c>
      <c r="P721" t="str">
        <f t="shared" si="55"/>
        <v>30-39</v>
      </c>
      <c r="Q721" t="str">
        <f t="shared" si="56"/>
        <v>Medium</v>
      </c>
      <c r="R721" t="str">
        <f t="shared" si="57"/>
        <v>Mid-Level</v>
      </c>
      <c r="S721" t="str">
        <f t="shared" si="58"/>
        <v>Needs Improvement</v>
      </c>
      <c r="T721" s="4" t="str">
        <f t="shared" si="59"/>
        <v>Satisfied</v>
      </c>
    </row>
    <row r="722" spans="1:20" x14ac:dyDescent="0.3">
      <c r="A722" t="s">
        <v>925</v>
      </c>
      <c r="B722" t="s">
        <v>633</v>
      </c>
      <c r="C722" t="s">
        <v>37</v>
      </c>
      <c r="D722">
        <v>34</v>
      </c>
      <c r="E722" t="s">
        <v>18</v>
      </c>
      <c r="F722" t="s">
        <v>126</v>
      </c>
      <c r="G722" t="s">
        <v>46</v>
      </c>
      <c r="H722">
        <v>112000</v>
      </c>
      <c r="I722">
        <v>6</v>
      </c>
      <c r="J722">
        <v>4</v>
      </c>
      <c r="K722">
        <v>3</v>
      </c>
      <c r="L722" t="s">
        <v>29</v>
      </c>
      <c r="M722" t="s">
        <v>29</v>
      </c>
      <c r="N722" t="s">
        <v>34</v>
      </c>
      <c r="O722" t="s">
        <v>70</v>
      </c>
      <c r="P722" t="str">
        <f t="shared" si="55"/>
        <v>30-39</v>
      </c>
      <c r="Q722" t="str">
        <f t="shared" si="56"/>
        <v>High</v>
      </c>
      <c r="R722" t="str">
        <f t="shared" si="57"/>
        <v>Mid-Level</v>
      </c>
      <c r="S722" t="str">
        <f t="shared" si="58"/>
        <v>High Performer</v>
      </c>
      <c r="T722" s="4" t="str">
        <f t="shared" si="59"/>
        <v>Neutral</v>
      </c>
    </row>
    <row r="723" spans="1:20" x14ac:dyDescent="0.3">
      <c r="A723" t="s">
        <v>926</v>
      </c>
      <c r="B723" t="s">
        <v>142</v>
      </c>
      <c r="C723" t="s">
        <v>17</v>
      </c>
      <c r="D723">
        <v>32</v>
      </c>
      <c r="E723" t="s">
        <v>57</v>
      </c>
      <c r="F723" t="s">
        <v>50</v>
      </c>
      <c r="G723" t="s">
        <v>46</v>
      </c>
      <c r="H723">
        <v>57000</v>
      </c>
      <c r="I723">
        <v>11</v>
      </c>
      <c r="J723">
        <v>5</v>
      </c>
      <c r="K723">
        <v>4</v>
      </c>
      <c r="L723" t="s">
        <v>21</v>
      </c>
      <c r="M723" t="s">
        <v>29</v>
      </c>
      <c r="N723" t="s">
        <v>34</v>
      </c>
      <c r="O723" t="s">
        <v>75</v>
      </c>
      <c r="P723" t="str">
        <f t="shared" si="55"/>
        <v>30-39</v>
      </c>
      <c r="Q723" t="str">
        <f t="shared" si="56"/>
        <v>Medium</v>
      </c>
      <c r="R723" t="str">
        <f t="shared" si="57"/>
        <v>Senior</v>
      </c>
      <c r="S723" t="str">
        <f t="shared" si="58"/>
        <v>High Performer</v>
      </c>
      <c r="T723" s="4" t="str">
        <f t="shared" si="59"/>
        <v>Satisfied</v>
      </c>
    </row>
    <row r="724" spans="1:20" x14ac:dyDescent="0.3">
      <c r="A724" t="s">
        <v>927</v>
      </c>
      <c r="B724" t="s">
        <v>145</v>
      </c>
      <c r="C724" t="s">
        <v>37</v>
      </c>
      <c r="D724">
        <v>44</v>
      </c>
      <c r="E724" t="s">
        <v>18</v>
      </c>
      <c r="F724" t="s">
        <v>126</v>
      </c>
      <c r="G724" t="s">
        <v>46</v>
      </c>
      <c r="H724">
        <v>108000</v>
      </c>
      <c r="I724">
        <v>14</v>
      </c>
      <c r="J724">
        <v>5</v>
      </c>
      <c r="K724">
        <v>2</v>
      </c>
      <c r="L724" t="s">
        <v>21</v>
      </c>
      <c r="M724" t="s">
        <v>29</v>
      </c>
      <c r="N724" t="s">
        <v>34</v>
      </c>
      <c r="O724" t="s">
        <v>51</v>
      </c>
      <c r="P724" t="str">
        <f t="shared" si="55"/>
        <v>40-49</v>
      </c>
      <c r="Q724" t="str">
        <f t="shared" si="56"/>
        <v>High</v>
      </c>
      <c r="R724" t="str">
        <f t="shared" si="57"/>
        <v>Senior</v>
      </c>
      <c r="S724" t="str">
        <f t="shared" si="58"/>
        <v>High Performer</v>
      </c>
      <c r="T724" s="4" t="str">
        <f t="shared" si="59"/>
        <v>Dissatisfied</v>
      </c>
    </row>
    <row r="725" spans="1:20" x14ac:dyDescent="0.3">
      <c r="A725" t="s">
        <v>928</v>
      </c>
      <c r="B725" t="s">
        <v>354</v>
      </c>
      <c r="C725" t="s">
        <v>17</v>
      </c>
      <c r="D725">
        <v>31</v>
      </c>
      <c r="E725" t="s">
        <v>41</v>
      </c>
      <c r="F725" t="s">
        <v>42</v>
      </c>
      <c r="G725" t="s">
        <v>28</v>
      </c>
      <c r="H725">
        <v>73000</v>
      </c>
      <c r="I725">
        <v>9</v>
      </c>
      <c r="J725">
        <v>3</v>
      </c>
      <c r="K725">
        <v>4</v>
      </c>
      <c r="L725" t="s">
        <v>21</v>
      </c>
      <c r="M725" t="s">
        <v>29</v>
      </c>
      <c r="N725" t="s">
        <v>34</v>
      </c>
      <c r="O725" t="s">
        <v>43</v>
      </c>
      <c r="P725" t="str">
        <f t="shared" si="55"/>
        <v>30-39</v>
      </c>
      <c r="Q725" t="str">
        <f t="shared" si="56"/>
        <v>High</v>
      </c>
      <c r="R725" t="str">
        <f t="shared" si="57"/>
        <v>Senior</v>
      </c>
      <c r="S725" t="str">
        <f t="shared" si="58"/>
        <v>Needs Improvement</v>
      </c>
      <c r="T725" s="4" t="str">
        <f t="shared" si="59"/>
        <v>Satisfied</v>
      </c>
    </row>
    <row r="726" spans="1:20" x14ac:dyDescent="0.3">
      <c r="A726" t="s">
        <v>929</v>
      </c>
      <c r="B726" t="s">
        <v>292</v>
      </c>
      <c r="C726" t="s">
        <v>37</v>
      </c>
      <c r="D726">
        <v>27</v>
      </c>
      <c r="E726" t="s">
        <v>57</v>
      </c>
      <c r="F726" t="s">
        <v>27</v>
      </c>
      <c r="G726" t="s">
        <v>28</v>
      </c>
      <c r="H726">
        <v>115000</v>
      </c>
      <c r="I726">
        <v>6</v>
      </c>
      <c r="J726">
        <v>5</v>
      </c>
      <c r="K726">
        <v>5</v>
      </c>
      <c r="L726" t="s">
        <v>21</v>
      </c>
      <c r="M726" t="s">
        <v>29</v>
      </c>
      <c r="N726" t="s">
        <v>22</v>
      </c>
      <c r="O726" t="s">
        <v>38</v>
      </c>
      <c r="P726" t="str">
        <f t="shared" si="55"/>
        <v>20-29</v>
      </c>
      <c r="Q726" t="str">
        <f t="shared" si="56"/>
        <v>High</v>
      </c>
      <c r="R726" t="str">
        <f t="shared" si="57"/>
        <v>Mid-Level</v>
      </c>
      <c r="S726" t="str">
        <f t="shared" si="58"/>
        <v>High Performer</v>
      </c>
      <c r="T726" s="4" t="str">
        <f t="shared" si="59"/>
        <v>Satisfied</v>
      </c>
    </row>
    <row r="727" spans="1:20" x14ac:dyDescent="0.3">
      <c r="A727" t="s">
        <v>930</v>
      </c>
      <c r="B727" t="s">
        <v>295</v>
      </c>
      <c r="C727" t="s">
        <v>17</v>
      </c>
      <c r="D727">
        <v>42</v>
      </c>
      <c r="E727" t="s">
        <v>49</v>
      </c>
      <c r="F727" t="s">
        <v>27</v>
      </c>
      <c r="G727" t="s">
        <v>28</v>
      </c>
      <c r="H727">
        <v>62000</v>
      </c>
      <c r="I727">
        <v>3</v>
      </c>
      <c r="J727">
        <v>5</v>
      </c>
      <c r="K727">
        <v>5</v>
      </c>
      <c r="L727" t="s">
        <v>21</v>
      </c>
      <c r="M727" t="s">
        <v>29</v>
      </c>
      <c r="N727" t="s">
        <v>34</v>
      </c>
      <c r="O727" t="s">
        <v>38</v>
      </c>
      <c r="P727" t="str">
        <f t="shared" si="55"/>
        <v>40-49</v>
      </c>
      <c r="Q727" t="str">
        <f t="shared" si="56"/>
        <v>Medium</v>
      </c>
      <c r="R727" t="str">
        <f t="shared" si="57"/>
        <v>Mid-Level</v>
      </c>
      <c r="S727" t="str">
        <f t="shared" si="58"/>
        <v>High Performer</v>
      </c>
      <c r="T727" s="4" t="str">
        <f t="shared" si="59"/>
        <v>Satisfied</v>
      </c>
    </row>
    <row r="728" spans="1:20" x14ac:dyDescent="0.3">
      <c r="A728" t="s">
        <v>931</v>
      </c>
      <c r="B728" t="s">
        <v>132</v>
      </c>
      <c r="C728" t="s">
        <v>37</v>
      </c>
      <c r="D728">
        <v>39</v>
      </c>
      <c r="E728" t="s">
        <v>49</v>
      </c>
      <c r="F728" t="s">
        <v>50</v>
      </c>
      <c r="G728" t="s">
        <v>28</v>
      </c>
      <c r="H728">
        <v>92000</v>
      </c>
      <c r="I728">
        <v>8</v>
      </c>
      <c r="J728">
        <v>4</v>
      </c>
      <c r="K728">
        <v>4</v>
      </c>
      <c r="L728" t="s">
        <v>29</v>
      </c>
      <c r="M728" t="s">
        <v>29</v>
      </c>
      <c r="N728" t="s">
        <v>22</v>
      </c>
      <c r="O728" t="s">
        <v>23</v>
      </c>
      <c r="P728" t="str">
        <f t="shared" si="55"/>
        <v>30-39</v>
      </c>
      <c r="Q728" t="str">
        <f t="shared" si="56"/>
        <v>High</v>
      </c>
      <c r="R728" t="str">
        <f t="shared" si="57"/>
        <v>Senior</v>
      </c>
      <c r="S728" t="str">
        <f t="shared" si="58"/>
        <v>High Performer</v>
      </c>
      <c r="T728" s="4" t="str">
        <f t="shared" si="59"/>
        <v>Satisfied</v>
      </c>
    </row>
    <row r="729" spans="1:20" x14ac:dyDescent="0.3">
      <c r="A729" t="s">
        <v>932</v>
      </c>
      <c r="B729" t="s">
        <v>225</v>
      </c>
      <c r="C729" t="s">
        <v>37</v>
      </c>
      <c r="D729">
        <v>35</v>
      </c>
      <c r="E729" t="s">
        <v>49</v>
      </c>
      <c r="F729" t="s">
        <v>50</v>
      </c>
      <c r="G729" t="s">
        <v>20</v>
      </c>
      <c r="H729">
        <v>61000</v>
      </c>
      <c r="I729">
        <v>1</v>
      </c>
      <c r="J729">
        <v>3</v>
      </c>
      <c r="K729">
        <v>2</v>
      </c>
      <c r="L729" t="s">
        <v>21</v>
      </c>
      <c r="M729" t="s">
        <v>21</v>
      </c>
      <c r="N729" t="s">
        <v>34</v>
      </c>
      <c r="O729" t="s">
        <v>38</v>
      </c>
      <c r="P729" t="str">
        <f t="shared" si="55"/>
        <v>30-39</v>
      </c>
      <c r="Q729" t="str">
        <f t="shared" si="56"/>
        <v>Medium</v>
      </c>
      <c r="R729" t="str">
        <f t="shared" si="57"/>
        <v>Junior</v>
      </c>
      <c r="S729" t="str">
        <f t="shared" si="58"/>
        <v>Needs Improvement</v>
      </c>
      <c r="T729" s="4" t="str">
        <f t="shared" si="59"/>
        <v>Dissatisfied</v>
      </c>
    </row>
    <row r="730" spans="1:20" x14ac:dyDescent="0.3">
      <c r="A730" t="s">
        <v>933</v>
      </c>
      <c r="B730" t="s">
        <v>36</v>
      </c>
      <c r="C730" t="s">
        <v>37</v>
      </c>
      <c r="D730">
        <v>53</v>
      </c>
      <c r="E730" t="s">
        <v>66</v>
      </c>
      <c r="F730" t="s">
        <v>67</v>
      </c>
      <c r="G730" t="s">
        <v>20</v>
      </c>
      <c r="H730">
        <v>91000</v>
      </c>
      <c r="I730">
        <v>12</v>
      </c>
      <c r="J730">
        <v>2</v>
      </c>
      <c r="K730">
        <v>2</v>
      </c>
      <c r="L730" t="s">
        <v>29</v>
      </c>
      <c r="M730" t="s">
        <v>29</v>
      </c>
      <c r="N730" t="s">
        <v>34</v>
      </c>
      <c r="O730" t="s">
        <v>23</v>
      </c>
      <c r="P730" t="str">
        <f t="shared" si="55"/>
        <v>50+</v>
      </c>
      <c r="Q730" t="str">
        <f t="shared" si="56"/>
        <v>High</v>
      </c>
      <c r="R730" t="str">
        <f t="shared" si="57"/>
        <v>Senior</v>
      </c>
      <c r="S730" t="str">
        <f t="shared" si="58"/>
        <v>Needs Improvement</v>
      </c>
      <c r="T730" s="4" t="str">
        <f t="shared" si="59"/>
        <v>Dissatisfied</v>
      </c>
    </row>
    <row r="731" spans="1:20" x14ac:dyDescent="0.3">
      <c r="A731" t="s">
        <v>934</v>
      </c>
      <c r="B731" t="s">
        <v>104</v>
      </c>
      <c r="C731" t="s">
        <v>17</v>
      </c>
      <c r="D731">
        <v>28</v>
      </c>
      <c r="E731" t="s">
        <v>41</v>
      </c>
      <c r="F731" t="s">
        <v>73</v>
      </c>
      <c r="G731" t="s">
        <v>28</v>
      </c>
      <c r="H731">
        <v>30000</v>
      </c>
      <c r="I731">
        <v>7</v>
      </c>
      <c r="J731">
        <v>5</v>
      </c>
      <c r="K731">
        <v>5</v>
      </c>
      <c r="L731" t="s">
        <v>21</v>
      </c>
      <c r="M731" t="s">
        <v>29</v>
      </c>
      <c r="N731" t="s">
        <v>22</v>
      </c>
      <c r="O731" t="s">
        <v>70</v>
      </c>
      <c r="P731" t="str">
        <f t="shared" si="55"/>
        <v>20-29</v>
      </c>
      <c r="Q731" t="str">
        <f t="shared" si="56"/>
        <v>Low</v>
      </c>
      <c r="R731" t="str">
        <f t="shared" si="57"/>
        <v>Senior</v>
      </c>
      <c r="S731" t="str">
        <f t="shared" si="58"/>
        <v>High Performer</v>
      </c>
      <c r="T731" s="4" t="str">
        <f t="shared" si="59"/>
        <v>Satisfied</v>
      </c>
    </row>
    <row r="732" spans="1:20" x14ac:dyDescent="0.3">
      <c r="A732" t="s">
        <v>935</v>
      </c>
      <c r="B732" t="s">
        <v>370</v>
      </c>
      <c r="C732" t="s">
        <v>17</v>
      </c>
      <c r="D732">
        <v>52</v>
      </c>
      <c r="E732" t="s">
        <v>66</v>
      </c>
      <c r="F732" t="s">
        <v>67</v>
      </c>
      <c r="G732" t="s">
        <v>20</v>
      </c>
      <c r="H732">
        <v>39000</v>
      </c>
      <c r="I732">
        <v>19</v>
      </c>
      <c r="J732">
        <v>3</v>
      </c>
      <c r="K732">
        <v>3</v>
      </c>
      <c r="L732" t="s">
        <v>29</v>
      </c>
      <c r="M732" t="s">
        <v>29</v>
      </c>
      <c r="N732" t="s">
        <v>34</v>
      </c>
      <c r="O732" t="s">
        <v>51</v>
      </c>
      <c r="P732" t="str">
        <f t="shared" si="55"/>
        <v>50+</v>
      </c>
      <c r="Q732" t="str">
        <f t="shared" si="56"/>
        <v>Low</v>
      </c>
      <c r="R732" t="str">
        <f t="shared" si="57"/>
        <v>Senior</v>
      </c>
      <c r="S732" t="str">
        <f t="shared" si="58"/>
        <v>Needs Improvement</v>
      </c>
      <c r="T732" s="4" t="str">
        <f t="shared" si="59"/>
        <v>Neutral</v>
      </c>
    </row>
    <row r="733" spans="1:20" x14ac:dyDescent="0.3">
      <c r="A733" t="s">
        <v>936</v>
      </c>
      <c r="B733" t="s">
        <v>210</v>
      </c>
      <c r="C733" t="s">
        <v>17</v>
      </c>
      <c r="D733">
        <v>40</v>
      </c>
      <c r="E733" t="s">
        <v>26</v>
      </c>
      <c r="F733" t="s">
        <v>50</v>
      </c>
      <c r="G733" t="s">
        <v>33</v>
      </c>
      <c r="H733">
        <v>117000</v>
      </c>
      <c r="I733">
        <v>14</v>
      </c>
      <c r="J733">
        <v>3</v>
      </c>
      <c r="K733">
        <v>4</v>
      </c>
      <c r="L733" t="s">
        <v>29</v>
      </c>
      <c r="M733" t="s">
        <v>29</v>
      </c>
      <c r="N733" t="s">
        <v>22</v>
      </c>
      <c r="O733" t="s">
        <v>70</v>
      </c>
      <c r="P733" t="str">
        <f t="shared" si="55"/>
        <v>40-49</v>
      </c>
      <c r="Q733" t="str">
        <f t="shared" si="56"/>
        <v>High</v>
      </c>
      <c r="R733" t="str">
        <f t="shared" si="57"/>
        <v>Senior</v>
      </c>
      <c r="S733" t="str">
        <f t="shared" si="58"/>
        <v>Needs Improvement</v>
      </c>
      <c r="T733" s="4" t="str">
        <f t="shared" si="59"/>
        <v>Satisfied</v>
      </c>
    </row>
    <row r="734" spans="1:20" x14ac:dyDescent="0.3">
      <c r="A734" t="s">
        <v>937</v>
      </c>
      <c r="B734" t="s">
        <v>65</v>
      </c>
      <c r="C734" t="s">
        <v>17</v>
      </c>
      <c r="D734">
        <v>36</v>
      </c>
      <c r="E734" t="s">
        <v>49</v>
      </c>
      <c r="F734" t="s">
        <v>27</v>
      </c>
      <c r="G734" t="s">
        <v>28</v>
      </c>
      <c r="H734">
        <v>33000</v>
      </c>
      <c r="I734">
        <v>5</v>
      </c>
      <c r="J734">
        <v>5</v>
      </c>
      <c r="K734">
        <v>4</v>
      </c>
      <c r="L734" t="s">
        <v>29</v>
      </c>
      <c r="M734" t="s">
        <v>29</v>
      </c>
      <c r="N734" t="s">
        <v>22</v>
      </c>
      <c r="O734" t="s">
        <v>75</v>
      </c>
      <c r="P734" t="str">
        <f t="shared" si="55"/>
        <v>30-39</v>
      </c>
      <c r="Q734" t="str">
        <f t="shared" si="56"/>
        <v>Low</v>
      </c>
      <c r="R734" t="str">
        <f t="shared" si="57"/>
        <v>Mid-Level</v>
      </c>
      <c r="S734" t="str">
        <f t="shared" si="58"/>
        <v>High Performer</v>
      </c>
      <c r="T734" s="4" t="str">
        <f t="shared" si="59"/>
        <v>Satisfied</v>
      </c>
    </row>
    <row r="735" spans="1:20" x14ac:dyDescent="0.3">
      <c r="A735" t="s">
        <v>938</v>
      </c>
      <c r="B735" t="s">
        <v>122</v>
      </c>
      <c r="C735" t="s">
        <v>37</v>
      </c>
      <c r="D735">
        <v>29</v>
      </c>
      <c r="E735" t="s">
        <v>26</v>
      </c>
      <c r="F735" t="s">
        <v>27</v>
      </c>
      <c r="G735" t="s">
        <v>28</v>
      </c>
      <c r="H735">
        <v>106000</v>
      </c>
      <c r="I735">
        <v>4</v>
      </c>
      <c r="J735">
        <v>3</v>
      </c>
      <c r="K735">
        <v>2</v>
      </c>
      <c r="L735" t="s">
        <v>21</v>
      </c>
      <c r="M735" t="s">
        <v>29</v>
      </c>
      <c r="N735" t="s">
        <v>22</v>
      </c>
      <c r="O735" t="s">
        <v>70</v>
      </c>
      <c r="P735" t="str">
        <f t="shared" si="55"/>
        <v>20-29</v>
      </c>
      <c r="Q735" t="str">
        <f t="shared" si="56"/>
        <v>High</v>
      </c>
      <c r="R735" t="str">
        <f t="shared" si="57"/>
        <v>Mid-Level</v>
      </c>
      <c r="S735" t="str">
        <f t="shared" si="58"/>
        <v>Needs Improvement</v>
      </c>
      <c r="T735" s="4" t="str">
        <f t="shared" si="59"/>
        <v>Dissatisfied</v>
      </c>
    </row>
    <row r="736" spans="1:20" x14ac:dyDescent="0.3">
      <c r="A736" t="s">
        <v>939</v>
      </c>
      <c r="B736" t="s">
        <v>107</v>
      </c>
      <c r="C736" t="s">
        <v>17</v>
      </c>
      <c r="D736">
        <v>38</v>
      </c>
      <c r="E736" t="s">
        <v>18</v>
      </c>
      <c r="F736" t="s">
        <v>126</v>
      </c>
      <c r="G736" t="s">
        <v>20</v>
      </c>
      <c r="H736">
        <v>98000</v>
      </c>
      <c r="I736">
        <v>3</v>
      </c>
      <c r="J736">
        <v>2</v>
      </c>
      <c r="K736">
        <v>2</v>
      </c>
      <c r="L736" t="s">
        <v>21</v>
      </c>
      <c r="M736" t="s">
        <v>21</v>
      </c>
      <c r="N736" t="s">
        <v>22</v>
      </c>
      <c r="O736" t="s">
        <v>70</v>
      </c>
      <c r="P736" t="str">
        <f t="shared" si="55"/>
        <v>30-39</v>
      </c>
      <c r="Q736" t="str">
        <f t="shared" si="56"/>
        <v>High</v>
      </c>
      <c r="R736" t="str">
        <f t="shared" si="57"/>
        <v>Mid-Level</v>
      </c>
      <c r="S736" t="str">
        <f t="shared" si="58"/>
        <v>Needs Improvement</v>
      </c>
      <c r="T736" s="4" t="str">
        <f t="shared" si="59"/>
        <v>Dissatisfied</v>
      </c>
    </row>
    <row r="737" spans="1:20" x14ac:dyDescent="0.3">
      <c r="A737" t="s">
        <v>940</v>
      </c>
      <c r="B737" t="s">
        <v>454</v>
      </c>
      <c r="C737" t="s">
        <v>37</v>
      </c>
      <c r="D737">
        <v>54</v>
      </c>
      <c r="E737" t="s">
        <v>26</v>
      </c>
      <c r="F737" t="s">
        <v>50</v>
      </c>
      <c r="G737" t="s">
        <v>20</v>
      </c>
      <c r="H737">
        <v>67000</v>
      </c>
      <c r="I737">
        <v>1</v>
      </c>
      <c r="J737">
        <v>5</v>
      </c>
      <c r="K737">
        <v>2</v>
      </c>
      <c r="L737" t="s">
        <v>29</v>
      </c>
      <c r="M737" t="s">
        <v>29</v>
      </c>
      <c r="N737" t="s">
        <v>34</v>
      </c>
      <c r="O737" t="s">
        <v>54</v>
      </c>
      <c r="P737" t="str">
        <f t="shared" si="55"/>
        <v>50+</v>
      </c>
      <c r="Q737" t="str">
        <f t="shared" si="56"/>
        <v>Medium</v>
      </c>
      <c r="R737" t="str">
        <f t="shared" si="57"/>
        <v>Junior</v>
      </c>
      <c r="S737" t="str">
        <f t="shared" si="58"/>
        <v>High Performer</v>
      </c>
      <c r="T737" s="4" t="str">
        <f t="shared" si="59"/>
        <v>Dissatisfied</v>
      </c>
    </row>
    <row r="738" spans="1:20" x14ac:dyDescent="0.3">
      <c r="A738" t="s">
        <v>941</v>
      </c>
      <c r="B738" t="s">
        <v>618</v>
      </c>
      <c r="C738" t="s">
        <v>17</v>
      </c>
      <c r="D738">
        <v>39</v>
      </c>
      <c r="E738" t="s">
        <v>26</v>
      </c>
      <c r="F738" t="s">
        <v>27</v>
      </c>
      <c r="G738" t="s">
        <v>28</v>
      </c>
      <c r="H738">
        <v>88000</v>
      </c>
      <c r="I738">
        <v>14</v>
      </c>
      <c r="J738">
        <v>2</v>
      </c>
      <c r="K738">
        <v>4</v>
      </c>
      <c r="L738" t="s">
        <v>29</v>
      </c>
      <c r="M738" t="s">
        <v>29</v>
      </c>
      <c r="N738" t="s">
        <v>22</v>
      </c>
      <c r="O738" t="s">
        <v>54</v>
      </c>
      <c r="P738" t="str">
        <f t="shared" si="55"/>
        <v>30-39</v>
      </c>
      <c r="Q738" t="str">
        <f t="shared" si="56"/>
        <v>High</v>
      </c>
      <c r="R738" t="str">
        <f t="shared" si="57"/>
        <v>Senior</v>
      </c>
      <c r="S738" t="str">
        <f t="shared" si="58"/>
        <v>Needs Improvement</v>
      </c>
      <c r="T738" s="4" t="str">
        <f t="shared" si="59"/>
        <v>Satisfied</v>
      </c>
    </row>
    <row r="739" spans="1:20" x14ac:dyDescent="0.3">
      <c r="A739" t="s">
        <v>942</v>
      </c>
      <c r="B739" t="s">
        <v>379</v>
      </c>
      <c r="C739" t="s">
        <v>37</v>
      </c>
      <c r="D739">
        <v>52</v>
      </c>
      <c r="E739" t="s">
        <v>26</v>
      </c>
      <c r="F739" t="s">
        <v>27</v>
      </c>
      <c r="G739" t="s">
        <v>28</v>
      </c>
      <c r="H739">
        <v>28000</v>
      </c>
      <c r="I739">
        <v>2</v>
      </c>
      <c r="J739">
        <v>4</v>
      </c>
      <c r="K739">
        <v>3</v>
      </c>
      <c r="L739" t="s">
        <v>21</v>
      </c>
      <c r="M739" t="s">
        <v>29</v>
      </c>
      <c r="N739" t="s">
        <v>22</v>
      </c>
      <c r="O739" t="s">
        <v>51</v>
      </c>
      <c r="P739" t="str">
        <f t="shared" si="55"/>
        <v>50+</v>
      </c>
      <c r="Q739" t="str">
        <f t="shared" si="56"/>
        <v>Low</v>
      </c>
      <c r="R739" t="str">
        <f t="shared" si="57"/>
        <v>Junior</v>
      </c>
      <c r="S739" t="str">
        <f t="shared" si="58"/>
        <v>High Performer</v>
      </c>
      <c r="T739" s="4" t="str">
        <f t="shared" si="59"/>
        <v>Neutral</v>
      </c>
    </row>
    <row r="740" spans="1:20" x14ac:dyDescent="0.3">
      <c r="A740" t="s">
        <v>943</v>
      </c>
      <c r="B740" t="s">
        <v>306</v>
      </c>
      <c r="C740" t="s">
        <v>17</v>
      </c>
      <c r="D740">
        <v>48</v>
      </c>
      <c r="E740" t="s">
        <v>26</v>
      </c>
      <c r="F740" t="s">
        <v>50</v>
      </c>
      <c r="G740" t="s">
        <v>33</v>
      </c>
      <c r="H740">
        <v>73000</v>
      </c>
      <c r="I740">
        <v>6</v>
      </c>
      <c r="J740">
        <v>4</v>
      </c>
      <c r="K740">
        <v>3</v>
      </c>
      <c r="L740" t="s">
        <v>21</v>
      </c>
      <c r="M740" t="s">
        <v>29</v>
      </c>
      <c r="N740" t="s">
        <v>22</v>
      </c>
      <c r="O740" t="s">
        <v>43</v>
      </c>
      <c r="P740" t="str">
        <f t="shared" si="55"/>
        <v>40-49</v>
      </c>
      <c r="Q740" t="str">
        <f t="shared" si="56"/>
        <v>High</v>
      </c>
      <c r="R740" t="str">
        <f t="shared" si="57"/>
        <v>Mid-Level</v>
      </c>
      <c r="S740" t="str">
        <f t="shared" si="58"/>
        <v>High Performer</v>
      </c>
      <c r="T740" s="4" t="str">
        <f t="shared" si="59"/>
        <v>Neutral</v>
      </c>
    </row>
    <row r="741" spans="1:20" x14ac:dyDescent="0.3">
      <c r="A741" t="s">
        <v>944</v>
      </c>
      <c r="B741" t="s">
        <v>347</v>
      </c>
      <c r="C741" t="s">
        <v>17</v>
      </c>
      <c r="D741">
        <v>44</v>
      </c>
      <c r="E741" t="s">
        <v>49</v>
      </c>
      <c r="F741" t="s">
        <v>27</v>
      </c>
      <c r="G741" t="s">
        <v>33</v>
      </c>
      <c r="H741">
        <v>83000</v>
      </c>
      <c r="I741">
        <v>4</v>
      </c>
      <c r="J741">
        <v>3</v>
      </c>
      <c r="K741">
        <v>2</v>
      </c>
      <c r="L741" t="s">
        <v>29</v>
      </c>
      <c r="M741" t="s">
        <v>29</v>
      </c>
      <c r="N741" t="s">
        <v>22</v>
      </c>
      <c r="O741" t="s">
        <v>51</v>
      </c>
      <c r="P741" t="str">
        <f t="shared" si="55"/>
        <v>40-49</v>
      </c>
      <c r="Q741" t="str">
        <f t="shared" si="56"/>
        <v>High</v>
      </c>
      <c r="R741" t="str">
        <f t="shared" si="57"/>
        <v>Mid-Level</v>
      </c>
      <c r="S741" t="str">
        <f t="shared" si="58"/>
        <v>Needs Improvement</v>
      </c>
      <c r="T741" s="4" t="str">
        <f t="shared" si="59"/>
        <v>Dissatisfied</v>
      </c>
    </row>
    <row r="742" spans="1:20" x14ac:dyDescent="0.3">
      <c r="A742" t="s">
        <v>945</v>
      </c>
      <c r="B742" t="s">
        <v>284</v>
      </c>
      <c r="C742" t="s">
        <v>37</v>
      </c>
      <c r="D742">
        <v>36</v>
      </c>
      <c r="E742" t="s">
        <v>49</v>
      </c>
      <c r="F742" t="s">
        <v>50</v>
      </c>
      <c r="G742" t="s">
        <v>33</v>
      </c>
      <c r="H742">
        <v>43000</v>
      </c>
      <c r="I742">
        <v>10</v>
      </c>
      <c r="J742">
        <v>5</v>
      </c>
      <c r="K742">
        <v>3</v>
      </c>
      <c r="L742" t="s">
        <v>29</v>
      </c>
      <c r="M742" t="s">
        <v>29</v>
      </c>
      <c r="N742" t="s">
        <v>22</v>
      </c>
      <c r="O742" t="s">
        <v>51</v>
      </c>
      <c r="P742" t="str">
        <f t="shared" si="55"/>
        <v>30-39</v>
      </c>
      <c r="Q742" t="str">
        <f t="shared" si="56"/>
        <v>Medium</v>
      </c>
      <c r="R742" t="str">
        <f t="shared" si="57"/>
        <v>Senior</v>
      </c>
      <c r="S742" t="str">
        <f t="shared" si="58"/>
        <v>High Performer</v>
      </c>
      <c r="T742" s="4" t="str">
        <f t="shared" si="59"/>
        <v>Neutral</v>
      </c>
    </row>
    <row r="743" spans="1:20" x14ac:dyDescent="0.3">
      <c r="A743" t="s">
        <v>946</v>
      </c>
      <c r="B743" t="s">
        <v>166</v>
      </c>
      <c r="C743" t="s">
        <v>37</v>
      </c>
      <c r="D743">
        <v>35</v>
      </c>
      <c r="E743" t="s">
        <v>66</v>
      </c>
      <c r="F743" t="s">
        <v>82</v>
      </c>
      <c r="G743" t="s">
        <v>28</v>
      </c>
      <c r="H743">
        <v>73000</v>
      </c>
      <c r="I743">
        <v>11</v>
      </c>
      <c r="J743">
        <v>4</v>
      </c>
      <c r="K743">
        <v>3</v>
      </c>
      <c r="L743" t="s">
        <v>21</v>
      </c>
      <c r="M743" t="s">
        <v>29</v>
      </c>
      <c r="N743" t="s">
        <v>22</v>
      </c>
      <c r="O743" t="s">
        <v>54</v>
      </c>
      <c r="P743" t="str">
        <f t="shared" si="55"/>
        <v>30-39</v>
      </c>
      <c r="Q743" t="str">
        <f t="shared" si="56"/>
        <v>High</v>
      </c>
      <c r="R743" t="str">
        <f t="shared" si="57"/>
        <v>Senior</v>
      </c>
      <c r="S743" t="str">
        <f t="shared" si="58"/>
        <v>High Performer</v>
      </c>
      <c r="T743" s="4" t="str">
        <f t="shared" si="59"/>
        <v>Neutral</v>
      </c>
    </row>
    <row r="744" spans="1:20" x14ac:dyDescent="0.3">
      <c r="A744" t="s">
        <v>947</v>
      </c>
      <c r="B744" t="s">
        <v>149</v>
      </c>
      <c r="C744" t="s">
        <v>17</v>
      </c>
      <c r="D744">
        <v>36</v>
      </c>
      <c r="E744" t="s">
        <v>49</v>
      </c>
      <c r="F744" t="s">
        <v>27</v>
      </c>
      <c r="G744" t="s">
        <v>33</v>
      </c>
      <c r="H744">
        <v>105000</v>
      </c>
      <c r="I744">
        <v>6</v>
      </c>
      <c r="J744">
        <v>2</v>
      </c>
      <c r="K744">
        <v>2</v>
      </c>
      <c r="L744" t="s">
        <v>21</v>
      </c>
      <c r="M744" t="s">
        <v>29</v>
      </c>
      <c r="N744" t="s">
        <v>34</v>
      </c>
      <c r="O744" t="s">
        <v>23</v>
      </c>
      <c r="P744" t="str">
        <f t="shared" si="55"/>
        <v>30-39</v>
      </c>
      <c r="Q744" t="str">
        <f t="shared" si="56"/>
        <v>High</v>
      </c>
      <c r="R744" t="str">
        <f t="shared" si="57"/>
        <v>Mid-Level</v>
      </c>
      <c r="S744" t="str">
        <f t="shared" si="58"/>
        <v>Needs Improvement</v>
      </c>
      <c r="T744" s="4" t="str">
        <f t="shared" si="59"/>
        <v>Dissatisfied</v>
      </c>
    </row>
    <row r="745" spans="1:20" x14ac:dyDescent="0.3">
      <c r="A745" t="s">
        <v>948</v>
      </c>
      <c r="B745" t="s">
        <v>164</v>
      </c>
      <c r="C745" t="s">
        <v>17</v>
      </c>
      <c r="D745">
        <v>33</v>
      </c>
      <c r="E745" t="s">
        <v>66</v>
      </c>
      <c r="F745" t="s">
        <v>82</v>
      </c>
      <c r="G745" t="s">
        <v>33</v>
      </c>
      <c r="H745">
        <v>79000</v>
      </c>
      <c r="I745">
        <v>0</v>
      </c>
      <c r="J745">
        <v>4</v>
      </c>
      <c r="K745">
        <v>3</v>
      </c>
      <c r="L745" t="s">
        <v>29</v>
      </c>
      <c r="M745" t="s">
        <v>29</v>
      </c>
      <c r="N745" t="s">
        <v>22</v>
      </c>
      <c r="O745" t="s">
        <v>43</v>
      </c>
      <c r="P745" t="str">
        <f t="shared" si="55"/>
        <v>30-39</v>
      </c>
      <c r="Q745" t="str">
        <f t="shared" si="56"/>
        <v>High</v>
      </c>
      <c r="R745" t="str">
        <f t="shared" si="57"/>
        <v>Junior</v>
      </c>
      <c r="S745" t="str">
        <f t="shared" si="58"/>
        <v>High Performer</v>
      </c>
      <c r="T745" s="4" t="str">
        <f t="shared" si="59"/>
        <v>Neutral</v>
      </c>
    </row>
    <row r="746" spans="1:20" x14ac:dyDescent="0.3">
      <c r="A746" t="s">
        <v>949</v>
      </c>
      <c r="B746" t="s">
        <v>633</v>
      </c>
      <c r="C746" t="s">
        <v>17</v>
      </c>
      <c r="D746">
        <v>25</v>
      </c>
      <c r="E746" t="s">
        <v>18</v>
      </c>
      <c r="F746" t="s">
        <v>126</v>
      </c>
      <c r="G746" t="s">
        <v>46</v>
      </c>
      <c r="H746">
        <v>100000</v>
      </c>
      <c r="I746">
        <v>4</v>
      </c>
      <c r="J746">
        <v>5</v>
      </c>
      <c r="K746">
        <v>2</v>
      </c>
      <c r="L746" t="s">
        <v>29</v>
      </c>
      <c r="M746" t="s">
        <v>29</v>
      </c>
      <c r="N746" t="s">
        <v>34</v>
      </c>
      <c r="O746" t="s">
        <v>43</v>
      </c>
      <c r="P746" t="str">
        <f t="shared" si="55"/>
        <v>20-29</v>
      </c>
      <c r="Q746" t="str">
        <f t="shared" si="56"/>
        <v>High</v>
      </c>
      <c r="R746" t="str">
        <f t="shared" si="57"/>
        <v>Mid-Level</v>
      </c>
      <c r="S746" t="str">
        <f t="shared" si="58"/>
        <v>High Performer</v>
      </c>
      <c r="T746" s="4" t="str">
        <f t="shared" si="59"/>
        <v>Dissatisfied</v>
      </c>
    </row>
    <row r="747" spans="1:20" x14ac:dyDescent="0.3">
      <c r="A747" t="s">
        <v>950</v>
      </c>
      <c r="B747" t="s">
        <v>439</v>
      </c>
      <c r="C747" t="s">
        <v>37</v>
      </c>
      <c r="D747">
        <v>46</v>
      </c>
      <c r="E747" t="s">
        <v>41</v>
      </c>
      <c r="F747" t="s">
        <v>42</v>
      </c>
      <c r="G747" t="s">
        <v>33</v>
      </c>
      <c r="H747">
        <v>78000</v>
      </c>
      <c r="I747">
        <v>13</v>
      </c>
      <c r="J747">
        <v>3</v>
      </c>
      <c r="K747">
        <v>2</v>
      </c>
      <c r="L747" t="s">
        <v>21</v>
      </c>
      <c r="M747" t="s">
        <v>21</v>
      </c>
      <c r="N747" t="s">
        <v>22</v>
      </c>
      <c r="O747" t="s">
        <v>75</v>
      </c>
      <c r="P747" t="str">
        <f t="shared" si="55"/>
        <v>40-49</v>
      </c>
      <c r="Q747" t="str">
        <f t="shared" si="56"/>
        <v>High</v>
      </c>
      <c r="R747" t="str">
        <f t="shared" si="57"/>
        <v>Senior</v>
      </c>
      <c r="S747" t="str">
        <f t="shared" si="58"/>
        <v>Needs Improvement</v>
      </c>
      <c r="T747" s="4" t="str">
        <f t="shared" si="59"/>
        <v>Dissatisfied</v>
      </c>
    </row>
    <row r="748" spans="1:20" x14ac:dyDescent="0.3">
      <c r="A748" t="s">
        <v>951</v>
      </c>
      <c r="B748" t="s">
        <v>706</v>
      </c>
      <c r="C748" t="s">
        <v>37</v>
      </c>
      <c r="D748">
        <v>39</v>
      </c>
      <c r="E748" t="s">
        <v>18</v>
      </c>
      <c r="F748" t="s">
        <v>19</v>
      </c>
      <c r="G748" t="s">
        <v>46</v>
      </c>
      <c r="H748">
        <v>90000</v>
      </c>
      <c r="I748">
        <v>16</v>
      </c>
      <c r="J748">
        <v>3</v>
      </c>
      <c r="K748">
        <v>2</v>
      </c>
      <c r="L748" t="s">
        <v>29</v>
      </c>
      <c r="M748" t="s">
        <v>29</v>
      </c>
      <c r="N748" t="s">
        <v>22</v>
      </c>
      <c r="O748" t="s">
        <v>75</v>
      </c>
      <c r="P748" t="str">
        <f t="shared" si="55"/>
        <v>30-39</v>
      </c>
      <c r="Q748" t="str">
        <f t="shared" si="56"/>
        <v>High</v>
      </c>
      <c r="R748" t="str">
        <f t="shared" si="57"/>
        <v>Senior</v>
      </c>
      <c r="S748" t="str">
        <f t="shared" si="58"/>
        <v>Needs Improvement</v>
      </c>
      <c r="T748" s="4" t="str">
        <f t="shared" si="59"/>
        <v>Dissatisfied</v>
      </c>
    </row>
    <row r="749" spans="1:20" x14ac:dyDescent="0.3">
      <c r="A749" t="s">
        <v>952</v>
      </c>
      <c r="B749" t="s">
        <v>96</v>
      </c>
      <c r="C749" t="s">
        <v>37</v>
      </c>
      <c r="D749">
        <v>30</v>
      </c>
      <c r="E749" t="s">
        <v>49</v>
      </c>
      <c r="F749" t="s">
        <v>50</v>
      </c>
      <c r="G749" t="s">
        <v>28</v>
      </c>
      <c r="H749">
        <v>78000</v>
      </c>
      <c r="I749">
        <v>5</v>
      </c>
      <c r="J749">
        <v>2</v>
      </c>
      <c r="K749">
        <v>3</v>
      </c>
      <c r="L749" t="s">
        <v>29</v>
      </c>
      <c r="M749" t="s">
        <v>29</v>
      </c>
      <c r="N749" t="s">
        <v>34</v>
      </c>
      <c r="O749" t="s">
        <v>54</v>
      </c>
      <c r="P749" t="str">
        <f t="shared" si="55"/>
        <v>30-39</v>
      </c>
      <c r="Q749" t="str">
        <f t="shared" si="56"/>
        <v>High</v>
      </c>
      <c r="R749" t="str">
        <f t="shared" si="57"/>
        <v>Mid-Level</v>
      </c>
      <c r="S749" t="str">
        <f t="shared" si="58"/>
        <v>Needs Improvement</v>
      </c>
      <c r="T749" s="4" t="str">
        <f t="shared" si="59"/>
        <v>Neutral</v>
      </c>
    </row>
    <row r="750" spans="1:20" x14ac:dyDescent="0.3">
      <c r="A750" t="s">
        <v>953</v>
      </c>
      <c r="B750" t="s">
        <v>666</v>
      </c>
      <c r="C750" t="s">
        <v>17</v>
      </c>
      <c r="D750">
        <v>32</v>
      </c>
      <c r="E750" t="s">
        <v>26</v>
      </c>
      <c r="F750" t="s">
        <v>50</v>
      </c>
      <c r="G750" t="s">
        <v>28</v>
      </c>
      <c r="H750">
        <v>71000</v>
      </c>
      <c r="I750">
        <v>7</v>
      </c>
      <c r="J750">
        <v>4</v>
      </c>
      <c r="K750">
        <v>3</v>
      </c>
      <c r="L750" t="s">
        <v>21</v>
      </c>
      <c r="M750" t="s">
        <v>29</v>
      </c>
      <c r="N750" t="s">
        <v>22</v>
      </c>
      <c r="O750" t="s">
        <v>54</v>
      </c>
      <c r="P750" t="str">
        <f t="shared" si="55"/>
        <v>30-39</v>
      </c>
      <c r="Q750" t="str">
        <f t="shared" si="56"/>
        <v>High</v>
      </c>
      <c r="R750" t="str">
        <f t="shared" si="57"/>
        <v>Senior</v>
      </c>
      <c r="S750" t="str">
        <f t="shared" si="58"/>
        <v>High Performer</v>
      </c>
      <c r="T750" s="4" t="str">
        <f t="shared" si="59"/>
        <v>Neutral</v>
      </c>
    </row>
    <row r="751" spans="1:20" x14ac:dyDescent="0.3">
      <c r="A751" t="s">
        <v>954</v>
      </c>
      <c r="B751" t="s">
        <v>160</v>
      </c>
      <c r="C751" t="s">
        <v>37</v>
      </c>
      <c r="D751">
        <v>30</v>
      </c>
      <c r="E751" t="s">
        <v>66</v>
      </c>
      <c r="F751" t="s">
        <v>67</v>
      </c>
      <c r="G751" t="s">
        <v>33</v>
      </c>
      <c r="H751">
        <v>34000</v>
      </c>
      <c r="I751">
        <v>9</v>
      </c>
      <c r="J751">
        <v>2</v>
      </c>
      <c r="K751">
        <v>3</v>
      </c>
      <c r="L751" t="s">
        <v>21</v>
      </c>
      <c r="M751" t="s">
        <v>29</v>
      </c>
      <c r="N751" t="s">
        <v>22</v>
      </c>
      <c r="O751" t="s">
        <v>51</v>
      </c>
      <c r="P751" t="str">
        <f t="shared" si="55"/>
        <v>30-39</v>
      </c>
      <c r="Q751" t="str">
        <f t="shared" si="56"/>
        <v>Low</v>
      </c>
      <c r="R751" t="str">
        <f t="shared" si="57"/>
        <v>Senior</v>
      </c>
      <c r="S751" t="str">
        <f t="shared" si="58"/>
        <v>Needs Improvement</v>
      </c>
      <c r="T751" s="4" t="str">
        <f t="shared" si="59"/>
        <v>Neutral</v>
      </c>
    </row>
    <row r="752" spans="1:20" x14ac:dyDescent="0.3">
      <c r="A752" t="s">
        <v>955</v>
      </c>
      <c r="B752" t="s">
        <v>92</v>
      </c>
      <c r="C752" t="s">
        <v>17</v>
      </c>
      <c r="D752">
        <v>22</v>
      </c>
      <c r="E752" t="s">
        <v>49</v>
      </c>
      <c r="F752" t="s">
        <v>27</v>
      </c>
      <c r="G752" t="s">
        <v>28</v>
      </c>
      <c r="H752">
        <v>31000</v>
      </c>
      <c r="I752">
        <v>1</v>
      </c>
      <c r="J752">
        <v>4</v>
      </c>
      <c r="K752">
        <v>4</v>
      </c>
      <c r="L752" t="s">
        <v>29</v>
      </c>
      <c r="M752" t="s">
        <v>29</v>
      </c>
      <c r="N752" t="s">
        <v>22</v>
      </c>
      <c r="O752" t="s">
        <v>43</v>
      </c>
      <c r="P752" t="str">
        <f t="shared" si="55"/>
        <v>20-29</v>
      </c>
      <c r="Q752" t="str">
        <f t="shared" si="56"/>
        <v>Low</v>
      </c>
      <c r="R752" t="str">
        <f t="shared" si="57"/>
        <v>Junior</v>
      </c>
      <c r="S752" t="str">
        <f t="shared" si="58"/>
        <v>High Performer</v>
      </c>
      <c r="T752" s="4" t="str">
        <f t="shared" si="59"/>
        <v>Satisfied</v>
      </c>
    </row>
    <row r="753" spans="1:20" x14ac:dyDescent="0.3">
      <c r="A753" t="s">
        <v>956</v>
      </c>
      <c r="B753" t="s">
        <v>154</v>
      </c>
      <c r="C753" t="s">
        <v>37</v>
      </c>
      <c r="D753">
        <v>55</v>
      </c>
      <c r="E753" t="s">
        <v>26</v>
      </c>
      <c r="F753" t="s">
        <v>50</v>
      </c>
      <c r="G753" t="s">
        <v>46</v>
      </c>
      <c r="H753">
        <v>81000</v>
      </c>
      <c r="I753">
        <v>6</v>
      </c>
      <c r="J753">
        <v>2</v>
      </c>
      <c r="K753">
        <v>5</v>
      </c>
      <c r="L753" t="s">
        <v>29</v>
      </c>
      <c r="M753" t="s">
        <v>29</v>
      </c>
      <c r="N753" t="s">
        <v>22</v>
      </c>
      <c r="O753" t="s">
        <v>23</v>
      </c>
      <c r="P753" t="str">
        <f t="shared" si="55"/>
        <v>50+</v>
      </c>
      <c r="Q753" t="str">
        <f t="shared" si="56"/>
        <v>High</v>
      </c>
      <c r="R753" t="str">
        <f t="shared" si="57"/>
        <v>Mid-Level</v>
      </c>
      <c r="S753" t="str">
        <f t="shared" si="58"/>
        <v>Needs Improvement</v>
      </c>
      <c r="T753" s="4" t="str">
        <f t="shared" si="59"/>
        <v>Satisfied</v>
      </c>
    </row>
    <row r="754" spans="1:20" x14ac:dyDescent="0.3">
      <c r="A754" t="s">
        <v>957</v>
      </c>
      <c r="B754" t="s">
        <v>69</v>
      </c>
      <c r="C754" t="s">
        <v>17</v>
      </c>
      <c r="D754">
        <v>24</v>
      </c>
      <c r="E754" t="s">
        <v>66</v>
      </c>
      <c r="F754" t="s">
        <v>82</v>
      </c>
      <c r="G754" t="s">
        <v>20</v>
      </c>
      <c r="H754">
        <v>80000</v>
      </c>
      <c r="I754">
        <v>3</v>
      </c>
      <c r="J754">
        <v>5</v>
      </c>
      <c r="K754">
        <v>4</v>
      </c>
      <c r="L754" t="s">
        <v>21</v>
      </c>
      <c r="M754" t="s">
        <v>29</v>
      </c>
      <c r="N754" t="s">
        <v>34</v>
      </c>
      <c r="O754" t="s">
        <v>43</v>
      </c>
      <c r="P754" t="str">
        <f t="shared" si="55"/>
        <v>20-29</v>
      </c>
      <c r="Q754" t="str">
        <f t="shared" si="56"/>
        <v>High</v>
      </c>
      <c r="R754" t="str">
        <f t="shared" si="57"/>
        <v>Mid-Level</v>
      </c>
      <c r="S754" t="str">
        <f t="shared" si="58"/>
        <v>High Performer</v>
      </c>
      <c r="T754" s="4" t="str">
        <f t="shared" si="59"/>
        <v>Satisfied</v>
      </c>
    </row>
    <row r="755" spans="1:20" x14ac:dyDescent="0.3">
      <c r="A755" t="s">
        <v>958</v>
      </c>
      <c r="B755" t="s">
        <v>470</v>
      </c>
      <c r="C755" t="s">
        <v>37</v>
      </c>
      <c r="D755">
        <v>40</v>
      </c>
      <c r="E755" t="s">
        <v>49</v>
      </c>
      <c r="F755" t="s">
        <v>50</v>
      </c>
      <c r="G755" t="s">
        <v>28</v>
      </c>
      <c r="H755">
        <v>73000</v>
      </c>
      <c r="I755">
        <v>10</v>
      </c>
      <c r="J755">
        <v>5</v>
      </c>
      <c r="K755">
        <v>3</v>
      </c>
      <c r="L755" t="s">
        <v>21</v>
      </c>
      <c r="M755" t="s">
        <v>29</v>
      </c>
      <c r="N755" t="s">
        <v>34</v>
      </c>
      <c r="O755" t="s">
        <v>54</v>
      </c>
      <c r="P755" t="str">
        <f t="shared" si="55"/>
        <v>40-49</v>
      </c>
      <c r="Q755" t="str">
        <f t="shared" si="56"/>
        <v>High</v>
      </c>
      <c r="R755" t="str">
        <f t="shared" si="57"/>
        <v>Senior</v>
      </c>
      <c r="S755" t="str">
        <f t="shared" si="58"/>
        <v>High Performer</v>
      </c>
      <c r="T755" s="4" t="str">
        <f t="shared" si="59"/>
        <v>Neutral</v>
      </c>
    </row>
    <row r="756" spans="1:20" x14ac:dyDescent="0.3">
      <c r="A756" t="s">
        <v>959</v>
      </c>
      <c r="B756" t="s">
        <v>215</v>
      </c>
      <c r="C756" t="s">
        <v>37</v>
      </c>
      <c r="D756">
        <v>26</v>
      </c>
      <c r="E756" t="s">
        <v>18</v>
      </c>
      <c r="F756" t="s">
        <v>19</v>
      </c>
      <c r="G756" t="s">
        <v>28</v>
      </c>
      <c r="H756">
        <v>40000</v>
      </c>
      <c r="I756">
        <v>5</v>
      </c>
      <c r="J756">
        <v>4</v>
      </c>
      <c r="K756">
        <v>3</v>
      </c>
      <c r="L756" t="s">
        <v>29</v>
      </c>
      <c r="M756" t="s">
        <v>29</v>
      </c>
      <c r="N756" t="s">
        <v>22</v>
      </c>
      <c r="O756" t="s">
        <v>75</v>
      </c>
      <c r="P756" t="str">
        <f t="shared" si="55"/>
        <v>20-29</v>
      </c>
      <c r="Q756" t="str">
        <f t="shared" si="56"/>
        <v>Medium</v>
      </c>
      <c r="R756" t="str">
        <f t="shared" si="57"/>
        <v>Mid-Level</v>
      </c>
      <c r="S756" t="str">
        <f t="shared" si="58"/>
        <v>High Performer</v>
      </c>
      <c r="T756" s="4" t="str">
        <f t="shared" si="59"/>
        <v>Neutral</v>
      </c>
    </row>
    <row r="757" spans="1:20" x14ac:dyDescent="0.3">
      <c r="A757" t="s">
        <v>960</v>
      </c>
      <c r="B757" t="s">
        <v>326</v>
      </c>
      <c r="C757" t="s">
        <v>37</v>
      </c>
      <c r="D757">
        <v>41</v>
      </c>
      <c r="E757" t="s">
        <v>41</v>
      </c>
      <c r="F757" t="s">
        <v>73</v>
      </c>
      <c r="G757" t="s">
        <v>28</v>
      </c>
      <c r="H757">
        <v>108000</v>
      </c>
      <c r="I757">
        <v>3</v>
      </c>
      <c r="J757">
        <v>2</v>
      </c>
      <c r="K757">
        <v>5</v>
      </c>
      <c r="L757" t="s">
        <v>29</v>
      </c>
      <c r="M757" t="s">
        <v>29</v>
      </c>
      <c r="N757" t="s">
        <v>22</v>
      </c>
      <c r="O757" t="s">
        <v>23</v>
      </c>
      <c r="P757" t="str">
        <f t="shared" si="55"/>
        <v>40-49</v>
      </c>
      <c r="Q757" t="str">
        <f t="shared" si="56"/>
        <v>High</v>
      </c>
      <c r="R757" t="str">
        <f t="shared" si="57"/>
        <v>Mid-Level</v>
      </c>
      <c r="S757" t="str">
        <f t="shared" si="58"/>
        <v>Needs Improvement</v>
      </c>
      <c r="T757" s="4" t="str">
        <f t="shared" si="59"/>
        <v>Satisfied</v>
      </c>
    </row>
    <row r="758" spans="1:20" x14ac:dyDescent="0.3">
      <c r="A758" t="s">
        <v>961</v>
      </c>
      <c r="B758" t="s">
        <v>284</v>
      </c>
      <c r="C758" t="s">
        <v>17</v>
      </c>
      <c r="D758">
        <v>22</v>
      </c>
      <c r="E758" t="s">
        <v>26</v>
      </c>
      <c r="F758" t="s">
        <v>50</v>
      </c>
      <c r="G758" t="s">
        <v>33</v>
      </c>
      <c r="H758">
        <v>89000</v>
      </c>
      <c r="I758">
        <v>1</v>
      </c>
      <c r="J758">
        <v>2</v>
      </c>
      <c r="K758">
        <v>2</v>
      </c>
      <c r="L758" t="s">
        <v>21</v>
      </c>
      <c r="M758" t="s">
        <v>21</v>
      </c>
      <c r="N758" t="s">
        <v>34</v>
      </c>
      <c r="O758" t="s">
        <v>75</v>
      </c>
      <c r="P758" t="str">
        <f t="shared" si="55"/>
        <v>20-29</v>
      </c>
      <c r="Q758" t="str">
        <f t="shared" si="56"/>
        <v>High</v>
      </c>
      <c r="R758" t="str">
        <f t="shared" si="57"/>
        <v>Junior</v>
      </c>
      <c r="S758" t="str">
        <f t="shared" si="58"/>
        <v>Needs Improvement</v>
      </c>
      <c r="T758" s="4" t="str">
        <f t="shared" si="59"/>
        <v>Dissatisfied</v>
      </c>
    </row>
    <row r="759" spans="1:20" x14ac:dyDescent="0.3">
      <c r="A759" t="s">
        <v>962</v>
      </c>
      <c r="B759" t="s">
        <v>470</v>
      </c>
      <c r="C759" t="s">
        <v>17</v>
      </c>
      <c r="D759">
        <v>25</v>
      </c>
      <c r="E759" t="s">
        <v>18</v>
      </c>
      <c r="F759" t="s">
        <v>126</v>
      </c>
      <c r="G759" t="s">
        <v>28</v>
      </c>
      <c r="H759">
        <v>43000</v>
      </c>
      <c r="I759">
        <v>4</v>
      </c>
      <c r="J759">
        <v>4</v>
      </c>
      <c r="K759">
        <v>1</v>
      </c>
      <c r="L759" t="s">
        <v>21</v>
      </c>
      <c r="M759" t="s">
        <v>21</v>
      </c>
      <c r="N759" t="s">
        <v>34</v>
      </c>
      <c r="O759" t="s">
        <v>54</v>
      </c>
      <c r="P759" t="str">
        <f t="shared" si="55"/>
        <v>20-29</v>
      </c>
      <c r="Q759" t="str">
        <f t="shared" si="56"/>
        <v>Medium</v>
      </c>
      <c r="R759" t="str">
        <f t="shared" si="57"/>
        <v>Mid-Level</v>
      </c>
      <c r="S759" t="str">
        <f t="shared" si="58"/>
        <v>High Performer</v>
      </c>
      <c r="T759" s="4" t="str">
        <f t="shared" si="59"/>
        <v>Dissatisfied</v>
      </c>
    </row>
    <row r="760" spans="1:20" x14ac:dyDescent="0.3">
      <c r="A760" t="s">
        <v>963</v>
      </c>
      <c r="B760" t="s">
        <v>116</v>
      </c>
      <c r="C760" t="s">
        <v>37</v>
      </c>
      <c r="D760">
        <v>39</v>
      </c>
      <c r="E760" t="s">
        <v>18</v>
      </c>
      <c r="F760" t="s">
        <v>19</v>
      </c>
      <c r="G760" t="s">
        <v>28</v>
      </c>
      <c r="H760">
        <v>48000</v>
      </c>
      <c r="I760">
        <v>12</v>
      </c>
      <c r="J760">
        <v>3</v>
      </c>
      <c r="K760">
        <v>5</v>
      </c>
      <c r="L760" t="s">
        <v>21</v>
      </c>
      <c r="M760" t="s">
        <v>29</v>
      </c>
      <c r="N760" t="s">
        <v>34</v>
      </c>
      <c r="O760" t="s">
        <v>23</v>
      </c>
      <c r="P760" t="str">
        <f t="shared" si="55"/>
        <v>30-39</v>
      </c>
      <c r="Q760" t="str">
        <f t="shared" si="56"/>
        <v>Medium</v>
      </c>
      <c r="R760" t="str">
        <f t="shared" si="57"/>
        <v>Senior</v>
      </c>
      <c r="S760" t="str">
        <f t="shared" si="58"/>
        <v>Needs Improvement</v>
      </c>
      <c r="T760" s="4" t="str">
        <f t="shared" si="59"/>
        <v>Satisfied</v>
      </c>
    </row>
    <row r="761" spans="1:20" x14ac:dyDescent="0.3">
      <c r="A761" t="s">
        <v>964</v>
      </c>
      <c r="B761" t="s">
        <v>543</v>
      </c>
      <c r="C761" t="s">
        <v>37</v>
      </c>
      <c r="D761">
        <v>39</v>
      </c>
      <c r="E761" t="s">
        <v>66</v>
      </c>
      <c r="F761" t="s">
        <v>67</v>
      </c>
      <c r="G761" t="s">
        <v>28</v>
      </c>
      <c r="H761">
        <v>61000</v>
      </c>
      <c r="I761">
        <v>11</v>
      </c>
      <c r="J761">
        <v>3</v>
      </c>
      <c r="K761">
        <v>3</v>
      </c>
      <c r="L761" t="s">
        <v>21</v>
      </c>
      <c r="M761" t="s">
        <v>29</v>
      </c>
      <c r="N761" t="s">
        <v>22</v>
      </c>
      <c r="O761" t="s">
        <v>51</v>
      </c>
      <c r="P761" t="str">
        <f t="shared" si="55"/>
        <v>30-39</v>
      </c>
      <c r="Q761" t="str">
        <f t="shared" si="56"/>
        <v>Medium</v>
      </c>
      <c r="R761" t="str">
        <f t="shared" si="57"/>
        <v>Senior</v>
      </c>
      <c r="S761" t="str">
        <f t="shared" si="58"/>
        <v>Needs Improvement</v>
      </c>
      <c r="T761" s="4" t="str">
        <f t="shared" si="59"/>
        <v>Neutral</v>
      </c>
    </row>
    <row r="762" spans="1:20" x14ac:dyDescent="0.3">
      <c r="A762" t="s">
        <v>965</v>
      </c>
      <c r="B762" t="s">
        <v>109</v>
      </c>
      <c r="C762" t="s">
        <v>37</v>
      </c>
      <c r="D762">
        <v>52</v>
      </c>
      <c r="E762" t="s">
        <v>57</v>
      </c>
      <c r="F762" t="s">
        <v>27</v>
      </c>
      <c r="G762" t="s">
        <v>33</v>
      </c>
      <c r="H762">
        <v>103000</v>
      </c>
      <c r="I762">
        <v>13</v>
      </c>
      <c r="J762">
        <v>3</v>
      </c>
      <c r="K762">
        <v>2</v>
      </c>
      <c r="L762" t="s">
        <v>21</v>
      </c>
      <c r="M762" t="s">
        <v>21</v>
      </c>
      <c r="N762" t="s">
        <v>34</v>
      </c>
      <c r="O762" t="s">
        <v>38</v>
      </c>
      <c r="P762" t="str">
        <f t="shared" si="55"/>
        <v>50+</v>
      </c>
      <c r="Q762" t="str">
        <f t="shared" si="56"/>
        <v>High</v>
      </c>
      <c r="R762" t="str">
        <f t="shared" si="57"/>
        <v>Senior</v>
      </c>
      <c r="S762" t="str">
        <f t="shared" si="58"/>
        <v>Needs Improvement</v>
      </c>
      <c r="T762" s="4" t="str">
        <f t="shared" si="59"/>
        <v>Dissatisfied</v>
      </c>
    </row>
    <row r="763" spans="1:20" x14ac:dyDescent="0.3">
      <c r="A763" t="s">
        <v>966</v>
      </c>
      <c r="B763" t="s">
        <v>120</v>
      </c>
      <c r="C763" t="s">
        <v>37</v>
      </c>
      <c r="D763">
        <v>46</v>
      </c>
      <c r="E763" t="s">
        <v>57</v>
      </c>
      <c r="F763" t="s">
        <v>27</v>
      </c>
      <c r="G763" t="s">
        <v>28</v>
      </c>
      <c r="H763">
        <v>31000</v>
      </c>
      <c r="I763">
        <v>10</v>
      </c>
      <c r="J763">
        <v>3</v>
      </c>
      <c r="K763">
        <v>2</v>
      </c>
      <c r="L763" t="s">
        <v>29</v>
      </c>
      <c r="M763" t="s">
        <v>21</v>
      </c>
      <c r="N763" t="s">
        <v>34</v>
      </c>
      <c r="O763" t="s">
        <v>23</v>
      </c>
      <c r="P763" t="str">
        <f t="shared" si="55"/>
        <v>40-49</v>
      </c>
      <c r="Q763" t="str">
        <f t="shared" si="56"/>
        <v>Low</v>
      </c>
      <c r="R763" t="str">
        <f t="shared" si="57"/>
        <v>Senior</v>
      </c>
      <c r="S763" t="str">
        <f t="shared" si="58"/>
        <v>Needs Improvement</v>
      </c>
      <c r="T763" s="4" t="str">
        <f t="shared" si="59"/>
        <v>Dissatisfied</v>
      </c>
    </row>
    <row r="764" spans="1:20" x14ac:dyDescent="0.3">
      <c r="A764" t="s">
        <v>967</v>
      </c>
      <c r="B764" t="s">
        <v>302</v>
      </c>
      <c r="C764" t="s">
        <v>17</v>
      </c>
      <c r="D764">
        <v>54</v>
      </c>
      <c r="E764" t="s">
        <v>26</v>
      </c>
      <c r="F764" t="s">
        <v>50</v>
      </c>
      <c r="G764" t="s">
        <v>46</v>
      </c>
      <c r="H764">
        <v>46000</v>
      </c>
      <c r="I764">
        <v>13</v>
      </c>
      <c r="J764">
        <v>4</v>
      </c>
      <c r="K764">
        <v>3</v>
      </c>
      <c r="L764" t="s">
        <v>21</v>
      </c>
      <c r="M764" t="s">
        <v>29</v>
      </c>
      <c r="N764" t="s">
        <v>22</v>
      </c>
      <c r="O764" t="s">
        <v>43</v>
      </c>
      <c r="P764" t="str">
        <f t="shared" si="55"/>
        <v>50+</v>
      </c>
      <c r="Q764" t="str">
        <f t="shared" si="56"/>
        <v>Medium</v>
      </c>
      <c r="R764" t="str">
        <f t="shared" si="57"/>
        <v>Senior</v>
      </c>
      <c r="S764" t="str">
        <f t="shared" si="58"/>
        <v>High Performer</v>
      </c>
      <c r="T764" s="4" t="str">
        <f t="shared" si="59"/>
        <v>Neutral</v>
      </c>
    </row>
    <row r="765" spans="1:20" x14ac:dyDescent="0.3">
      <c r="A765" t="s">
        <v>968</v>
      </c>
      <c r="B765" t="s">
        <v>128</v>
      </c>
      <c r="C765" t="s">
        <v>17</v>
      </c>
      <c r="D765">
        <v>36</v>
      </c>
      <c r="E765" t="s">
        <v>57</v>
      </c>
      <c r="F765" t="s">
        <v>27</v>
      </c>
      <c r="G765" t="s">
        <v>46</v>
      </c>
      <c r="H765">
        <v>36000</v>
      </c>
      <c r="I765">
        <v>15</v>
      </c>
      <c r="J765">
        <v>4</v>
      </c>
      <c r="K765">
        <v>2</v>
      </c>
      <c r="L765" t="s">
        <v>21</v>
      </c>
      <c r="M765" t="s">
        <v>21</v>
      </c>
      <c r="N765" t="s">
        <v>34</v>
      </c>
      <c r="O765" t="s">
        <v>70</v>
      </c>
      <c r="P765" t="str">
        <f t="shared" si="55"/>
        <v>30-39</v>
      </c>
      <c r="Q765" t="str">
        <f t="shared" si="56"/>
        <v>Low</v>
      </c>
      <c r="R765" t="str">
        <f t="shared" si="57"/>
        <v>Senior</v>
      </c>
      <c r="S765" t="str">
        <f t="shared" si="58"/>
        <v>High Performer</v>
      </c>
      <c r="T765" s="4" t="str">
        <f t="shared" si="59"/>
        <v>Dissatisfied</v>
      </c>
    </row>
    <row r="766" spans="1:20" x14ac:dyDescent="0.3">
      <c r="A766" t="s">
        <v>969</v>
      </c>
      <c r="B766" t="s">
        <v>114</v>
      </c>
      <c r="C766" t="s">
        <v>17</v>
      </c>
      <c r="D766">
        <v>55</v>
      </c>
      <c r="E766" t="s">
        <v>49</v>
      </c>
      <c r="F766" t="s">
        <v>50</v>
      </c>
      <c r="G766" t="s">
        <v>28</v>
      </c>
      <c r="H766">
        <v>119000</v>
      </c>
      <c r="I766">
        <v>9</v>
      </c>
      <c r="J766">
        <v>4</v>
      </c>
      <c r="K766">
        <v>3</v>
      </c>
      <c r="L766" t="s">
        <v>21</v>
      </c>
      <c r="M766" t="s">
        <v>29</v>
      </c>
      <c r="N766" t="s">
        <v>22</v>
      </c>
      <c r="O766" t="s">
        <v>30</v>
      </c>
      <c r="P766" t="str">
        <f t="shared" si="55"/>
        <v>50+</v>
      </c>
      <c r="Q766" t="str">
        <f t="shared" si="56"/>
        <v>High</v>
      </c>
      <c r="R766" t="str">
        <f t="shared" si="57"/>
        <v>Senior</v>
      </c>
      <c r="S766" t="str">
        <f t="shared" si="58"/>
        <v>High Performer</v>
      </c>
      <c r="T766" s="4" t="str">
        <f t="shared" si="59"/>
        <v>Neutral</v>
      </c>
    </row>
    <row r="767" spans="1:20" x14ac:dyDescent="0.3">
      <c r="A767" t="s">
        <v>970</v>
      </c>
      <c r="B767" t="s">
        <v>168</v>
      </c>
      <c r="C767" t="s">
        <v>17</v>
      </c>
      <c r="D767">
        <v>53</v>
      </c>
      <c r="E767" t="s">
        <v>66</v>
      </c>
      <c r="F767" t="s">
        <v>67</v>
      </c>
      <c r="G767" t="s">
        <v>28</v>
      </c>
      <c r="H767">
        <v>51000</v>
      </c>
      <c r="I767">
        <v>1</v>
      </c>
      <c r="J767">
        <v>4</v>
      </c>
      <c r="K767">
        <v>5</v>
      </c>
      <c r="L767" t="s">
        <v>29</v>
      </c>
      <c r="M767" t="s">
        <v>29</v>
      </c>
      <c r="N767" t="s">
        <v>34</v>
      </c>
      <c r="O767" t="s">
        <v>54</v>
      </c>
      <c r="P767" t="str">
        <f t="shared" si="55"/>
        <v>50+</v>
      </c>
      <c r="Q767" t="str">
        <f t="shared" si="56"/>
        <v>Medium</v>
      </c>
      <c r="R767" t="str">
        <f t="shared" si="57"/>
        <v>Junior</v>
      </c>
      <c r="S767" t="str">
        <f t="shared" si="58"/>
        <v>High Performer</v>
      </c>
      <c r="T767" s="4" t="str">
        <f t="shared" si="59"/>
        <v>Satisfied</v>
      </c>
    </row>
    <row r="768" spans="1:20" x14ac:dyDescent="0.3">
      <c r="A768" t="s">
        <v>971</v>
      </c>
      <c r="B768" t="s">
        <v>815</v>
      </c>
      <c r="C768" t="s">
        <v>17</v>
      </c>
      <c r="D768">
        <v>24</v>
      </c>
      <c r="E768" t="s">
        <v>66</v>
      </c>
      <c r="F768" t="s">
        <v>67</v>
      </c>
      <c r="G768" t="s">
        <v>28</v>
      </c>
      <c r="H768">
        <v>84000</v>
      </c>
      <c r="I768">
        <v>1</v>
      </c>
      <c r="J768">
        <v>4</v>
      </c>
      <c r="K768">
        <v>1</v>
      </c>
      <c r="L768" t="s">
        <v>21</v>
      </c>
      <c r="M768" t="s">
        <v>21</v>
      </c>
      <c r="N768" t="s">
        <v>34</v>
      </c>
      <c r="O768" t="s">
        <v>70</v>
      </c>
      <c r="P768" t="str">
        <f t="shared" si="55"/>
        <v>20-29</v>
      </c>
      <c r="Q768" t="str">
        <f t="shared" si="56"/>
        <v>High</v>
      </c>
      <c r="R768" t="str">
        <f t="shared" si="57"/>
        <v>Junior</v>
      </c>
      <c r="S768" t="str">
        <f t="shared" si="58"/>
        <v>High Performer</v>
      </c>
      <c r="T768" s="4" t="str">
        <f t="shared" si="59"/>
        <v>Dissatisfied</v>
      </c>
    </row>
    <row r="769" spans="1:20" x14ac:dyDescent="0.3">
      <c r="A769" t="s">
        <v>972</v>
      </c>
      <c r="B769" t="s">
        <v>379</v>
      </c>
      <c r="C769" t="s">
        <v>37</v>
      </c>
      <c r="D769">
        <v>30</v>
      </c>
      <c r="E769" t="s">
        <v>26</v>
      </c>
      <c r="F769" t="s">
        <v>27</v>
      </c>
      <c r="G769" t="s">
        <v>33</v>
      </c>
      <c r="H769">
        <v>96000</v>
      </c>
      <c r="I769">
        <v>1</v>
      </c>
      <c r="J769">
        <v>3</v>
      </c>
      <c r="K769">
        <v>3</v>
      </c>
      <c r="L769" t="s">
        <v>21</v>
      </c>
      <c r="M769" t="s">
        <v>21</v>
      </c>
      <c r="N769" t="s">
        <v>34</v>
      </c>
      <c r="O769" t="s">
        <v>23</v>
      </c>
      <c r="P769" t="str">
        <f t="shared" si="55"/>
        <v>30-39</v>
      </c>
      <c r="Q769" t="str">
        <f t="shared" si="56"/>
        <v>High</v>
      </c>
      <c r="R769" t="str">
        <f t="shared" si="57"/>
        <v>Junior</v>
      </c>
      <c r="S769" t="str">
        <f t="shared" si="58"/>
        <v>Needs Improvement</v>
      </c>
      <c r="T769" s="4" t="str">
        <f t="shared" si="59"/>
        <v>Neutral</v>
      </c>
    </row>
    <row r="770" spans="1:20" x14ac:dyDescent="0.3">
      <c r="A770" t="s">
        <v>973</v>
      </c>
      <c r="B770" t="s">
        <v>88</v>
      </c>
      <c r="C770" t="s">
        <v>17</v>
      </c>
      <c r="D770">
        <v>32</v>
      </c>
      <c r="E770" t="s">
        <v>26</v>
      </c>
      <c r="F770" t="s">
        <v>27</v>
      </c>
      <c r="G770" t="s">
        <v>46</v>
      </c>
      <c r="H770">
        <v>69000</v>
      </c>
      <c r="I770">
        <v>3</v>
      </c>
      <c r="J770">
        <v>2</v>
      </c>
      <c r="K770">
        <v>5</v>
      </c>
      <c r="L770" t="s">
        <v>29</v>
      </c>
      <c r="M770" t="s">
        <v>29</v>
      </c>
      <c r="N770" t="s">
        <v>22</v>
      </c>
      <c r="O770" t="s">
        <v>75</v>
      </c>
      <c r="P770" t="str">
        <f t="shared" ref="P770:P833" si="60">IF(D770&lt;30,"20-29",IF(D770&lt;40,"30-39",IF(D770&lt;50,"40-49","50+")))</f>
        <v>30-39</v>
      </c>
      <c r="Q770" t="str">
        <f t="shared" ref="Q770:Q833" si="61">IF(H770&lt;40000,"Low",IF(H770&lt;70000,"Medium","High"))</f>
        <v>Medium</v>
      </c>
      <c r="R770" t="str">
        <f t="shared" ref="R770:R833" si="62">IF(I770&lt;3,"Junior",IF(I770&lt;7,"Mid-Level","Senior"))</f>
        <v>Mid-Level</v>
      </c>
      <c r="S770" t="str">
        <f t="shared" ref="S770:S833" si="63">IF(J770&gt;=4,"High Performer","Needs Improvement")</f>
        <v>Needs Improvement</v>
      </c>
      <c r="T770" s="4" t="str">
        <f t="shared" ref="T770:T833" si="64">IF(K770&gt;=4,"Satisfied",IF(K770=3,"Neutral","Dissatisfied"))</f>
        <v>Satisfied</v>
      </c>
    </row>
    <row r="771" spans="1:20" x14ac:dyDescent="0.3">
      <c r="A771" t="s">
        <v>974</v>
      </c>
      <c r="B771" t="s">
        <v>446</v>
      </c>
      <c r="C771" t="s">
        <v>37</v>
      </c>
      <c r="D771">
        <v>41</v>
      </c>
      <c r="E771" t="s">
        <v>18</v>
      </c>
      <c r="F771" t="s">
        <v>19</v>
      </c>
      <c r="G771" t="s">
        <v>46</v>
      </c>
      <c r="H771">
        <v>102000</v>
      </c>
      <c r="I771">
        <v>4</v>
      </c>
      <c r="J771">
        <v>4</v>
      </c>
      <c r="K771">
        <v>2</v>
      </c>
      <c r="L771" t="s">
        <v>21</v>
      </c>
      <c r="M771" t="s">
        <v>21</v>
      </c>
      <c r="N771" t="s">
        <v>34</v>
      </c>
      <c r="O771" t="s">
        <v>54</v>
      </c>
      <c r="P771" t="str">
        <f t="shared" si="60"/>
        <v>40-49</v>
      </c>
      <c r="Q771" t="str">
        <f t="shared" si="61"/>
        <v>High</v>
      </c>
      <c r="R771" t="str">
        <f t="shared" si="62"/>
        <v>Mid-Level</v>
      </c>
      <c r="S771" t="str">
        <f t="shared" si="63"/>
        <v>High Performer</v>
      </c>
      <c r="T771" s="4" t="str">
        <f t="shared" si="64"/>
        <v>Dissatisfied</v>
      </c>
    </row>
    <row r="772" spans="1:20" x14ac:dyDescent="0.3">
      <c r="A772" t="s">
        <v>975</v>
      </c>
      <c r="B772" t="s">
        <v>104</v>
      </c>
      <c r="C772" t="s">
        <v>17</v>
      </c>
      <c r="D772">
        <v>53</v>
      </c>
      <c r="E772" t="s">
        <v>66</v>
      </c>
      <c r="F772" t="s">
        <v>67</v>
      </c>
      <c r="G772" t="s">
        <v>33</v>
      </c>
      <c r="H772">
        <v>32000</v>
      </c>
      <c r="I772">
        <v>8</v>
      </c>
      <c r="J772">
        <v>5</v>
      </c>
      <c r="K772">
        <v>1</v>
      </c>
      <c r="L772" t="s">
        <v>21</v>
      </c>
      <c r="M772" t="s">
        <v>21</v>
      </c>
      <c r="N772" t="s">
        <v>22</v>
      </c>
      <c r="O772" t="s">
        <v>54</v>
      </c>
      <c r="P772" t="str">
        <f t="shared" si="60"/>
        <v>50+</v>
      </c>
      <c r="Q772" t="str">
        <f t="shared" si="61"/>
        <v>Low</v>
      </c>
      <c r="R772" t="str">
        <f t="shared" si="62"/>
        <v>Senior</v>
      </c>
      <c r="S772" t="str">
        <f t="shared" si="63"/>
        <v>High Performer</v>
      </c>
      <c r="T772" s="4" t="str">
        <f t="shared" si="64"/>
        <v>Dissatisfied</v>
      </c>
    </row>
    <row r="773" spans="1:20" x14ac:dyDescent="0.3">
      <c r="A773" t="s">
        <v>976</v>
      </c>
      <c r="B773" t="s">
        <v>40</v>
      </c>
      <c r="C773" t="s">
        <v>17</v>
      </c>
      <c r="D773">
        <v>43</v>
      </c>
      <c r="E773" t="s">
        <v>26</v>
      </c>
      <c r="F773" t="s">
        <v>27</v>
      </c>
      <c r="G773" t="s">
        <v>33</v>
      </c>
      <c r="H773">
        <v>36000</v>
      </c>
      <c r="I773">
        <v>9</v>
      </c>
      <c r="J773">
        <v>3</v>
      </c>
      <c r="K773">
        <v>2</v>
      </c>
      <c r="L773" t="s">
        <v>21</v>
      </c>
      <c r="M773" t="s">
        <v>29</v>
      </c>
      <c r="N773" t="s">
        <v>22</v>
      </c>
      <c r="O773" t="s">
        <v>75</v>
      </c>
      <c r="P773" t="str">
        <f t="shared" si="60"/>
        <v>40-49</v>
      </c>
      <c r="Q773" t="str">
        <f t="shared" si="61"/>
        <v>Low</v>
      </c>
      <c r="R773" t="str">
        <f t="shared" si="62"/>
        <v>Senior</v>
      </c>
      <c r="S773" t="str">
        <f t="shared" si="63"/>
        <v>Needs Improvement</v>
      </c>
      <c r="T773" s="4" t="str">
        <f t="shared" si="64"/>
        <v>Dissatisfied</v>
      </c>
    </row>
    <row r="774" spans="1:20" x14ac:dyDescent="0.3">
      <c r="A774" t="s">
        <v>977</v>
      </c>
      <c r="B774" t="s">
        <v>372</v>
      </c>
      <c r="C774" t="s">
        <v>37</v>
      </c>
      <c r="D774">
        <v>32</v>
      </c>
      <c r="E774" t="s">
        <v>66</v>
      </c>
      <c r="F774" t="s">
        <v>82</v>
      </c>
      <c r="G774" t="s">
        <v>46</v>
      </c>
      <c r="H774">
        <v>42000</v>
      </c>
      <c r="I774">
        <v>11</v>
      </c>
      <c r="J774">
        <v>3</v>
      </c>
      <c r="K774">
        <v>3</v>
      </c>
      <c r="L774" t="s">
        <v>29</v>
      </c>
      <c r="M774" t="s">
        <v>29</v>
      </c>
      <c r="N774" t="s">
        <v>22</v>
      </c>
      <c r="O774" t="s">
        <v>75</v>
      </c>
      <c r="P774" t="str">
        <f t="shared" si="60"/>
        <v>30-39</v>
      </c>
      <c r="Q774" t="str">
        <f t="shared" si="61"/>
        <v>Medium</v>
      </c>
      <c r="R774" t="str">
        <f t="shared" si="62"/>
        <v>Senior</v>
      </c>
      <c r="S774" t="str">
        <f t="shared" si="63"/>
        <v>Needs Improvement</v>
      </c>
      <c r="T774" s="4" t="str">
        <f t="shared" si="64"/>
        <v>Neutral</v>
      </c>
    </row>
    <row r="775" spans="1:20" x14ac:dyDescent="0.3">
      <c r="A775" t="s">
        <v>978</v>
      </c>
      <c r="B775" t="s">
        <v>176</v>
      </c>
      <c r="C775" t="s">
        <v>17</v>
      </c>
      <c r="D775">
        <v>30</v>
      </c>
      <c r="E775" t="s">
        <v>41</v>
      </c>
      <c r="F775" t="s">
        <v>42</v>
      </c>
      <c r="G775" t="s">
        <v>46</v>
      </c>
      <c r="H775">
        <v>32000</v>
      </c>
      <c r="I775">
        <v>9</v>
      </c>
      <c r="J775">
        <v>3</v>
      </c>
      <c r="K775">
        <v>4</v>
      </c>
      <c r="L775" t="s">
        <v>21</v>
      </c>
      <c r="M775" t="s">
        <v>29</v>
      </c>
      <c r="N775" t="s">
        <v>34</v>
      </c>
      <c r="O775" t="s">
        <v>23</v>
      </c>
      <c r="P775" t="str">
        <f t="shared" si="60"/>
        <v>30-39</v>
      </c>
      <c r="Q775" t="str">
        <f t="shared" si="61"/>
        <v>Low</v>
      </c>
      <c r="R775" t="str">
        <f t="shared" si="62"/>
        <v>Senior</v>
      </c>
      <c r="S775" t="str">
        <f t="shared" si="63"/>
        <v>Needs Improvement</v>
      </c>
      <c r="T775" s="4" t="str">
        <f t="shared" si="64"/>
        <v>Satisfied</v>
      </c>
    </row>
    <row r="776" spans="1:20" x14ac:dyDescent="0.3">
      <c r="A776" t="s">
        <v>979</v>
      </c>
      <c r="B776" t="s">
        <v>61</v>
      </c>
      <c r="C776" t="s">
        <v>17</v>
      </c>
      <c r="D776">
        <v>50</v>
      </c>
      <c r="E776" t="s">
        <v>49</v>
      </c>
      <c r="F776" t="s">
        <v>27</v>
      </c>
      <c r="G776" t="s">
        <v>20</v>
      </c>
      <c r="H776">
        <v>32000</v>
      </c>
      <c r="I776">
        <v>1</v>
      </c>
      <c r="J776">
        <v>5</v>
      </c>
      <c r="K776">
        <v>1</v>
      </c>
      <c r="L776" t="s">
        <v>29</v>
      </c>
      <c r="M776" t="s">
        <v>29</v>
      </c>
      <c r="N776" t="s">
        <v>34</v>
      </c>
      <c r="O776" t="s">
        <v>30</v>
      </c>
      <c r="P776" t="str">
        <f t="shared" si="60"/>
        <v>50+</v>
      </c>
      <c r="Q776" t="str">
        <f t="shared" si="61"/>
        <v>Low</v>
      </c>
      <c r="R776" t="str">
        <f t="shared" si="62"/>
        <v>Junior</v>
      </c>
      <c r="S776" t="str">
        <f t="shared" si="63"/>
        <v>High Performer</v>
      </c>
      <c r="T776" s="4" t="str">
        <f t="shared" si="64"/>
        <v>Dissatisfied</v>
      </c>
    </row>
    <row r="777" spans="1:20" x14ac:dyDescent="0.3">
      <c r="A777" t="s">
        <v>980</v>
      </c>
      <c r="B777" t="s">
        <v>98</v>
      </c>
      <c r="C777" t="s">
        <v>17</v>
      </c>
      <c r="D777">
        <v>52</v>
      </c>
      <c r="E777" t="s">
        <v>26</v>
      </c>
      <c r="F777" t="s">
        <v>50</v>
      </c>
      <c r="G777" t="s">
        <v>28</v>
      </c>
      <c r="H777">
        <v>70000</v>
      </c>
      <c r="I777">
        <v>1</v>
      </c>
      <c r="J777">
        <v>4</v>
      </c>
      <c r="K777">
        <v>4</v>
      </c>
      <c r="L777" t="s">
        <v>21</v>
      </c>
      <c r="M777" t="s">
        <v>29</v>
      </c>
      <c r="N777" t="s">
        <v>34</v>
      </c>
      <c r="O777" t="s">
        <v>43</v>
      </c>
      <c r="P777" t="str">
        <f t="shared" si="60"/>
        <v>50+</v>
      </c>
      <c r="Q777" t="str">
        <f t="shared" si="61"/>
        <v>High</v>
      </c>
      <c r="R777" t="str">
        <f t="shared" si="62"/>
        <v>Junior</v>
      </c>
      <c r="S777" t="str">
        <f t="shared" si="63"/>
        <v>High Performer</v>
      </c>
      <c r="T777" s="4" t="str">
        <f t="shared" si="64"/>
        <v>Satisfied</v>
      </c>
    </row>
    <row r="778" spans="1:20" x14ac:dyDescent="0.3">
      <c r="A778" t="s">
        <v>981</v>
      </c>
      <c r="B778" t="s">
        <v>86</v>
      </c>
      <c r="C778" t="s">
        <v>37</v>
      </c>
      <c r="D778">
        <v>38</v>
      </c>
      <c r="E778" t="s">
        <v>49</v>
      </c>
      <c r="F778" t="s">
        <v>50</v>
      </c>
      <c r="G778" t="s">
        <v>20</v>
      </c>
      <c r="H778">
        <v>100000</v>
      </c>
      <c r="I778">
        <v>16</v>
      </c>
      <c r="J778">
        <v>2</v>
      </c>
      <c r="K778">
        <v>2</v>
      </c>
      <c r="L778" t="s">
        <v>21</v>
      </c>
      <c r="M778" t="s">
        <v>29</v>
      </c>
      <c r="N778" t="s">
        <v>22</v>
      </c>
      <c r="O778" t="s">
        <v>43</v>
      </c>
      <c r="P778" t="str">
        <f t="shared" si="60"/>
        <v>30-39</v>
      </c>
      <c r="Q778" t="str">
        <f t="shared" si="61"/>
        <v>High</v>
      </c>
      <c r="R778" t="str">
        <f t="shared" si="62"/>
        <v>Senior</v>
      </c>
      <c r="S778" t="str">
        <f t="shared" si="63"/>
        <v>Needs Improvement</v>
      </c>
      <c r="T778" s="4" t="str">
        <f t="shared" si="64"/>
        <v>Dissatisfied</v>
      </c>
    </row>
    <row r="779" spans="1:20" x14ac:dyDescent="0.3">
      <c r="A779" t="s">
        <v>982</v>
      </c>
      <c r="B779" t="s">
        <v>63</v>
      </c>
      <c r="C779" t="s">
        <v>17</v>
      </c>
      <c r="D779">
        <v>52</v>
      </c>
      <c r="E779" t="s">
        <v>26</v>
      </c>
      <c r="F779" t="s">
        <v>50</v>
      </c>
      <c r="G779" t="s">
        <v>33</v>
      </c>
      <c r="H779">
        <v>63000</v>
      </c>
      <c r="I779">
        <v>7</v>
      </c>
      <c r="J779">
        <v>5</v>
      </c>
      <c r="K779">
        <v>4</v>
      </c>
      <c r="L779" t="s">
        <v>21</v>
      </c>
      <c r="M779" t="s">
        <v>29</v>
      </c>
      <c r="N779" t="s">
        <v>22</v>
      </c>
      <c r="O779" t="s">
        <v>23</v>
      </c>
      <c r="P779" t="str">
        <f t="shared" si="60"/>
        <v>50+</v>
      </c>
      <c r="Q779" t="str">
        <f t="shared" si="61"/>
        <v>Medium</v>
      </c>
      <c r="R779" t="str">
        <f t="shared" si="62"/>
        <v>Senior</v>
      </c>
      <c r="S779" t="str">
        <f t="shared" si="63"/>
        <v>High Performer</v>
      </c>
      <c r="T779" s="4" t="str">
        <f t="shared" si="64"/>
        <v>Satisfied</v>
      </c>
    </row>
    <row r="780" spans="1:20" x14ac:dyDescent="0.3">
      <c r="A780" t="s">
        <v>983</v>
      </c>
      <c r="B780" t="s">
        <v>414</v>
      </c>
      <c r="C780" t="s">
        <v>17</v>
      </c>
      <c r="D780">
        <v>52</v>
      </c>
      <c r="E780" t="s">
        <v>41</v>
      </c>
      <c r="F780" t="s">
        <v>42</v>
      </c>
      <c r="G780" t="s">
        <v>28</v>
      </c>
      <c r="H780">
        <v>28000</v>
      </c>
      <c r="I780">
        <v>3</v>
      </c>
      <c r="J780">
        <v>5</v>
      </c>
      <c r="K780">
        <v>3</v>
      </c>
      <c r="L780" t="s">
        <v>21</v>
      </c>
      <c r="M780" t="s">
        <v>29</v>
      </c>
      <c r="N780" t="s">
        <v>22</v>
      </c>
      <c r="O780" t="s">
        <v>38</v>
      </c>
      <c r="P780" t="str">
        <f t="shared" si="60"/>
        <v>50+</v>
      </c>
      <c r="Q780" t="str">
        <f t="shared" si="61"/>
        <v>Low</v>
      </c>
      <c r="R780" t="str">
        <f t="shared" si="62"/>
        <v>Mid-Level</v>
      </c>
      <c r="S780" t="str">
        <f t="shared" si="63"/>
        <v>High Performer</v>
      </c>
      <c r="T780" s="4" t="str">
        <f t="shared" si="64"/>
        <v>Neutral</v>
      </c>
    </row>
    <row r="781" spans="1:20" x14ac:dyDescent="0.3">
      <c r="A781" t="s">
        <v>984</v>
      </c>
      <c r="B781" t="s">
        <v>328</v>
      </c>
      <c r="C781" t="s">
        <v>17</v>
      </c>
      <c r="D781">
        <v>36</v>
      </c>
      <c r="E781" t="s">
        <v>57</v>
      </c>
      <c r="F781" t="s">
        <v>27</v>
      </c>
      <c r="G781" t="s">
        <v>28</v>
      </c>
      <c r="H781">
        <v>40000</v>
      </c>
      <c r="I781">
        <v>11</v>
      </c>
      <c r="J781">
        <v>5</v>
      </c>
      <c r="K781">
        <v>2</v>
      </c>
      <c r="L781" t="s">
        <v>21</v>
      </c>
      <c r="M781" t="s">
        <v>21</v>
      </c>
      <c r="N781" t="s">
        <v>34</v>
      </c>
      <c r="O781" t="s">
        <v>75</v>
      </c>
      <c r="P781" t="str">
        <f t="shared" si="60"/>
        <v>30-39</v>
      </c>
      <c r="Q781" t="str">
        <f t="shared" si="61"/>
        <v>Medium</v>
      </c>
      <c r="R781" t="str">
        <f t="shared" si="62"/>
        <v>Senior</v>
      </c>
      <c r="S781" t="str">
        <f t="shared" si="63"/>
        <v>High Performer</v>
      </c>
      <c r="T781" s="4" t="str">
        <f t="shared" si="64"/>
        <v>Dissatisfied</v>
      </c>
    </row>
    <row r="782" spans="1:20" x14ac:dyDescent="0.3">
      <c r="A782" t="s">
        <v>985</v>
      </c>
      <c r="B782" t="s">
        <v>625</v>
      </c>
      <c r="C782" t="s">
        <v>17</v>
      </c>
      <c r="D782">
        <v>35</v>
      </c>
      <c r="E782" t="s">
        <v>57</v>
      </c>
      <c r="F782" t="s">
        <v>50</v>
      </c>
      <c r="G782" t="s">
        <v>33</v>
      </c>
      <c r="H782">
        <v>50000</v>
      </c>
      <c r="I782">
        <v>14</v>
      </c>
      <c r="J782">
        <v>3</v>
      </c>
      <c r="K782">
        <v>3</v>
      </c>
      <c r="L782" t="s">
        <v>29</v>
      </c>
      <c r="M782" t="s">
        <v>29</v>
      </c>
      <c r="N782" t="s">
        <v>34</v>
      </c>
      <c r="O782" t="s">
        <v>30</v>
      </c>
      <c r="P782" t="str">
        <f t="shared" si="60"/>
        <v>30-39</v>
      </c>
      <c r="Q782" t="str">
        <f t="shared" si="61"/>
        <v>Medium</v>
      </c>
      <c r="R782" t="str">
        <f t="shared" si="62"/>
        <v>Senior</v>
      </c>
      <c r="S782" t="str">
        <f t="shared" si="63"/>
        <v>Needs Improvement</v>
      </c>
      <c r="T782" s="4" t="str">
        <f t="shared" si="64"/>
        <v>Neutral</v>
      </c>
    </row>
    <row r="783" spans="1:20" x14ac:dyDescent="0.3">
      <c r="A783" t="s">
        <v>986</v>
      </c>
      <c r="B783" t="s">
        <v>92</v>
      </c>
      <c r="C783" t="s">
        <v>37</v>
      </c>
      <c r="D783">
        <v>49</v>
      </c>
      <c r="E783" t="s">
        <v>49</v>
      </c>
      <c r="F783" t="s">
        <v>27</v>
      </c>
      <c r="G783" t="s">
        <v>28</v>
      </c>
      <c r="H783">
        <v>115000</v>
      </c>
      <c r="I783">
        <v>2</v>
      </c>
      <c r="J783">
        <v>3</v>
      </c>
      <c r="K783">
        <v>4</v>
      </c>
      <c r="L783" t="s">
        <v>21</v>
      </c>
      <c r="M783" t="s">
        <v>29</v>
      </c>
      <c r="N783" t="s">
        <v>34</v>
      </c>
      <c r="O783" t="s">
        <v>51</v>
      </c>
      <c r="P783" t="str">
        <f t="shared" si="60"/>
        <v>40-49</v>
      </c>
      <c r="Q783" t="str">
        <f t="shared" si="61"/>
        <v>High</v>
      </c>
      <c r="R783" t="str">
        <f t="shared" si="62"/>
        <v>Junior</v>
      </c>
      <c r="S783" t="str">
        <f t="shared" si="63"/>
        <v>Needs Improvement</v>
      </c>
      <c r="T783" s="4" t="str">
        <f t="shared" si="64"/>
        <v>Satisfied</v>
      </c>
    </row>
    <row r="784" spans="1:20" x14ac:dyDescent="0.3">
      <c r="A784" t="s">
        <v>987</v>
      </c>
      <c r="B784" t="s">
        <v>92</v>
      </c>
      <c r="C784" t="s">
        <v>17</v>
      </c>
      <c r="D784">
        <v>33</v>
      </c>
      <c r="E784" t="s">
        <v>66</v>
      </c>
      <c r="F784" t="s">
        <v>82</v>
      </c>
      <c r="G784" t="s">
        <v>33</v>
      </c>
      <c r="H784">
        <v>39000</v>
      </c>
      <c r="I784">
        <v>4</v>
      </c>
      <c r="J784">
        <v>4</v>
      </c>
      <c r="K784">
        <v>2</v>
      </c>
      <c r="L784" t="s">
        <v>29</v>
      </c>
      <c r="M784" t="s">
        <v>29</v>
      </c>
      <c r="N784" t="s">
        <v>34</v>
      </c>
      <c r="O784" t="s">
        <v>70</v>
      </c>
      <c r="P784" t="str">
        <f t="shared" si="60"/>
        <v>30-39</v>
      </c>
      <c r="Q784" t="str">
        <f t="shared" si="61"/>
        <v>Low</v>
      </c>
      <c r="R784" t="str">
        <f t="shared" si="62"/>
        <v>Mid-Level</v>
      </c>
      <c r="S784" t="str">
        <f t="shared" si="63"/>
        <v>High Performer</v>
      </c>
      <c r="T784" s="4" t="str">
        <f t="shared" si="64"/>
        <v>Dissatisfied</v>
      </c>
    </row>
    <row r="785" spans="1:20" x14ac:dyDescent="0.3">
      <c r="A785" t="s">
        <v>988</v>
      </c>
      <c r="B785" t="s">
        <v>132</v>
      </c>
      <c r="C785" t="s">
        <v>17</v>
      </c>
      <c r="D785">
        <v>44</v>
      </c>
      <c r="E785" t="s">
        <v>41</v>
      </c>
      <c r="F785" t="s">
        <v>42</v>
      </c>
      <c r="G785" t="s">
        <v>20</v>
      </c>
      <c r="H785">
        <v>74000</v>
      </c>
      <c r="I785">
        <v>7</v>
      </c>
      <c r="J785">
        <v>2</v>
      </c>
      <c r="K785">
        <v>5</v>
      </c>
      <c r="L785" t="s">
        <v>29</v>
      </c>
      <c r="M785" t="s">
        <v>29</v>
      </c>
      <c r="N785" t="s">
        <v>34</v>
      </c>
      <c r="O785" t="s">
        <v>23</v>
      </c>
      <c r="P785" t="str">
        <f t="shared" si="60"/>
        <v>40-49</v>
      </c>
      <c r="Q785" t="str">
        <f t="shared" si="61"/>
        <v>High</v>
      </c>
      <c r="R785" t="str">
        <f t="shared" si="62"/>
        <v>Senior</v>
      </c>
      <c r="S785" t="str">
        <f t="shared" si="63"/>
        <v>Needs Improvement</v>
      </c>
      <c r="T785" s="4" t="str">
        <f t="shared" si="64"/>
        <v>Satisfied</v>
      </c>
    </row>
    <row r="786" spans="1:20" x14ac:dyDescent="0.3">
      <c r="A786" t="s">
        <v>989</v>
      </c>
      <c r="B786" t="s">
        <v>221</v>
      </c>
      <c r="C786" t="s">
        <v>37</v>
      </c>
      <c r="D786">
        <v>22</v>
      </c>
      <c r="E786" t="s">
        <v>57</v>
      </c>
      <c r="F786" t="s">
        <v>27</v>
      </c>
      <c r="G786" t="s">
        <v>46</v>
      </c>
      <c r="H786">
        <v>27000</v>
      </c>
      <c r="I786">
        <v>1</v>
      </c>
      <c r="J786">
        <v>3</v>
      </c>
      <c r="K786">
        <v>4</v>
      </c>
      <c r="L786" t="s">
        <v>29</v>
      </c>
      <c r="M786" t="s">
        <v>29</v>
      </c>
      <c r="N786" t="s">
        <v>34</v>
      </c>
      <c r="O786" t="s">
        <v>51</v>
      </c>
      <c r="P786" t="str">
        <f t="shared" si="60"/>
        <v>20-29</v>
      </c>
      <c r="Q786" t="str">
        <f t="shared" si="61"/>
        <v>Low</v>
      </c>
      <c r="R786" t="str">
        <f t="shared" si="62"/>
        <v>Junior</v>
      </c>
      <c r="S786" t="str">
        <f t="shared" si="63"/>
        <v>Needs Improvement</v>
      </c>
      <c r="T786" s="4" t="str">
        <f t="shared" si="64"/>
        <v>Satisfied</v>
      </c>
    </row>
    <row r="787" spans="1:20" x14ac:dyDescent="0.3">
      <c r="A787" t="s">
        <v>990</v>
      </c>
      <c r="B787" t="s">
        <v>328</v>
      </c>
      <c r="C787" t="s">
        <v>37</v>
      </c>
      <c r="D787">
        <v>54</v>
      </c>
      <c r="E787" t="s">
        <v>18</v>
      </c>
      <c r="F787" t="s">
        <v>126</v>
      </c>
      <c r="G787" t="s">
        <v>20</v>
      </c>
      <c r="H787">
        <v>94000</v>
      </c>
      <c r="I787">
        <v>14</v>
      </c>
      <c r="J787">
        <v>2</v>
      </c>
      <c r="K787">
        <v>2</v>
      </c>
      <c r="L787" t="s">
        <v>29</v>
      </c>
      <c r="M787" t="s">
        <v>29</v>
      </c>
      <c r="N787" t="s">
        <v>22</v>
      </c>
      <c r="O787" t="s">
        <v>30</v>
      </c>
      <c r="P787" t="str">
        <f t="shared" si="60"/>
        <v>50+</v>
      </c>
      <c r="Q787" t="str">
        <f t="shared" si="61"/>
        <v>High</v>
      </c>
      <c r="R787" t="str">
        <f t="shared" si="62"/>
        <v>Senior</v>
      </c>
      <c r="S787" t="str">
        <f t="shared" si="63"/>
        <v>Needs Improvement</v>
      </c>
      <c r="T787" s="4" t="str">
        <f t="shared" si="64"/>
        <v>Dissatisfied</v>
      </c>
    </row>
    <row r="788" spans="1:20" x14ac:dyDescent="0.3">
      <c r="A788" t="s">
        <v>991</v>
      </c>
      <c r="B788" t="s">
        <v>118</v>
      </c>
      <c r="C788" t="s">
        <v>17</v>
      </c>
      <c r="D788">
        <v>46</v>
      </c>
      <c r="E788" t="s">
        <v>57</v>
      </c>
      <c r="F788" t="s">
        <v>50</v>
      </c>
      <c r="G788" t="s">
        <v>33</v>
      </c>
      <c r="H788">
        <v>83000</v>
      </c>
      <c r="I788">
        <v>18</v>
      </c>
      <c r="J788">
        <v>4</v>
      </c>
      <c r="K788">
        <v>5</v>
      </c>
      <c r="L788" t="s">
        <v>21</v>
      </c>
      <c r="M788" t="s">
        <v>29</v>
      </c>
      <c r="N788" t="s">
        <v>22</v>
      </c>
      <c r="O788" t="s">
        <v>30</v>
      </c>
      <c r="P788" t="str">
        <f t="shared" si="60"/>
        <v>40-49</v>
      </c>
      <c r="Q788" t="str">
        <f t="shared" si="61"/>
        <v>High</v>
      </c>
      <c r="R788" t="str">
        <f t="shared" si="62"/>
        <v>Senior</v>
      </c>
      <c r="S788" t="str">
        <f t="shared" si="63"/>
        <v>High Performer</v>
      </c>
      <c r="T788" s="4" t="str">
        <f t="shared" si="64"/>
        <v>Satisfied</v>
      </c>
    </row>
    <row r="789" spans="1:20" x14ac:dyDescent="0.3">
      <c r="A789" t="s">
        <v>992</v>
      </c>
      <c r="B789" t="s">
        <v>149</v>
      </c>
      <c r="C789" t="s">
        <v>37</v>
      </c>
      <c r="D789">
        <v>33</v>
      </c>
      <c r="E789" t="s">
        <v>18</v>
      </c>
      <c r="F789" t="s">
        <v>126</v>
      </c>
      <c r="G789" t="s">
        <v>46</v>
      </c>
      <c r="H789">
        <v>62000</v>
      </c>
      <c r="I789">
        <v>8</v>
      </c>
      <c r="J789">
        <v>5</v>
      </c>
      <c r="K789">
        <v>5</v>
      </c>
      <c r="L789" t="s">
        <v>29</v>
      </c>
      <c r="M789" t="s">
        <v>29</v>
      </c>
      <c r="N789" t="s">
        <v>34</v>
      </c>
      <c r="O789" t="s">
        <v>43</v>
      </c>
      <c r="P789" t="str">
        <f t="shared" si="60"/>
        <v>30-39</v>
      </c>
      <c r="Q789" t="str">
        <f t="shared" si="61"/>
        <v>Medium</v>
      </c>
      <c r="R789" t="str">
        <f t="shared" si="62"/>
        <v>Senior</v>
      </c>
      <c r="S789" t="str">
        <f t="shared" si="63"/>
        <v>High Performer</v>
      </c>
      <c r="T789" s="4" t="str">
        <f t="shared" si="64"/>
        <v>Satisfied</v>
      </c>
    </row>
    <row r="790" spans="1:20" x14ac:dyDescent="0.3">
      <c r="A790" t="s">
        <v>993</v>
      </c>
      <c r="B790" t="s">
        <v>625</v>
      </c>
      <c r="C790" t="s">
        <v>17</v>
      </c>
      <c r="D790">
        <v>36</v>
      </c>
      <c r="E790" t="s">
        <v>18</v>
      </c>
      <c r="F790" t="s">
        <v>126</v>
      </c>
      <c r="G790" t="s">
        <v>20</v>
      </c>
      <c r="H790">
        <v>120000</v>
      </c>
      <c r="I790">
        <v>0</v>
      </c>
      <c r="J790">
        <v>2</v>
      </c>
      <c r="K790">
        <v>5</v>
      </c>
      <c r="L790" t="s">
        <v>21</v>
      </c>
      <c r="M790" t="s">
        <v>29</v>
      </c>
      <c r="N790" t="s">
        <v>22</v>
      </c>
      <c r="O790" t="s">
        <v>70</v>
      </c>
      <c r="P790" t="str">
        <f t="shared" si="60"/>
        <v>30-39</v>
      </c>
      <c r="Q790" t="str">
        <f t="shared" si="61"/>
        <v>High</v>
      </c>
      <c r="R790" t="str">
        <f t="shared" si="62"/>
        <v>Junior</v>
      </c>
      <c r="S790" t="str">
        <f t="shared" si="63"/>
        <v>Needs Improvement</v>
      </c>
      <c r="T790" s="4" t="str">
        <f t="shared" si="64"/>
        <v>Satisfied</v>
      </c>
    </row>
    <row r="791" spans="1:20" x14ac:dyDescent="0.3">
      <c r="A791" t="s">
        <v>994</v>
      </c>
      <c r="B791" t="s">
        <v>56</v>
      </c>
      <c r="C791" t="s">
        <v>37</v>
      </c>
      <c r="D791">
        <v>35</v>
      </c>
      <c r="E791" t="s">
        <v>26</v>
      </c>
      <c r="F791" t="s">
        <v>27</v>
      </c>
      <c r="G791" t="s">
        <v>28</v>
      </c>
      <c r="H791">
        <v>93000</v>
      </c>
      <c r="I791">
        <v>10</v>
      </c>
      <c r="J791">
        <v>4</v>
      </c>
      <c r="K791">
        <v>3</v>
      </c>
      <c r="L791" t="s">
        <v>29</v>
      </c>
      <c r="M791" t="s">
        <v>29</v>
      </c>
      <c r="N791" t="s">
        <v>34</v>
      </c>
      <c r="O791" t="s">
        <v>51</v>
      </c>
      <c r="P791" t="str">
        <f t="shared" si="60"/>
        <v>30-39</v>
      </c>
      <c r="Q791" t="str">
        <f t="shared" si="61"/>
        <v>High</v>
      </c>
      <c r="R791" t="str">
        <f t="shared" si="62"/>
        <v>Senior</v>
      </c>
      <c r="S791" t="str">
        <f t="shared" si="63"/>
        <v>High Performer</v>
      </c>
      <c r="T791" s="4" t="str">
        <f t="shared" si="64"/>
        <v>Neutral</v>
      </c>
    </row>
    <row r="792" spans="1:20" x14ac:dyDescent="0.3">
      <c r="A792" t="s">
        <v>995</v>
      </c>
      <c r="B792" t="s">
        <v>98</v>
      </c>
      <c r="C792" t="s">
        <v>17</v>
      </c>
      <c r="D792">
        <v>24</v>
      </c>
      <c r="E792" t="s">
        <v>41</v>
      </c>
      <c r="F792" t="s">
        <v>42</v>
      </c>
      <c r="G792" t="s">
        <v>33</v>
      </c>
      <c r="H792">
        <v>120000</v>
      </c>
      <c r="I792">
        <v>3</v>
      </c>
      <c r="J792">
        <v>4</v>
      </c>
      <c r="K792">
        <v>3</v>
      </c>
      <c r="L792" t="s">
        <v>29</v>
      </c>
      <c r="M792" t="s">
        <v>21</v>
      </c>
      <c r="N792" t="s">
        <v>22</v>
      </c>
      <c r="O792" t="s">
        <v>75</v>
      </c>
      <c r="P792" t="str">
        <f t="shared" si="60"/>
        <v>20-29</v>
      </c>
      <c r="Q792" t="str">
        <f t="shared" si="61"/>
        <v>High</v>
      </c>
      <c r="R792" t="str">
        <f t="shared" si="62"/>
        <v>Mid-Level</v>
      </c>
      <c r="S792" t="str">
        <f t="shared" si="63"/>
        <v>High Performer</v>
      </c>
      <c r="T792" s="4" t="str">
        <f t="shared" si="64"/>
        <v>Neutral</v>
      </c>
    </row>
    <row r="793" spans="1:20" x14ac:dyDescent="0.3">
      <c r="A793" t="s">
        <v>996</v>
      </c>
      <c r="B793" t="s">
        <v>314</v>
      </c>
      <c r="C793" t="s">
        <v>17</v>
      </c>
      <c r="D793">
        <v>33</v>
      </c>
      <c r="E793" t="s">
        <v>49</v>
      </c>
      <c r="F793" t="s">
        <v>27</v>
      </c>
      <c r="G793" t="s">
        <v>33</v>
      </c>
      <c r="H793">
        <v>32000</v>
      </c>
      <c r="I793">
        <v>12</v>
      </c>
      <c r="J793">
        <v>3</v>
      </c>
      <c r="K793">
        <v>4</v>
      </c>
      <c r="L793" t="s">
        <v>29</v>
      </c>
      <c r="M793" t="s">
        <v>29</v>
      </c>
      <c r="N793" t="s">
        <v>22</v>
      </c>
      <c r="O793" t="s">
        <v>43</v>
      </c>
      <c r="P793" t="str">
        <f t="shared" si="60"/>
        <v>30-39</v>
      </c>
      <c r="Q793" t="str">
        <f t="shared" si="61"/>
        <v>Low</v>
      </c>
      <c r="R793" t="str">
        <f t="shared" si="62"/>
        <v>Senior</v>
      </c>
      <c r="S793" t="str">
        <f t="shared" si="63"/>
        <v>Needs Improvement</v>
      </c>
      <c r="T793" s="4" t="str">
        <f t="shared" si="64"/>
        <v>Satisfied</v>
      </c>
    </row>
    <row r="794" spans="1:20" x14ac:dyDescent="0.3">
      <c r="A794" t="s">
        <v>997</v>
      </c>
      <c r="B794" t="s">
        <v>116</v>
      </c>
      <c r="C794" t="s">
        <v>37</v>
      </c>
      <c r="D794">
        <v>55</v>
      </c>
      <c r="E794" t="s">
        <v>66</v>
      </c>
      <c r="F794" t="s">
        <v>82</v>
      </c>
      <c r="G794" t="s">
        <v>20</v>
      </c>
      <c r="H794">
        <v>50000</v>
      </c>
      <c r="I794">
        <v>8</v>
      </c>
      <c r="J794">
        <v>5</v>
      </c>
      <c r="K794">
        <v>1</v>
      </c>
      <c r="L794" t="s">
        <v>29</v>
      </c>
      <c r="M794" t="s">
        <v>29</v>
      </c>
      <c r="N794" t="s">
        <v>22</v>
      </c>
      <c r="O794" t="s">
        <v>75</v>
      </c>
      <c r="P794" t="str">
        <f t="shared" si="60"/>
        <v>50+</v>
      </c>
      <c r="Q794" t="str">
        <f t="shared" si="61"/>
        <v>Medium</v>
      </c>
      <c r="R794" t="str">
        <f t="shared" si="62"/>
        <v>Senior</v>
      </c>
      <c r="S794" t="str">
        <f t="shared" si="63"/>
        <v>High Performer</v>
      </c>
      <c r="T794" s="4" t="str">
        <f t="shared" si="64"/>
        <v>Dissatisfied</v>
      </c>
    </row>
    <row r="795" spans="1:20" x14ac:dyDescent="0.3">
      <c r="A795" t="s">
        <v>998</v>
      </c>
      <c r="B795" t="s">
        <v>302</v>
      </c>
      <c r="C795" t="s">
        <v>37</v>
      </c>
      <c r="D795">
        <v>28</v>
      </c>
      <c r="E795" t="s">
        <v>18</v>
      </c>
      <c r="F795" t="s">
        <v>19</v>
      </c>
      <c r="G795" t="s">
        <v>46</v>
      </c>
      <c r="H795">
        <v>45000</v>
      </c>
      <c r="I795">
        <v>0</v>
      </c>
      <c r="J795">
        <v>2</v>
      </c>
      <c r="K795">
        <v>4</v>
      </c>
      <c r="L795" t="s">
        <v>29</v>
      </c>
      <c r="M795" t="s">
        <v>29</v>
      </c>
      <c r="N795" t="s">
        <v>22</v>
      </c>
      <c r="O795" t="s">
        <v>23</v>
      </c>
      <c r="P795" t="str">
        <f t="shared" si="60"/>
        <v>20-29</v>
      </c>
      <c r="Q795" t="str">
        <f t="shared" si="61"/>
        <v>Medium</v>
      </c>
      <c r="R795" t="str">
        <f t="shared" si="62"/>
        <v>Junior</v>
      </c>
      <c r="S795" t="str">
        <f t="shared" si="63"/>
        <v>Needs Improvement</v>
      </c>
      <c r="T795" s="4" t="str">
        <f t="shared" si="64"/>
        <v>Satisfied</v>
      </c>
    </row>
    <row r="796" spans="1:20" x14ac:dyDescent="0.3">
      <c r="A796" t="s">
        <v>999</v>
      </c>
      <c r="B796" t="s">
        <v>179</v>
      </c>
      <c r="C796" t="s">
        <v>17</v>
      </c>
      <c r="D796">
        <v>39</v>
      </c>
      <c r="E796" t="s">
        <v>49</v>
      </c>
      <c r="F796" t="s">
        <v>50</v>
      </c>
      <c r="G796" t="s">
        <v>20</v>
      </c>
      <c r="H796">
        <v>34000</v>
      </c>
      <c r="I796">
        <v>9</v>
      </c>
      <c r="J796">
        <v>2</v>
      </c>
      <c r="K796">
        <v>1</v>
      </c>
      <c r="L796" t="s">
        <v>29</v>
      </c>
      <c r="M796" t="s">
        <v>29</v>
      </c>
      <c r="N796" t="s">
        <v>34</v>
      </c>
      <c r="O796" t="s">
        <v>54</v>
      </c>
      <c r="P796" t="str">
        <f t="shared" si="60"/>
        <v>30-39</v>
      </c>
      <c r="Q796" t="str">
        <f t="shared" si="61"/>
        <v>Low</v>
      </c>
      <c r="R796" t="str">
        <f t="shared" si="62"/>
        <v>Senior</v>
      </c>
      <c r="S796" t="str">
        <f t="shared" si="63"/>
        <v>Needs Improvement</v>
      </c>
      <c r="T796" s="4" t="str">
        <f t="shared" si="64"/>
        <v>Dissatisfied</v>
      </c>
    </row>
    <row r="797" spans="1:20" x14ac:dyDescent="0.3">
      <c r="A797" t="s">
        <v>1000</v>
      </c>
      <c r="B797" t="s">
        <v>394</v>
      </c>
      <c r="C797" t="s">
        <v>17</v>
      </c>
      <c r="D797">
        <v>34</v>
      </c>
      <c r="E797" t="s">
        <v>18</v>
      </c>
      <c r="F797" t="s">
        <v>19</v>
      </c>
      <c r="G797" t="s">
        <v>46</v>
      </c>
      <c r="H797">
        <v>50000</v>
      </c>
      <c r="I797">
        <v>1</v>
      </c>
      <c r="J797">
        <v>3</v>
      </c>
      <c r="K797">
        <v>5</v>
      </c>
      <c r="L797" t="s">
        <v>29</v>
      </c>
      <c r="M797" t="s">
        <v>29</v>
      </c>
      <c r="N797" t="s">
        <v>22</v>
      </c>
      <c r="O797" t="s">
        <v>30</v>
      </c>
      <c r="P797" t="str">
        <f t="shared" si="60"/>
        <v>30-39</v>
      </c>
      <c r="Q797" t="str">
        <f t="shared" si="61"/>
        <v>Medium</v>
      </c>
      <c r="R797" t="str">
        <f t="shared" si="62"/>
        <v>Junior</v>
      </c>
      <c r="S797" t="str">
        <f t="shared" si="63"/>
        <v>Needs Improvement</v>
      </c>
      <c r="T797" s="4" t="str">
        <f t="shared" si="64"/>
        <v>Satisfied</v>
      </c>
    </row>
    <row r="798" spans="1:20" x14ac:dyDescent="0.3">
      <c r="A798" t="s">
        <v>1001</v>
      </c>
      <c r="B798" t="s">
        <v>543</v>
      </c>
      <c r="C798" t="s">
        <v>37</v>
      </c>
      <c r="D798">
        <v>45</v>
      </c>
      <c r="E798" t="s">
        <v>18</v>
      </c>
      <c r="F798" t="s">
        <v>126</v>
      </c>
      <c r="G798" t="s">
        <v>28</v>
      </c>
      <c r="H798">
        <v>65000</v>
      </c>
      <c r="I798">
        <v>11</v>
      </c>
      <c r="J798">
        <v>5</v>
      </c>
      <c r="K798">
        <v>5</v>
      </c>
      <c r="L798" t="s">
        <v>29</v>
      </c>
      <c r="M798" t="s">
        <v>29</v>
      </c>
      <c r="N798" t="s">
        <v>22</v>
      </c>
      <c r="O798" t="s">
        <v>43</v>
      </c>
      <c r="P798" t="str">
        <f t="shared" si="60"/>
        <v>40-49</v>
      </c>
      <c r="Q798" t="str">
        <f t="shared" si="61"/>
        <v>Medium</v>
      </c>
      <c r="R798" t="str">
        <f t="shared" si="62"/>
        <v>Senior</v>
      </c>
      <c r="S798" t="str">
        <f t="shared" si="63"/>
        <v>High Performer</v>
      </c>
      <c r="T798" s="4" t="str">
        <f t="shared" si="64"/>
        <v>Satisfied</v>
      </c>
    </row>
    <row r="799" spans="1:20" x14ac:dyDescent="0.3">
      <c r="A799" t="s">
        <v>1002</v>
      </c>
      <c r="B799" t="s">
        <v>203</v>
      </c>
      <c r="C799" t="s">
        <v>17</v>
      </c>
      <c r="D799">
        <v>31</v>
      </c>
      <c r="E799" t="s">
        <v>18</v>
      </c>
      <c r="F799" t="s">
        <v>126</v>
      </c>
      <c r="G799" t="s">
        <v>28</v>
      </c>
      <c r="H799">
        <v>93000</v>
      </c>
      <c r="I799">
        <v>10</v>
      </c>
      <c r="J799">
        <v>5</v>
      </c>
      <c r="K799">
        <v>5</v>
      </c>
      <c r="L799" t="s">
        <v>29</v>
      </c>
      <c r="M799" t="s">
        <v>29</v>
      </c>
      <c r="N799" t="s">
        <v>34</v>
      </c>
      <c r="O799" t="s">
        <v>23</v>
      </c>
      <c r="P799" t="str">
        <f t="shared" si="60"/>
        <v>30-39</v>
      </c>
      <c r="Q799" t="str">
        <f t="shared" si="61"/>
        <v>High</v>
      </c>
      <c r="R799" t="str">
        <f t="shared" si="62"/>
        <v>Senior</v>
      </c>
      <c r="S799" t="str">
        <f t="shared" si="63"/>
        <v>High Performer</v>
      </c>
      <c r="T799" s="4" t="str">
        <f t="shared" si="64"/>
        <v>Satisfied</v>
      </c>
    </row>
    <row r="800" spans="1:20" x14ac:dyDescent="0.3">
      <c r="A800" t="s">
        <v>1003</v>
      </c>
      <c r="B800" t="s">
        <v>160</v>
      </c>
      <c r="C800" t="s">
        <v>37</v>
      </c>
      <c r="D800">
        <v>22</v>
      </c>
      <c r="E800" t="s">
        <v>26</v>
      </c>
      <c r="F800" t="s">
        <v>50</v>
      </c>
      <c r="G800" t="s">
        <v>33</v>
      </c>
      <c r="H800">
        <v>96000</v>
      </c>
      <c r="I800">
        <v>1</v>
      </c>
      <c r="J800">
        <v>4</v>
      </c>
      <c r="K800">
        <v>4</v>
      </c>
      <c r="L800" t="s">
        <v>21</v>
      </c>
      <c r="M800" t="s">
        <v>29</v>
      </c>
      <c r="N800" t="s">
        <v>34</v>
      </c>
      <c r="O800" t="s">
        <v>51</v>
      </c>
      <c r="P800" t="str">
        <f t="shared" si="60"/>
        <v>20-29</v>
      </c>
      <c r="Q800" t="str">
        <f t="shared" si="61"/>
        <v>High</v>
      </c>
      <c r="R800" t="str">
        <f t="shared" si="62"/>
        <v>Junior</v>
      </c>
      <c r="S800" t="str">
        <f t="shared" si="63"/>
        <v>High Performer</v>
      </c>
      <c r="T800" s="4" t="str">
        <f t="shared" si="64"/>
        <v>Satisfied</v>
      </c>
    </row>
    <row r="801" spans="1:20" x14ac:dyDescent="0.3">
      <c r="A801" t="s">
        <v>1004</v>
      </c>
      <c r="B801" t="s">
        <v>109</v>
      </c>
      <c r="C801" t="s">
        <v>37</v>
      </c>
      <c r="D801">
        <v>25</v>
      </c>
      <c r="E801" t="s">
        <v>18</v>
      </c>
      <c r="F801" t="s">
        <v>19</v>
      </c>
      <c r="G801" t="s">
        <v>46</v>
      </c>
      <c r="H801">
        <v>44000</v>
      </c>
      <c r="I801">
        <v>4</v>
      </c>
      <c r="J801">
        <v>4</v>
      </c>
      <c r="K801">
        <v>2</v>
      </c>
      <c r="L801" t="s">
        <v>21</v>
      </c>
      <c r="M801" t="s">
        <v>21</v>
      </c>
      <c r="N801" t="s">
        <v>34</v>
      </c>
      <c r="O801" t="s">
        <v>75</v>
      </c>
      <c r="P801" t="str">
        <f t="shared" si="60"/>
        <v>20-29</v>
      </c>
      <c r="Q801" t="str">
        <f t="shared" si="61"/>
        <v>Medium</v>
      </c>
      <c r="R801" t="str">
        <f t="shared" si="62"/>
        <v>Mid-Level</v>
      </c>
      <c r="S801" t="str">
        <f t="shared" si="63"/>
        <v>High Performer</v>
      </c>
      <c r="T801" s="4" t="str">
        <f t="shared" si="64"/>
        <v>Dissatisfied</v>
      </c>
    </row>
    <row r="802" spans="1:20" x14ac:dyDescent="0.3">
      <c r="A802" t="s">
        <v>1005</v>
      </c>
      <c r="B802" t="s">
        <v>63</v>
      </c>
      <c r="C802" t="s">
        <v>37</v>
      </c>
      <c r="D802">
        <v>51</v>
      </c>
      <c r="E802" t="s">
        <v>26</v>
      </c>
      <c r="F802" t="s">
        <v>50</v>
      </c>
      <c r="G802" t="s">
        <v>20</v>
      </c>
      <c r="H802">
        <v>75000</v>
      </c>
      <c r="I802">
        <v>2</v>
      </c>
      <c r="J802">
        <v>5</v>
      </c>
      <c r="K802">
        <v>5</v>
      </c>
      <c r="L802" t="s">
        <v>29</v>
      </c>
      <c r="M802" t="s">
        <v>29</v>
      </c>
      <c r="N802" t="s">
        <v>34</v>
      </c>
      <c r="O802" t="s">
        <v>70</v>
      </c>
      <c r="P802" t="str">
        <f t="shared" si="60"/>
        <v>50+</v>
      </c>
      <c r="Q802" t="str">
        <f t="shared" si="61"/>
        <v>High</v>
      </c>
      <c r="R802" t="str">
        <f t="shared" si="62"/>
        <v>Junior</v>
      </c>
      <c r="S802" t="str">
        <f t="shared" si="63"/>
        <v>High Performer</v>
      </c>
      <c r="T802" s="4" t="str">
        <f t="shared" si="64"/>
        <v>Satisfied</v>
      </c>
    </row>
    <row r="803" spans="1:20" x14ac:dyDescent="0.3">
      <c r="A803" t="s">
        <v>1006</v>
      </c>
      <c r="B803" t="s">
        <v>207</v>
      </c>
      <c r="C803" t="s">
        <v>37</v>
      </c>
      <c r="D803">
        <v>23</v>
      </c>
      <c r="E803" t="s">
        <v>66</v>
      </c>
      <c r="F803" t="s">
        <v>67</v>
      </c>
      <c r="G803" t="s">
        <v>33</v>
      </c>
      <c r="H803">
        <v>91000</v>
      </c>
      <c r="I803">
        <v>2</v>
      </c>
      <c r="J803">
        <v>4</v>
      </c>
      <c r="K803">
        <v>5</v>
      </c>
      <c r="L803" t="s">
        <v>21</v>
      </c>
      <c r="M803" t="s">
        <v>29</v>
      </c>
      <c r="N803" t="s">
        <v>34</v>
      </c>
      <c r="O803" t="s">
        <v>23</v>
      </c>
      <c r="P803" t="str">
        <f t="shared" si="60"/>
        <v>20-29</v>
      </c>
      <c r="Q803" t="str">
        <f t="shared" si="61"/>
        <v>High</v>
      </c>
      <c r="R803" t="str">
        <f t="shared" si="62"/>
        <v>Junior</v>
      </c>
      <c r="S803" t="str">
        <f t="shared" si="63"/>
        <v>High Performer</v>
      </c>
      <c r="T803" s="4" t="str">
        <f t="shared" si="64"/>
        <v>Satisfied</v>
      </c>
    </row>
    <row r="804" spans="1:20" x14ac:dyDescent="0.3">
      <c r="A804" t="s">
        <v>1007</v>
      </c>
      <c r="B804" t="s">
        <v>128</v>
      </c>
      <c r="C804" t="s">
        <v>37</v>
      </c>
      <c r="D804">
        <v>40</v>
      </c>
      <c r="E804" t="s">
        <v>57</v>
      </c>
      <c r="F804" t="s">
        <v>50</v>
      </c>
      <c r="G804" t="s">
        <v>46</v>
      </c>
      <c r="H804">
        <v>112000</v>
      </c>
      <c r="I804">
        <v>13</v>
      </c>
      <c r="J804">
        <v>3</v>
      </c>
      <c r="K804">
        <v>5</v>
      </c>
      <c r="L804" t="s">
        <v>29</v>
      </c>
      <c r="M804" t="s">
        <v>29</v>
      </c>
      <c r="N804" t="s">
        <v>22</v>
      </c>
      <c r="O804" t="s">
        <v>54</v>
      </c>
      <c r="P804" t="str">
        <f t="shared" si="60"/>
        <v>40-49</v>
      </c>
      <c r="Q804" t="str">
        <f t="shared" si="61"/>
        <v>High</v>
      </c>
      <c r="R804" t="str">
        <f t="shared" si="62"/>
        <v>Senior</v>
      </c>
      <c r="S804" t="str">
        <f t="shared" si="63"/>
        <v>Needs Improvement</v>
      </c>
      <c r="T804" s="4" t="str">
        <f t="shared" si="64"/>
        <v>Satisfied</v>
      </c>
    </row>
    <row r="805" spans="1:20" x14ac:dyDescent="0.3">
      <c r="A805" t="s">
        <v>1008</v>
      </c>
      <c r="B805" t="s">
        <v>132</v>
      </c>
      <c r="C805" t="s">
        <v>37</v>
      </c>
      <c r="D805">
        <v>45</v>
      </c>
      <c r="E805" t="s">
        <v>18</v>
      </c>
      <c r="F805" t="s">
        <v>19</v>
      </c>
      <c r="G805" t="s">
        <v>46</v>
      </c>
      <c r="H805">
        <v>35000</v>
      </c>
      <c r="I805">
        <v>7</v>
      </c>
      <c r="J805">
        <v>2</v>
      </c>
      <c r="K805">
        <v>1</v>
      </c>
      <c r="L805" t="s">
        <v>21</v>
      </c>
      <c r="M805" t="s">
        <v>21</v>
      </c>
      <c r="N805" t="s">
        <v>34</v>
      </c>
      <c r="O805" t="s">
        <v>70</v>
      </c>
      <c r="P805" t="str">
        <f t="shared" si="60"/>
        <v>40-49</v>
      </c>
      <c r="Q805" t="str">
        <f t="shared" si="61"/>
        <v>Low</v>
      </c>
      <c r="R805" t="str">
        <f t="shared" si="62"/>
        <v>Senior</v>
      </c>
      <c r="S805" t="str">
        <f t="shared" si="63"/>
        <v>Needs Improvement</v>
      </c>
      <c r="T805" s="4" t="str">
        <f t="shared" si="64"/>
        <v>Dissatisfied</v>
      </c>
    </row>
    <row r="806" spans="1:20" x14ac:dyDescent="0.3">
      <c r="A806" t="s">
        <v>1009</v>
      </c>
      <c r="B806" t="s">
        <v>53</v>
      </c>
      <c r="C806" t="s">
        <v>37</v>
      </c>
      <c r="D806">
        <v>50</v>
      </c>
      <c r="E806" t="s">
        <v>66</v>
      </c>
      <c r="F806" t="s">
        <v>82</v>
      </c>
      <c r="G806" t="s">
        <v>46</v>
      </c>
      <c r="H806">
        <v>88000</v>
      </c>
      <c r="I806">
        <v>5</v>
      </c>
      <c r="J806">
        <v>4</v>
      </c>
      <c r="K806">
        <v>1</v>
      </c>
      <c r="L806" t="s">
        <v>29</v>
      </c>
      <c r="M806" t="s">
        <v>29</v>
      </c>
      <c r="N806" t="s">
        <v>34</v>
      </c>
      <c r="O806" t="s">
        <v>75</v>
      </c>
      <c r="P806" t="str">
        <f t="shared" si="60"/>
        <v>50+</v>
      </c>
      <c r="Q806" t="str">
        <f t="shared" si="61"/>
        <v>High</v>
      </c>
      <c r="R806" t="str">
        <f t="shared" si="62"/>
        <v>Mid-Level</v>
      </c>
      <c r="S806" t="str">
        <f t="shared" si="63"/>
        <v>High Performer</v>
      </c>
      <c r="T806" s="4" t="str">
        <f t="shared" si="64"/>
        <v>Dissatisfied</v>
      </c>
    </row>
    <row r="807" spans="1:20" x14ac:dyDescent="0.3">
      <c r="A807" t="s">
        <v>1010</v>
      </c>
      <c r="B807" t="s">
        <v>372</v>
      </c>
      <c r="C807" t="s">
        <v>17</v>
      </c>
      <c r="D807">
        <v>34</v>
      </c>
      <c r="E807" t="s">
        <v>57</v>
      </c>
      <c r="F807" t="s">
        <v>50</v>
      </c>
      <c r="G807" t="s">
        <v>20</v>
      </c>
      <c r="H807">
        <v>52000</v>
      </c>
      <c r="I807">
        <v>5</v>
      </c>
      <c r="J807">
        <v>2</v>
      </c>
      <c r="K807">
        <v>2</v>
      </c>
      <c r="L807" t="s">
        <v>21</v>
      </c>
      <c r="M807" t="s">
        <v>29</v>
      </c>
      <c r="N807" t="s">
        <v>34</v>
      </c>
      <c r="O807" t="s">
        <v>51</v>
      </c>
      <c r="P807" t="str">
        <f t="shared" si="60"/>
        <v>30-39</v>
      </c>
      <c r="Q807" t="str">
        <f t="shared" si="61"/>
        <v>Medium</v>
      </c>
      <c r="R807" t="str">
        <f t="shared" si="62"/>
        <v>Mid-Level</v>
      </c>
      <c r="S807" t="str">
        <f t="shared" si="63"/>
        <v>Needs Improvement</v>
      </c>
      <c r="T807" s="4" t="str">
        <f t="shared" si="64"/>
        <v>Dissatisfied</v>
      </c>
    </row>
    <row r="808" spans="1:20" x14ac:dyDescent="0.3">
      <c r="A808" t="s">
        <v>1011</v>
      </c>
      <c r="B808" t="s">
        <v>454</v>
      </c>
      <c r="C808" t="s">
        <v>37</v>
      </c>
      <c r="D808">
        <v>49</v>
      </c>
      <c r="E808" t="s">
        <v>49</v>
      </c>
      <c r="F808" t="s">
        <v>27</v>
      </c>
      <c r="G808" t="s">
        <v>28</v>
      </c>
      <c r="H808">
        <v>98000</v>
      </c>
      <c r="I808">
        <v>20</v>
      </c>
      <c r="J808">
        <v>4</v>
      </c>
      <c r="K808">
        <v>4</v>
      </c>
      <c r="L808" t="s">
        <v>21</v>
      </c>
      <c r="M808" t="s">
        <v>29</v>
      </c>
      <c r="N808" t="s">
        <v>22</v>
      </c>
      <c r="O808" t="s">
        <v>23</v>
      </c>
      <c r="P808" t="str">
        <f t="shared" si="60"/>
        <v>40-49</v>
      </c>
      <c r="Q808" t="str">
        <f t="shared" si="61"/>
        <v>High</v>
      </c>
      <c r="R808" t="str">
        <f t="shared" si="62"/>
        <v>Senior</v>
      </c>
      <c r="S808" t="str">
        <f t="shared" si="63"/>
        <v>High Performer</v>
      </c>
      <c r="T808" s="4" t="str">
        <f t="shared" si="64"/>
        <v>Satisfied</v>
      </c>
    </row>
    <row r="809" spans="1:20" x14ac:dyDescent="0.3">
      <c r="A809" t="s">
        <v>1012</v>
      </c>
      <c r="B809" t="s">
        <v>497</v>
      </c>
      <c r="C809" t="s">
        <v>37</v>
      </c>
      <c r="D809">
        <v>27</v>
      </c>
      <c r="E809" t="s">
        <v>41</v>
      </c>
      <c r="F809" t="s">
        <v>42</v>
      </c>
      <c r="G809" t="s">
        <v>46</v>
      </c>
      <c r="H809">
        <v>47000</v>
      </c>
      <c r="I809">
        <v>6</v>
      </c>
      <c r="J809">
        <v>4</v>
      </c>
      <c r="K809">
        <v>5</v>
      </c>
      <c r="L809" t="s">
        <v>29</v>
      </c>
      <c r="M809" t="s">
        <v>29</v>
      </c>
      <c r="N809" t="s">
        <v>22</v>
      </c>
      <c r="O809" t="s">
        <v>43</v>
      </c>
      <c r="P809" t="str">
        <f t="shared" si="60"/>
        <v>20-29</v>
      </c>
      <c r="Q809" t="str">
        <f t="shared" si="61"/>
        <v>Medium</v>
      </c>
      <c r="R809" t="str">
        <f t="shared" si="62"/>
        <v>Mid-Level</v>
      </c>
      <c r="S809" t="str">
        <f t="shared" si="63"/>
        <v>High Performer</v>
      </c>
      <c r="T809" s="4" t="str">
        <f t="shared" si="64"/>
        <v>Satisfied</v>
      </c>
    </row>
    <row r="810" spans="1:20" x14ac:dyDescent="0.3">
      <c r="A810" t="s">
        <v>1013</v>
      </c>
      <c r="B810" t="s">
        <v>238</v>
      </c>
      <c r="C810" t="s">
        <v>17</v>
      </c>
      <c r="D810">
        <v>54</v>
      </c>
      <c r="E810" t="s">
        <v>41</v>
      </c>
      <c r="F810" t="s">
        <v>42</v>
      </c>
      <c r="G810" t="s">
        <v>20</v>
      </c>
      <c r="H810">
        <v>28000</v>
      </c>
      <c r="I810">
        <v>5</v>
      </c>
      <c r="J810">
        <v>5</v>
      </c>
      <c r="K810">
        <v>5</v>
      </c>
      <c r="L810" t="s">
        <v>29</v>
      </c>
      <c r="M810" t="s">
        <v>29</v>
      </c>
      <c r="N810" t="s">
        <v>22</v>
      </c>
      <c r="O810" t="s">
        <v>51</v>
      </c>
      <c r="P810" t="str">
        <f t="shared" si="60"/>
        <v>50+</v>
      </c>
      <c r="Q810" t="str">
        <f t="shared" si="61"/>
        <v>Low</v>
      </c>
      <c r="R810" t="str">
        <f t="shared" si="62"/>
        <v>Mid-Level</v>
      </c>
      <c r="S810" t="str">
        <f t="shared" si="63"/>
        <v>High Performer</v>
      </c>
      <c r="T810" s="4" t="str">
        <f t="shared" si="64"/>
        <v>Satisfied</v>
      </c>
    </row>
    <row r="811" spans="1:20" x14ac:dyDescent="0.3">
      <c r="A811" t="s">
        <v>1014</v>
      </c>
      <c r="B811" t="s">
        <v>259</v>
      </c>
      <c r="C811" t="s">
        <v>17</v>
      </c>
      <c r="D811">
        <v>49</v>
      </c>
      <c r="E811" t="s">
        <v>18</v>
      </c>
      <c r="F811" t="s">
        <v>19</v>
      </c>
      <c r="G811" t="s">
        <v>28</v>
      </c>
      <c r="H811">
        <v>88000</v>
      </c>
      <c r="I811">
        <v>15</v>
      </c>
      <c r="J811">
        <v>3</v>
      </c>
      <c r="K811">
        <v>4</v>
      </c>
      <c r="L811" t="s">
        <v>29</v>
      </c>
      <c r="M811" t="s">
        <v>29</v>
      </c>
      <c r="N811" t="s">
        <v>34</v>
      </c>
      <c r="O811" t="s">
        <v>54</v>
      </c>
      <c r="P811" t="str">
        <f t="shared" si="60"/>
        <v>40-49</v>
      </c>
      <c r="Q811" t="str">
        <f t="shared" si="61"/>
        <v>High</v>
      </c>
      <c r="R811" t="str">
        <f t="shared" si="62"/>
        <v>Senior</v>
      </c>
      <c r="S811" t="str">
        <f t="shared" si="63"/>
        <v>Needs Improvement</v>
      </c>
      <c r="T811" s="4" t="str">
        <f t="shared" si="64"/>
        <v>Satisfied</v>
      </c>
    </row>
    <row r="812" spans="1:20" x14ac:dyDescent="0.3">
      <c r="A812" t="s">
        <v>1015</v>
      </c>
      <c r="B812" t="s">
        <v>476</v>
      </c>
      <c r="C812" t="s">
        <v>17</v>
      </c>
      <c r="D812">
        <v>50</v>
      </c>
      <c r="E812" t="s">
        <v>57</v>
      </c>
      <c r="F812" t="s">
        <v>27</v>
      </c>
      <c r="G812" t="s">
        <v>33</v>
      </c>
      <c r="H812">
        <v>46000</v>
      </c>
      <c r="I812">
        <v>4</v>
      </c>
      <c r="J812">
        <v>4</v>
      </c>
      <c r="K812">
        <v>4</v>
      </c>
      <c r="L812" t="s">
        <v>21</v>
      </c>
      <c r="M812" t="s">
        <v>29</v>
      </c>
      <c r="N812" t="s">
        <v>22</v>
      </c>
      <c r="O812" t="s">
        <v>70</v>
      </c>
      <c r="P812" t="str">
        <f t="shared" si="60"/>
        <v>50+</v>
      </c>
      <c r="Q812" t="str">
        <f t="shared" si="61"/>
        <v>Medium</v>
      </c>
      <c r="R812" t="str">
        <f t="shared" si="62"/>
        <v>Mid-Level</v>
      </c>
      <c r="S812" t="str">
        <f t="shared" si="63"/>
        <v>High Performer</v>
      </c>
      <c r="T812" s="4" t="str">
        <f t="shared" si="64"/>
        <v>Satisfied</v>
      </c>
    </row>
    <row r="813" spans="1:20" x14ac:dyDescent="0.3">
      <c r="A813" t="s">
        <v>1016</v>
      </c>
      <c r="B813" t="s">
        <v>116</v>
      </c>
      <c r="C813" t="s">
        <v>37</v>
      </c>
      <c r="D813">
        <v>55</v>
      </c>
      <c r="E813" t="s">
        <v>26</v>
      </c>
      <c r="F813" t="s">
        <v>27</v>
      </c>
      <c r="G813" t="s">
        <v>33</v>
      </c>
      <c r="H813">
        <v>57000</v>
      </c>
      <c r="I813">
        <v>9</v>
      </c>
      <c r="J813">
        <v>2</v>
      </c>
      <c r="K813">
        <v>3</v>
      </c>
      <c r="L813" t="s">
        <v>29</v>
      </c>
      <c r="M813" t="s">
        <v>29</v>
      </c>
      <c r="N813" t="s">
        <v>22</v>
      </c>
      <c r="O813" t="s">
        <v>70</v>
      </c>
      <c r="P813" t="str">
        <f t="shared" si="60"/>
        <v>50+</v>
      </c>
      <c r="Q813" t="str">
        <f t="shared" si="61"/>
        <v>Medium</v>
      </c>
      <c r="R813" t="str">
        <f t="shared" si="62"/>
        <v>Senior</v>
      </c>
      <c r="S813" t="str">
        <f t="shared" si="63"/>
        <v>Needs Improvement</v>
      </c>
      <c r="T813" s="4" t="str">
        <f t="shared" si="64"/>
        <v>Neutral</v>
      </c>
    </row>
    <row r="814" spans="1:20" x14ac:dyDescent="0.3">
      <c r="A814" t="s">
        <v>1017</v>
      </c>
      <c r="B814" t="s">
        <v>96</v>
      </c>
      <c r="C814" t="s">
        <v>37</v>
      </c>
      <c r="D814">
        <v>53</v>
      </c>
      <c r="E814" t="s">
        <v>26</v>
      </c>
      <c r="F814" t="s">
        <v>27</v>
      </c>
      <c r="G814" t="s">
        <v>33</v>
      </c>
      <c r="H814">
        <v>27000</v>
      </c>
      <c r="I814">
        <v>5</v>
      </c>
      <c r="J814">
        <v>5</v>
      </c>
      <c r="K814">
        <v>3</v>
      </c>
      <c r="L814" t="s">
        <v>29</v>
      </c>
      <c r="M814" t="s">
        <v>29</v>
      </c>
      <c r="N814" t="s">
        <v>34</v>
      </c>
      <c r="O814" t="s">
        <v>70</v>
      </c>
      <c r="P814" t="str">
        <f t="shared" si="60"/>
        <v>50+</v>
      </c>
      <c r="Q814" t="str">
        <f t="shared" si="61"/>
        <v>Low</v>
      </c>
      <c r="R814" t="str">
        <f t="shared" si="62"/>
        <v>Mid-Level</v>
      </c>
      <c r="S814" t="str">
        <f t="shared" si="63"/>
        <v>High Performer</v>
      </c>
      <c r="T814" s="4" t="str">
        <f t="shared" si="64"/>
        <v>Neutral</v>
      </c>
    </row>
    <row r="815" spans="1:20" x14ac:dyDescent="0.3">
      <c r="A815" t="s">
        <v>1018</v>
      </c>
      <c r="B815" t="s">
        <v>328</v>
      </c>
      <c r="C815" t="s">
        <v>37</v>
      </c>
      <c r="D815">
        <v>22</v>
      </c>
      <c r="E815" t="s">
        <v>26</v>
      </c>
      <c r="F815" t="s">
        <v>50</v>
      </c>
      <c r="G815" t="s">
        <v>20</v>
      </c>
      <c r="H815">
        <v>52000</v>
      </c>
      <c r="I815">
        <v>1</v>
      </c>
      <c r="J815">
        <v>3</v>
      </c>
      <c r="K815">
        <v>2</v>
      </c>
      <c r="L815" t="s">
        <v>29</v>
      </c>
      <c r="M815" t="s">
        <v>29</v>
      </c>
      <c r="N815" t="s">
        <v>22</v>
      </c>
      <c r="O815" t="s">
        <v>75</v>
      </c>
      <c r="P815" t="str">
        <f t="shared" si="60"/>
        <v>20-29</v>
      </c>
      <c r="Q815" t="str">
        <f t="shared" si="61"/>
        <v>Medium</v>
      </c>
      <c r="R815" t="str">
        <f t="shared" si="62"/>
        <v>Junior</v>
      </c>
      <c r="S815" t="str">
        <f t="shared" si="63"/>
        <v>Needs Improvement</v>
      </c>
      <c r="T815" s="4" t="str">
        <f t="shared" si="64"/>
        <v>Dissatisfied</v>
      </c>
    </row>
    <row r="816" spans="1:20" x14ac:dyDescent="0.3">
      <c r="A816" t="s">
        <v>1019</v>
      </c>
      <c r="B816" t="s">
        <v>229</v>
      </c>
      <c r="C816" t="s">
        <v>37</v>
      </c>
      <c r="D816">
        <v>39</v>
      </c>
      <c r="E816" t="s">
        <v>41</v>
      </c>
      <c r="F816" t="s">
        <v>73</v>
      </c>
      <c r="G816" t="s">
        <v>33</v>
      </c>
      <c r="H816">
        <v>98000</v>
      </c>
      <c r="I816">
        <v>18</v>
      </c>
      <c r="J816">
        <v>3</v>
      </c>
      <c r="K816">
        <v>1</v>
      </c>
      <c r="L816" t="s">
        <v>29</v>
      </c>
      <c r="M816" t="s">
        <v>29</v>
      </c>
      <c r="N816" t="s">
        <v>22</v>
      </c>
      <c r="O816" t="s">
        <v>23</v>
      </c>
      <c r="P816" t="str">
        <f t="shared" si="60"/>
        <v>30-39</v>
      </c>
      <c r="Q816" t="str">
        <f t="shared" si="61"/>
        <v>High</v>
      </c>
      <c r="R816" t="str">
        <f t="shared" si="62"/>
        <v>Senior</v>
      </c>
      <c r="S816" t="str">
        <f t="shared" si="63"/>
        <v>Needs Improvement</v>
      </c>
      <c r="T816" s="4" t="str">
        <f t="shared" si="64"/>
        <v>Dissatisfied</v>
      </c>
    </row>
    <row r="817" spans="1:20" x14ac:dyDescent="0.3">
      <c r="A817" t="s">
        <v>1020</v>
      </c>
      <c r="B817" t="s">
        <v>225</v>
      </c>
      <c r="C817" t="s">
        <v>37</v>
      </c>
      <c r="D817">
        <v>47</v>
      </c>
      <c r="E817" t="s">
        <v>26</v>
      </c>
      <c r="F817" t="s">
        <v>50</v>
      </c>
      <c r="G817" t="s">
        <v>20</v>
      </c>
      <c r="H817">
        <v>118000</v>
      </c>
      <c r="I817">
        <v>9</v>
      </c>
      <c r="J817">
        <v>2</v>
      </c>
      <c r="K817">
        <v>4</v>
      </c>
      <c r="L817" t="s">
        <v>29</v>
      </c>
      <c r="M817" t="s">
        <v>29</v>
      </c>
      <c r="N817" t="s">
        <v>22</v>
      </c>
      <c r="O817" t="s">
        <v>38</v>
      </c>
      <c r="P817" t="str">
        <f t="shared" si="60"/>
        <v>40-49</v>
      </c>
      <c r="Q817" t="str">
        <f t="shared" si="61"/>
        <v>High</v>
      </c>
      <c r="R817" t="str">
        <f t="shared" si="62"/>
        <v>Senior</v>
      </c>
      <c r="S817" t="str">
        <f t="shared" si="63"/>
        <v>Needs Improvement</v>
      </c>
      <c r="T817" s="4" t="str">
        <f t="shared" si="64"/>
        <v>Satisfied</v>
      </c>
    </row>
    <row r="818" spans="1:20" x14ac:dyDescent="0.3">
      <c r="A818" t="s">
        <v>1021</v>
      </c>
      <c r="B818" t="s">
        <v>267</v>
      </c>
      <c r="C818" t="s">
        <v>17</v>
      </c>
      <c r="D818">
        <v>39</v>
      </c>
      <c r="E818" t="s">
        <v>41</v>
      </c>
      <c r="F818" t="s">
        <v>42</v>
      </c>
      <c r="G818" t="s">
        <v>33</v>
      </c>
      <c r="H818">
        <v>92000</v>
      </c>
      <c r="I818">
        <v>6</v>
      </c>
      <c r="J818">
        <v>3</v>
      </c>
      <c r="K818">
        <v>1</v>
      </c>
      <c r="L818" t="s">
        <v>29</v>
      </c>
      <c r="M818" t="s">
        <v>29</v>
      </c>
      <c r="N818" t="s">
        <v>22</v>
      </c>
      <c r="O818" t="s">
        <v>43</v>
      </c>
      <c r="P818" t="str">
        <f t="shared" si="60"/>
        <v>30-39</v>
      </c>
      <c r="Q818" t="str">
        <f t="shared" si="61"/>
        <v>High</v>
      </c>
      <c r="R818" t="str">
        <f t="shared" si="62"/>
        <v>Mid-Level</v>
      </c>
      <c r="S818" t="str">
        <f t="shared" si="63"/>
        <v>Needs Improvement</v>
      </c>
      <c r="T818" s="4" t="str">
        <f t="shared" si="64"/>
        <v>Dissatisfied</v>
      </c>
    </row>
    <row r="819" spans="1:20" x14ac:dyDescent="0.3">
      <c r="A819" t="s">
        <v>1022</v>
      </c>
      <c r="B819" t="s">
        <v>273</v>
      </c>
      <c r="C819" t="s">
        <v>37</v>
      </c>
      <c r="D819">
        <v>45</v>
      </c>
      <c r="E819" t="s">
        <v>57</v>
      </c>
      <c r="F819" t="s">
        <v>27</v>
      </c>
      <c r="G819" t="s">
        <v>28</v>
      </c>
      <c r="H819">
        <v>111000</v>
      </c>
      <c r="I819">
        <v>17</v>
      </c>
      <c r="J819">
        <v>2</v>
      </c>
      <c r="K819">
        <v>4</v>
      </c>
      <c r="L819" t="s">
        <v>21</v>
      </c>
      <c r="M819" t="s">
        <v>29</v>
      </c>
      <c r="N819" t="s">
        <v>22</v>
      </c>
      <c r="O819" t="s">
        <v>30</v>
      </c>
      <c r="P819" t="str">
        <f t="shared" si="60"/>
        <v>40-49</v>
      </c>
      <c r="Q819" t="str">
        <f t="shared" si="61"/>
        <v>High</v>
      </c>
      <c r="R819" t="str">
        <f t="shared" si="62"/>
        <v>Senior</v>
      </c>
      <c r="S819" t="str">
        <f t="shared" si="63"/>
        <v>Needs Improvement</v>
      </c>
      <c r="T819" s="4" t="str">
        <f t="shared" si="64"/>
        <v>Satisfied</v>
      </c>
    </row>
    <row r="820" spans="1:20" x14ac:dyDescent="0.3">
      <c r="A820" t="s">
        <v>1023</v>
      </c>
      <c r="B820" t="s">
        <v>625</v>
      </c>
      <c r="C820" t="s">
        <v>37</v>
      </c>
      <c r="D820">
        <v>45</v>
      </c>
      <c r="E820" t="s">
        <v>26</v>
      </c>
      <c r="F820" t="s">
        <v>27</v>
      </c>
      <c r="G820" t="s">
        <v>46</v>
      </c>
      <c r="H820">
        <v>95000</v>
      </c>
      <c r="I820">
        <v>8</v>
      </c>
      <c r="J820">
        <v>2</v>
      </c>
      <c r="K820">
        <v>5</v>
      </c>
      <c r="L820" t="s">
        <v>21</v>
      </c>
      <c r="M820" t="s">
        <v>29</v>
      </c>
      <c r="N820" t="s">
        <v>22</v>
      </c>
      <c r="O820" t="s">
        <v>51</v>
      </c>
      <c r="P820" t="str">
        <f t="shared" si="60"/>
        <v>40-49</v>
      </c>
      <c r="Q820" t="str">
        <f t="shared" si="61"/>
        <v>High</v>
      </c>
      <c r="R820" t="str">
        <f t="shared" si="62"/>
        <v>Senior</v>
      </c>
      <c r="S820" t="str">
        <f t="shared" si="63"/>
        <v>Needs Improvement</v>
      </c>
      <c r="T820" s="4" t="str">
        <f t="shared" si="64"/>
        <v>Satisfied</v>
      </c>
    </row>
    <row r="821" spans="1:20" x14ac:dyDescent="0.3">
      <c r="A821" t="s">
        <v>1024</v>
      </c>
      <c r="B821" t="s">
        <v>199</v>
      </c>
      <c r="C821" t="s">
        <v>37</v>
      </c>
      <c r="D821">
        <v>43</v>
      </c>
      <c r="E821" t="s">
        <v>66</v>
      </c>
      <c r="F821" t="s">
        <v>67</v>
      </c>
      <c r="G821" t="s">
        <v>28</v>
      </c>
      <c r="H821">
        <v>72000</v>
      </c>
      <c r="I821">
        <v>10</v>
      </c>
      <c r="J821">
        <v>2</v>
      </c>
      <c r="K821">
        <v>3</v>
      </c>
      <c r="L821" t="s">
        <v>29</v>
      </c>
      <c r="M821" t="s">
        <v>29</v>
      </c>
      <c r="N821" t="s">
        <v>22</v>
      </c>
      <c r="O821" t="s">
        <v>75</v>
      </c>
      <c r="P821" t="str">
        <f t="shared" si="60"/>
        <v>40-49</v>
      </c>
      <c r="Q821" t="str">
        <f t="shared" si="61"/>
        <v>High</v>
      </c>
      <c r="R821" t="str">
        <f t="shared" si="62"/>
        <v>Senior</v>
      </c>
      <c r="S821" t="str">
        <f t="shared" si="63"/>
        <v>Needs Improvement</v>
      </c>
      <c r="T821" s="4" t="str">
        <f t="shared" si="64"/>
        <v>Neutral</v>
      </c>
    </row>
    <row r="822" spans="1:20" x14ac:dyDescent="0.3">
      <c r="A822" t="s">
        <v>1025</v>
      </c>
      <c r="B822" t="s">
        <v>114</v>
      </c>
      <c r="C822" t="s">
        <v>17</v>
      </c>
      <c r="D822">
        <v>35</v>
      </c>
      <c r="E822" t="s">
        <v>18</v>
      </c>
      <c r="F822" t="s">
        <v>126</v>
      </c>
      <c r="G822" t="s">
        <v>33</v>
      </c>
      <c r="H822">
        <v>28000</v>
      </c>
      <c r="I822">
        <v>13</v>
      </c>
      <c r="J822">
        <v>4</v>
      </c>
      <c r="K822">
        <v>3</v>
      </c>
      <c r="L822" t="s">
        <v>21</v>
      </c>
      <c r="M822" t="s">
        <v>29</v>
      </c>
      <c r="N822" t="s">
        <v>34</v>
      </c>
      <c r="O822" t="s">
        <v>43</v>
      </c>
      <c r="P822" t="str">
        <f t="shared" si="60"/>
        <v>30-39</v>
      </c>
      <c r="Q822" t="str">
        <f t="shared" si="61"/>
        <v>Low</v>
      </c>
      <c r="R822" t="str">
        <f t="shared" si="62"/>
        <v>Senior</v>
      </c>
      <c r="S822" t="str">
        <f t="shared" si="63"/>
        <v>High Performer</v>
      </c>
      <c r="T822" s="4" t="str">
        <f t="shared" si="64"/>
        <v>Neutral</v>
      </c>
    </row>
    <row r="823" spans="1:20" x14ac:dyDescent="0.3">
      <c r="A823" t="s">
        <v>1026</v>
      </c>
      <c r="B823" t="s">
        <v>259</v>
      </c>
      <c r="C823" t="s">
        <v>17</v>
      </c>
      <c r="D823">
        <v>52</v>
      </c>
      <c r="E823" t="s">
        <v>49</v>
      </c>
      <c r="F823" t="s">
        <v>50</v>
      </c>
      <c r="G823" t="s">
        <v>20</v>
      </c>
      <c r="H823">
        <v>76000</v>
      </c>
      <c r="I823">
        <v>7</v>
      </c>
      <c r="J823">
        <v>4</v>
      </c>
      <c r="K823">
        <v>1</v>
      </c>
      <c r="L823" t="s">
        <v>21</v>
      </c>
      <c r="M823" t="s">
        <v>21</v>
      </c>
      <c r="N823" t="s">
        <v>34</v>
      </c>
      <c r="O823" t="s">
        <v>75</v>
      </c>
      <c r="P823" t="str">
        <f t="shared" si="60"/>
        <v>50+</v>
      </c>
      <c r="Q823" t="str">
        <f t="shared" si="61"/>
        <v>High</v>
      </c>
      <c r="R823" t="str">
        <f t="shared" si="62"/>
        <v>Senior</v>
      </c>
      <c r="S823" t="str">
        <f t="shared" si="63"/>
        <v>High Performer</v>
      </c>
      <c r="T823" s="4" t="str">
        <f t="shared" si="64"/>
        <v>Dissatisfied</v>
      </c>
    </row>
    <row r="824" spans="1:20" x14ac:dyDescent="0.3">
      <c r="A824" t="s">
        <v>1027</v>
      </c>
      <c r="B824" t="s">
        <v>125</v>
      </c>
      <c r="C824" t="s">
        <v>17</v>
      </c>
      <c r="D824">
        <v>30</v>
      </c>
      <c r="E824" t="s">
        <v>66</v>
      </c>
      <c r="F824" t="s">
        <v>82</v>
      </c>
      <c r="G824" t="s">
        <v>20</v>
      </c>
      <c r="H824">
        <v>108000</v>
      </c>
      <c r="I824">
        <v>5</v>
      </c>
      <c r="J824">
        <v>3</v>
      </c>
      <c r="K824">
        <v>2</v>
      </c>
      <c r="L824" t="s">
        <v>21</v>
      </c>
      <c r="M824" t="s">
        <v>21</v>
      </c>
      <c r="N824" t="s">
        <v>34</v>
      </c>
      <c r="O824" t="s">
        <v>54</v>
      </c>
      <c r="P824" t="str">
        <f t="shared" si="60"/>
        <v>30-39</v>
      </c>
      <c r="Q824" t="str">
        <f t="shared" si="61"/>
        <v>High</v>
      </c>
      <c r="R824" t="str">
        <f t="shared" si="62"/>
        <v>Mid-Level</v>
      </c>
      <c r="S824" t="str">
        <f t="shared" si="63"/>
        <v>Needs Improvement</v>
      </c>
      <c r="T824" s="4" t="str">
        <f t="shared" si="64"/>
        <v>Dissatisfied</v>
      </c>
    </row>
    <row r="825" spans="1:20" x14ac:dyDescent="0.3">
      <c r="A825" t="s">
        <v>1028</v>
      </c>
      <c r="B825" t="s">
        <v>151</v>
      </c>
      <c r="C825" t="s">
        <v>37</v>
      </c>
      <c r="D825">
        <v>22</v>
      </c>
      <c r="E825" t="s">
        <v>49</v>
      </c>
      <c r="F825" t="s">
        <v>50</v>
      </c>
      <c r="G825" t="s">
        <v>20</v>
      </c>
      <c r="H825">
        <v>32000</v>
      </c>
      <c r="I825">
        <v>1</v>
      </c>
      <c r="J825">
        <v>5</v>
      </c>
      <c r="K825">
        <v>1</v>
      </c>
      <c r="L825" t="s">
        <v>29</v>
      </c>
      <c r="M825" t="s">
        <v>29</v>
      </c>
      <c r="N825" t="s">
        <v>34</v>
      </c>
      <c r="O825" t="s">
        <v>43</v>
      </c>
      <c r="P825" t="str">
        <f t="shared" si="60"/>
        <v>20-29</v>
      </c>
      <c r="Q825" t="str">
        <f t="shared" si="61"/>
        <v>Low</v>
      </c>
      <c r="R825" t="str">
        <f t="shared" si="62"/>
        <v>Junior</v>
      </c>
      <c r="S825" t="str">
        <f t="shared" si="63"/>
        <v>High Performer</v>
      </c>
      <c r="T825" s="4" t="str">
        <f t="shared" si="64"/>
        <v>Dissatisfied</v>
      </c>
    </row>
    <row r="826" spans="1:20" x14ac:dyDescent="0.3">
      <c r="A826" t="s">
        <v>1029</v>
      </c>
      <c r="B826" t="s">
        <v>486</v>
      </c>
      <c r="C826" t="s">
        <v>37</v>
      </c>
      <c r="D826">
        <v>30</v>
      </c>
      <c r="E826" t="s">
        <v>26</v>
      </c>
      <c r="F826" t="s">
        <v>50</v>
      </c>
      <c r="G826" t="s">
        <v>28</v>
      </c>
      <c r="H826">
        <v>59000</v>
      </c>
      <c r="I826">
        <v>9</v>
      </c>
      <c r="J826">
        <v>2</v>
      </c>
      <c r="K826">
        <v>3</v>
      </c>
      <c r="L826" t="s">
        <v>21</v>
      </c>
      <c r="M826" t="s">
        <v>29</v>
      </c>
      <c r="N826" t="s">
        <v>34</v>
      </c>
      <c r="O826" t="s">
        <v>54</v>
      </c>
      <c r="P826" t="str">
        <f t="shared" si="60"/>
        <v>30-39</v>
      </c>
      <c r="Q826" t="str">
        <f t="shared" si="61"/>
        <v>Medium</v>
      </c>
      <c r="R826" t="str">
        <f t="shared" si="62"/>
        <v>Senior</v>
      </c>
      <c r="S826" t="str">
        <f t="shared" si="63"/>
        <v>Needs Improvement</v>
      </c>
      <c r="T826" s="4" t="str">
        <f t="shared" si="64"/>
        <v>Neutral</v>
      </c>
    </row>
    <row r="827" spans="1:20" x14ac:dyDescent="0.3">
      <c r="A827" t="s">
        <v>1030</v>
      </c>
      <c r="B827" t="s">
        <v>149</v>
      </c>
      <c r="C827" t="s">
        <v>37</v>
      </c>
      <c r="D827">
        <v>46</v>
      </c>
      <c r="E827" t="s">
        <v>18</v>
      </c>
      <c r="F827" t="s">
        <v>126</v>
      </c>
      <c r="G827" t="s">
        <v>33</v>
      </c>
      <c r="H827">
        <v>77000</v>
      </c>
      <c r="I827">
        <v>17</v>
      </c>
      <c r="J827">
        <v>4</v>
      </c>
      <c r="K827">
        <v>3</v>
      </c>
      <c r="L827" t="s">
        <v>21</v>
      </c>
      <c r="M827" t="s">
        <v>29</v>
      </c>
      <c r="N827" t="s">
        <v>34</v>
      </c>
      <c r="O827" t="s">
        <v>54</v>
      </c>
      <c r="P827" t="str">
        <f t="shared" si="60"/>
        <v>40-49</v>
      </c>
      <c r="Q827" t="str">
        <f t="shared" si="61"/>
        <v>High</v>
      </c>
      <c r="R827" t="str">
        <f t="shared" si="62"/>
        <v>Senior</v>
      </c>
      <c r="S827" t="str">
        <f t="shared" si="63"/>
        <v>High Performer</v>
      </c>
      <c r="T827" s="4" t="str">
        <f t="shared" si="64"/>
        <v>Neutral</v>
      </c>
    </row>
    <row r="828" spans="1:20" x14ac:dyDescent="0.3">
      <c r="A828" t="s">
        <v>1031</v>
      </c>
      <c r="B828" t="s">
        <v>125</v>
      </c>
      <c r="C828" t="s">
        <v>17</v>
      </c>
      <c r="D828">
        <v>33</v>
      </c>
      <c r="E828" t="s">
        <v>18</v>
      </c>
      <c r="F828" t="s">
        <v>126</v>
      </c>
      <c r="G828" t="s">
        <v>28</v>
      </c>
      <c r="H828">
        <v>67000</v>
      </c>
      <c r="I828">
        <v>12</v>
      </c>
      <c r="J828">
        <v>3</v>
      </c>
      <c r="K828">
        <v>5</v>
      </c>
      <c r="L828" t="s">
        <v>21</v>
      </c>
      <c r="M828" t="s">
        <v>29</v>
      </c>
      <c r="N828" t="s">
        <v>22</v>
      </c>
      <c r="O828" t="s">
        <v>75</v>
      </c>
      <c r="P828" t="str">
        <f t="shared" si="60"/>
        <v>30-39</v>
      </c>
      <c r="Q828" t="str">
        <f t="shared" si="61"/>
        <v>Medium</v>
      </c>
      <c r="R828" t="str">
        <f t="shared" si="62"/>
        <v>Senior</v>
      </c>
      <c r="S828" t="str">
        <f t="shared" si="63"/>
        <v>Needs Improvement</v>
      </c>
      <c r="T828" s="4" t="str">
        <f t="shared" si="64"/>
        <v>Satisfied</v>
      </c>
    </row>
    <row r="829" spans="1:20" x14ac:dyDescent="0.3">
      <c r="A829" t="s">
        <v>1032</v>
      </c>
      <c r="B829" t="s">
        <v>118</v>
      </c>
      <c r="C829" t="s">
        <v>17</v>
      </c>
      <c r="D829">
        <v>34</v>
      </c>
      <c r="E829" t="s">
        <v>26</v>
      </c>
      <c r="F829" t="s">
        <v>27</v>
      </c>
      <c r="G829" t="s">
        <v>33</v>
      </c>
      <c r="H829">
        <v>69000</v>
      </c>
      <c r="I829">
        <v>13</v>
      </c>
      <c r="J829">
        <v>3</v>
      </c>
      <c r="K829">
        <v>2</v>
      </c>
      <c r="L829" t="s">
        <v>21</v>
      </c>
      <c r="M829" t="s">
        <v>21</v>
      </c>
      <c r="N829" t="s">
        <v>34</v>
      </c>
      <c r="O829" t="s">
        <v>23</v>
      </c>
      <c r="P829" t="str">
        <f t="shared" si="60"/>
        <v>30-39</v>
      </c>
      <c r="Q829" t="str">
        <f t="shared" si="61"/>
        <v>Medium</v>
      </c>
      <c r="R829" t="str">
        <f t="shared" si="62"/>
        <v>Senior</v>
      </c>
      <c r="S829" t="str">
        <f t="shared" si="63"/>
        <v>Needs Improvement</v>
      </c>
      <c r="T829" s="4" t="str">
        <f t="shared" si="64"/>
        <v>Dissatisfied</v>
      </c>
    </row>
    <row r="830" spans="1:20" x14ac:dyDescent="0.3">
      <c r="A830" t="s">
        <v>1033</v>
      </c>
      <c r="B830" t="s">
        <v>164</v>
      </c>
      <c r="C830" t="s">
        <v>17</v>
      </c>
      <c r="D830">
        <v>50</v>
      </c>
      <c r="E830" t="s">
        <v>49</v>
      </c>
      <c r="F830" t="s">
        <v>27</v>
      </c>
      <c r="G830" t="s">
        <v>46</v>
      </c>
      <c r="H830">
        <v>80000</v>
      </c>
      <c r="I830">
        <v>19</v>
      </c>
      <c r="J830">
        <v>3</v>
      </c>
      <c r="K830">
        <v>3</v>
      </c>
      <c r="L830" t="s">
        <v>29</v>
      </c>
      <c r="M830" t="s">
        <v>29</v>
      </c>
      <c r="N830" t="s">
        <v>22</v>
      </c>
      <c r="O830" t="s">
        <v>75</v>
      </c>
      <c r="P830" t="str">
        <f t="shared" si="60"/>
        <v>50+</v>
      </c>
      <c r="Q830" t="str">
        <f t="shared" si="61"/>
        <v>High</v>
      </c>
      <c r="R830" t="str">
        <f t="shared" si="62"/>
        <v>Senior</v>
      </c>
      <c r="S830" t="str">
        <f t="shared" si="63"/>
        <v>Needs Improvement</v>
      </c>
      <c r="T830" s="4" t="str">
        <f t="shared" si="64"/>
        <v>Neutral</v>
      </c>
    </row>
    <row r="831" spans="1:20" x14ac:dyDescent="0.3">
      <c r="A831" t="s">
        <v>1034</v>
      </c>
      <c r="B831" t="s">
        <v>84</v>
      </c>
      <c r="C831" t="s">
        <v>17</v>
      </c>
      <c r="D831">
        <v>54</v>
      </c>
      <c r="E831" t="s">
        <v>18</v>
      </c>
      <c r="F831" t="s">
        <v>126</v>
      </c>
      <c r="G831" t="s">
        <v>20</v>
      </c>
      <c r="H831">
        <v>50000</v>
      </c>
      <c r="I831">
        <v>8</v>
      </c>
      <c r="J831">
        <v>5</v>
      </c>
      <c r="K831">
        <v>2</v>
      </c>
      <c r="L831" t="s">
        <v>21</v>
      </c>
      <c r="M831" t="s">
        <v>21</v>
      </c>
      <c r="N831" t="s">
        <v>22</v>
      </c>
      <c r="O831" t="s">
        <v>51</v>
      </c>
      <c r="P831" t="str">
        <f t="shared" si="60"/>
        <v>50+</v>
      </c>
      <c r="Q831" t="str">
        <f t="shared" si="61"/>
        <v>Medium</v>
      </c>
      <c r="R831" t="str">
        <f t="shared" si="62"/>
        <v>Senior</v>
      </c>
      <c r="S831" t="str">
        <f t="shared" si="63"/>
        <v>High Performer</v>
      </c>
      <c r="T831" s="4" t="str">
        <f t="shared" si="64"/>
        <v>Dissatisfied</v>
      </c>
    </row>
    <row r="832" spans="1:20" x14ac:dyDescent="0.3">
      <c r="A832" t="s">
        <v>1035</v>
      </c>
      <c r="B832" t="s">
        <v>259</v>
      </c>
      <c r="C832" t="s">
        <v>37</v>
      </c>
      <c r="D832">
        <v>23</v>
      </c>
      <c r="E832" t="s">
        <v>41</v>
      </c>
      <c r="F832" t="s">
        <v>73</v>
      </c>
      <c r="G832" t="s">
        <v>33</v>
      </c>
      <c r="H832">
        <v>48000</v>
      </c>
      <c r="I832">
        <v>2</v>
      </c>
      <c r="J832">
        <v>3</v>
      </c>
      <c r="K832">
        <v>2</v>
      </c>
      <c r="L832" t="s">
        <v>21</v>
      </c>
      <c r="M832" t="s">
        <v>21</v>
      </c>
      <c r="N832" t="s">
        <v>34</v>
      </c>
      <c r="O832" t="s">
        <v>43</v>
      </c>
      <c r="P832" t="str">
        <f t="shared" si="60"/>
        <v>20-29</v>
      </c>
      <c r="Q832" t="str">
        <f t="shared" si="61"/>
        <v>Medium</v>
      </c>
      <c r="R832" t="str">
        <f t="shared" si="62"/>
        <v>Junior</v>
      </c>
      <c r="S832" t="str">
        <f t="shared" si="63"/>
        <v>Needs Improvement</v>
      </c>
      <c r="T832" s="4" t="str">
        <f t="shared" si="64"/>
        <v>Dissatisfied</v>
      </c>
    </row>
    <row r="833" spans="1:20" x14ac:dyDescent="0.3">
      <c r="A833" t="s">
        <v>1036</v>
      </c>
      <c r="B833" t="s">
        <v>302</v>
      </c>
      <c r="C833" t="s">
        <v>17</v>
      </c>
      <c r="D833">
        <v>53</v>
      </c>
      <c r="E833" t="s">
        <v>26</v>
      </c>
      <c r="F833" t="s">
        <v>27</v>
      </c>
      <c r="G833" t="s">
        <v>28</v>
      </c>
      <c r="H833">
        <v>116000</v>
      </c>
      <c r="I833">
        <v>12</v>
      </c>
      <c r="J833">
        <v>4</v>
      </c>
      <c r="K833">
        <v>3</v>
      </c>
      <c r="L833" t="s">
        <v>29</v>
      </c>
      <c r="M833" t="s">
        <v>29</v>
      </c>
      <c r="N833" t="s">
        <v>34</v>
      </c>
      <c r="O833" t="s">
        <v>51</v>
      </c>
      <c r="P833" t="str">
        <f t="shared" si="60"/>
        <v>50+</v>
      </c>
      <c r="Q833" t="str">
        <f t="shared" si="61"/>
        <v>High</v>
      </c>
      <c r="R833" t="str">
        <f t="shared" si="62"/>
        <v>Senior</v>
      </c>
      <c r="S833" t="str">
        <f t="shared" si="63"/>
        <v>High Performer</v>
      </c>
      <c r="T833" s="4" t="str">
        <f t="shared" si="64"/>
        <v>Neutral</v>
      </c>
    </row>
    <row r="834" spans="1:20" x14ac:dyDescent="0.3">
      <c r="A834" t="s">
        <v>1037</v>
      </c>
      <c r="B834" t="s">
        <v>273</v>
      </c>
      <c r="C834" t="s">
        <v>37</v>
      </c>
      <c r="D834">
        <v>28</v>
      </c>
      <c r="E834" t="s">
        <v>66</v>
      </c>
      <c r="F834" t="s">
        <v>82</v>
      </c>
      <c r="G834" t="s">
        <v>33</v>
      </c>
      <c r="H834">
        <v>79000</v>
      </c>
      <c r="I834">
        <v>7</v>
      </c>
      <c r="J834">
        <v>2</v>
      </c>
      <c r="K834">
        <v>3</v>
      </c>
      <c r="L834" t="s">
        <v>21</v>
      </c>
      <c r="M834" t="s">
        <v>29</v>
      </c>
      <c r="N834" t="s">
        <v>22</v>
      </c>
      <c r="O834" t="s">
        <v>51</v>
      </c>
      <c r="P834" t="str">
        <f t="shared" ref="P834:P897" si="65">IF(D834&lt;30,"20-29",IF(D834&lt;40,"30-39",IF(D834&lt;50,"40-49","50+")))</f>
        <v>20-29</v>
      </c>
      <c r="Q834" t="str">
        <f t="shared" ref="Q834:Q897" si="66">IF(H834&lt;40000,"Low",IF(H834&lt;70000,"Medium","High"))</f>
        <v>High</v>
      </c>
      <c r="R834" t="str">
        <f t="shared" ref="R834:R897" si="67">IF(I834&lt;3,"Junior",IF(I834&lt;7,"Mid-Level","Senior"))</f>
        <v>Senior</v>
      </c>
      <c r="S834" t="str">
        <f t="shared" ref="S834:S897" si="68">IF(J834&gt;=4,"High Performer","Needs Improvement")</f>
        <v>Needs Improvement</v>
      </c>
      <c r="T834" s="4" t="str">
        <f t="shared" ref="T834:T897" si="69">IF(K834&gt;=4,"Satisfied",IF(K834=3,"Neutral","Dissatisfied"))</f>
        <v>Neutral</v>
      </c>
    </row>
    <row r="835" spans="1:20" x14ac:dyDescent="0.3">
      <c r="A835" t="s">
        <v>1038</v>
      </c>
      <c r="B835" t="s">
        <v>249</v>
      </c>
      <c r="C835" t="s">
        <v>37</v>
      </c>
      <c r="D835">
        <v>27</v>
      </c>
      <c r="E835" t="s">
        <v>26</v>
      </c>
      <c r="F835" t="s">
        <v>27</v>
      </c>
      <c r="G835" t="s">
        <v>20</v>
      </c>
      <c r="H835">
        <v>66000</v>
      </c>
      <c r="I835">
        <v>6</v>
      </c>
      <c r="J835">
        <v>3</v>
      </c>
      <c r="K835">
        <v>4</v>
      </c>
      <c r="L835" t="s">
        <v>29</v>
      </c>
      <c r="M835" t="s">
        <v>29</v>
      </c>
      <c r="N835" t="s">
        <v>22</v>
      </c>
      <c r="O835" t="s">
        <v>30</v>
      </c>
      <c r="P835" t="str">
        <f t="shared" si="65"/>
        <v>20-29</v>
      </c>
      <c r="Q835" t="str">
        <f t="shared" si="66"/>
        <v>Medium</v>
      </c>
      <c r="R835" t="str">
        <f t="shared" si="67"/>
        <v>Mid-Level</v>
      </c>
      <c r="S835" t="str">
        <f t="shared" si="68"/>
        <v>Needs Improvement</v>
      </c>
      <c r="T835" s="4" t="str">
        <f t="shared" si="69"/>
        <v>Satisfied</v>
      </c>
    </row>
    <row r="836" spans="1:20" x14ac:dyDescent="0.3">
      <c r="A836" t="s">
        <v>1039</v>
      </c>
      <c r="B836" t="s">
        <v>535</v>
      </c>
      <c r="C836" t="s">
        <v>17</v>
      </c>
      <c r="D836">
        <v>28</v>
      </c>
      <c r="E836" t="s">
        <v>18</v>
      </c>
      <c r="F836" t="s">
        <v>19</v>
      </c>
      <c r="G836" t="s">
        <v>33</v>
      </c>
      <c r="H836">
        <v>39000</v>
      </c>
      <c r="I836">
        <v>7</v>
      </c>
      <c r="J836">
        <v>2</v>
      </c>
      <c r="K836">
        <v>3</v>
      </c>
      <c r="L836" t="s">
        <v>21</v>
      </c>
      <c r="M836" t="s">
        <v>29</v>
      </c>
      <c r="N836" t="s">
        <v>22</v>
      </c>
      <c r="O836" t="s">
        <v>30</v>
      </c>
      <c r="P836" t="str">
        <f t="shared" si="65"/>
        <v>20-29</v>
      </c>
      <c r="Q836" t="str">
        <f t="shared" si="66"/>
        <v>Low</v>
      </c>
      <c r="R836" t="str">
        <f t="shared" si="67"/>
        <v>Senior</v>
      </c>
      <c r="S836" t="str">
        <f t="shared" si="68"/>
        <v>Needs Improvement</v>
      </c>
      <c r="T836" s="4" t="str">
        <f t="shared" si="69"/>
        <v>Neutral</v>
      </c>
    </row>
    <row r="837" spans="1:20" x14ac:dyDescent="0.3">
      <c r="A837" t="s">
        <v>1040</v>
      </c>
      <c r="B837" t="s">
        <v>246</v>
      </c>
      <c r="C837" t="s">
        <v>17</v>
      </c>
      <c r="D837">
        <v>32</v>
      </c>
      <c r="E837" t="s">
        <v>49</v>
      </c>
      <c r="F837" t="s">
        <v>27</v>
      </c>
      <c r="G837" t="s">
        <v>46</v>
      </c>
      <c r="H837">
        <v>117000</v>
      </c>
      <c r="I837">
        <v>10</v>
      </c>
      <c r="J837">
        <v>5</v>
      </c>
      <c r="K837">
        <v>5</v>
      </c>
      <c r="L837" t="s">
        <v>21</v>
      </c>
      <c r="M837" t="s">
        <v>29</v>
      </c>
      <c r="N837" t="s">
        <v>22</v>
      </c>
      <c r="O837" t="s">
        <v>23</v>
      </c>
      <c r="P837" t="str">
        <f t="shared" si="65"/>
        <v>30-39</v>
      </c>
      <c r="Q837" t="str">
        <f t="shared" si="66"/>
        <v>High</v>
      </c>
      <c r="R837" t="str">
        <f t="shared" si="67"/>
        <v>Senior</v>
      </c>
      <c r="S837" t="str">
        <f t="shared" si="68"/>
        <v>High Performer</v>
      </c>
      <c r="T837" s="4" t="str">
        <f t="shared" si="69"/>
        <v>Satisfied</v>
      </c>
    </row>
    <row r="838" spans="1:20" x14ac:dyDescent="0.3">
      <c r="A838" t="s">
        <v>1041</v>
      </c>
      <c r="B838" t="s">
        <v>308</v>
      </c>
      <c r="C838" t="s">
        <v>17</v>
      </c>
      <c r="D838">
        <v>27</v>
      </c>
      <c r="E838" t="s">
        <v>41</v>
      </c>
      <c r="F838" t="s">
        <v>73</v>
      </c>
      <c r="G838" t="s">
        <v>20</v>
      </c>
      <c r="H838">
        <v>31000</v>
      </c>
      <c r="I838">
        <v>6</v>
      </c>
      <c r="J838">
        <v>5</v>
      </c>
      <c r="K838">
        <v>5</v>
      </c>
      <c r="L838" t="s">
        <v>21</v>
      </c>
      <c r="M838" t="s">
        <v>29</v>
      </c>
      <c r="N838" t="s">
        <v>34</v>
      </c>
      <c r="O838" t="s">
        <v>70</v>
      </c>
      <c r="P838" t="str">
        <f t="shared" si="65"/>
        <v>20-29</v>
      </c>
      <c r="Q838" t="str">
        <f t="shared" si="66"/>
        <v>Low</v>
      </c>
      <c r="R838" t="str">
        <f t="shared" si="67"/>
        <v>Mid-Level</v>
      </c>
      <c r="S838" t="str">
        <f t="shared" si="68"/>
        <v>High Performer</v>
      </c>
      <c r="T838" s="4" t="str">
        <f t="shared" si="69"/>
        <v>Satisfied</v>
      </c>
    </row>
    <row r="839" spans="1:20" x14ac:dyDescent="0.3">
      <c r="A839" t="s">
        <v>1042</v>
      </c>
      <c r="B839" t="s">
        <v>265</v>
      </c>
      <c r="C839" t="s">
        <v>37</v>
      </c>
      <c r="D839">
        <v>22</v>
      </c>
      <c r="E839" t="s">
        <v>57</v>
      </c>
      <c r="F839" t="s">
        <v>50</v>
      </c>
      <c r="G839" t="s">
        <v>46</v>
      </c>
      <c r="H839">
        <v>36000</v>
      </c>
      <c r="I839">
        <v>1</v>
      </c>
      <c r="J839">
        <v>4</v>
      </c>
      <c r="K839">
        <v>3</v>
      </c>
      <c r="L839" t="s">
        <v>21</v>
      </c>
      <c r="M839" t="s">
        <v>29</v>
      </c>
      <c r="N839" t="s">
        <v>34</v>
      </c>
      <c r="O839" t="s">
        <v>43</v>
      </c>
      <c r="P839" t="str">
        <f t="shared" si="65"/>
        <v>20-29</v>
      </c>
      <c r="Q839" t="str">
        <f t="shared" si="66"/>
        <v>Low</v>
      </c>
      <c r="R839" t="str">
        <f t="shared" si="67"/>
        <v>Junior</v>
      </c>
      <c r="S839" t="str">
        <f t="shared" si="68"/>
        <v>High Performer</v>
      </c>
      <c r="T839" s="4" t="str">
        <f t="shared" si="69"/>
        <v>Neutral</v>
      </c>
    </row>
    <row r="840" spans="1:20" x14ac:dyDescent="0.3">
      <c r="A840" t="s">
        <v>1043</v>
      </c>
      <c r="B840" t="s">
        <v>486</v>
      </c>
      <c r="C840" t="s">
        <v>17</v>
      </c>
      <c r="D840">
        <v>53</v>
      </c>
      <c r="E840" t="s">
        <v>18</v>
      </c>
      <c r="F840" t="s">
        <v>126</v>
      </c>
      <c r="G840" t="s">
        <v>28</v>
      </c>
      <c r="H840">
        <v>85000</v>
      </c>
      <c r="I840">
        <v>12</v>
      </c>
      <c r="J840">
        <v>3</v>
      </c>
      <c r="K840">
        <v>5</v>
      </c>
      <c r="L840" t="s">
        <v>29</v>
      </c>
      <c r="M840" t="s">
        <v>29</v>
      </c>
      <c r="N840" t="s">
        <v>22</v>
      </c>
      <c r="O840" t="s">
        <v>75</v>
      </c>
      <c r="P840" t="str">
        <f t="shared" si="65"/>
        <v>50+</v>
      </c>
      <c r="Q840" t="str">
        <f t="shared" si="66"/>
        <v>High</v>
      </c>
      <c r="R840" t="str">
        <f t="shared" si="67"/>
        <v>Senior</v>
      </c>
      <c r="S840" t="str">
        <f t="shared" si="68"/>
        <v>Needs Improvement</v>
      </c>
      <c r="T840" s="4" t="str">
        <f t="shared" si="69"/>
        <v>Satisfied</v>
      </c>
    </row>
    <row r="841" spans="1:20" x14ac:dyDescent="0.3">
      <c r="A841" t="s">
        <v>1044</v>
      </c>
      <c r="B841" t="s">
        <v>300</v>
      </c>
      <c r="C841" t="s">
        <v>17</v>
      </c>
      <c r="D841">
        <v>51</v>
      </c>
      <c r="E841" t="s">
        <v>49</v>
      </c>
      <c r="F841" t="s">
        <v>50</v>
      </c>
      <c r="G841" t="s">
        <v>33</v>
      </c>
      <c r="H841">
        <v>110000</v>
      </c>
      <c r="I841">
        <v>8</v>
      </c>
      <c r="J841">
        <v>4</v>
      </c>
      <c r="K841">
        <v>3</v>
      </c>
      <c r="L841" t="s">
        <v>29</v>
      </c>
      <c r="M841" t="s">
        <v>29</v>
      </c>
      <c r="N841" t="s">
        <v>22</v>
      </c>
      <c r="O841" t="s">
        <v>70</v>
      </c>
      <c r="P841" t="str">
        <f t="shared" si="65"/>
        <v>50+</v>
      </c>
      <c r="Q841" t="str">
        <f t="shared" si="66"/>
        <v>High</v>
      </c>
      <c r="R841" t="str">
        <f t="shared" si="67"/>
        <v>Senior</v>
      </c>
      <c r="S841" t="str">
        <f t="shared" si="68"/>
        <v>High Performer</v>
      </c>
      <c r="T841" s="4" t="str">
        <f t="shared" si="69"/>
        <v>Neutral</v>
      </c>
    </row>
    <row r="842" spans="1:20" x14ac:dyDescent="0.3">
      <c r="A842" t="s">
        <v>1045</v>
      </c>
      <c r="B842" t="s">
        <v>61</v>
      </c>
      <c r="C842" t="s">
        <v>17</v>
      </c>
      <c r="D842">
        <v>28</v>
      </c>
      <c r="E842" t="s">
        <v>18</v>
      </c>
      <c r="F842" t="s">
        <v>19</v>
      </c>
      <c r="G842" t="s">
        <v>46</v>
      </c>
      <c r="H842">
        <v>109000</v>
      </c>
      <c r="I842">
        <v>7</v>
      </c>
      <c r="J842">
        <v>2</v>
      </c>
      <c r="K842">
        <v>3</v>
      </c>
      <c r="L842" t="s">
        <v>29</v>
      </c>
      <c r="M842" t="s">
        <v>29</v>
      </c>
      <c r="N842" t="s">
        <v>34</v>
      </c>
      <c r="O842" t="s">
        <v>54</v>
      </c>
      <c r="P842" t="str">
        <f t="shared" si="65"/>
        <v>20-29</v>
      </c>
      <c r="Q842" t="str">
        <f t="shared" si="66"/>
        <v>High</v>
      </c>
      <c r="R842" t="str">
        <f t="shared" si="67"/>
        <v>Senior</v>
      </c>
      <c r="S842" t="str">
        <f t="shared" si="68"/>
        <v>Needs Improvement</v>
      </c>
      <c r="T842" s="4" t="str">
        <f t="shared" si="69"/>
        <v>Neutral</v>
      </c>
    </row>
    <row r="843" spans="1:20" x14ac:dyDescent="0.3">
      <c r="A843" t="s">
        <v>1046</v>
      </c>
      <c r="B843" t="s">
        <v>314</v>
      </c>
      <c r="C843" t="s">
        <v>17</v>
      </c>
      <c r="D843">
        <v>28</v>
      </c>
      <c r="E843" t="s">
        <v>66</v>
      </c>
      <c r="F843" t="s">
        <v>82</v>
      </c>
      <c r="G843" t="s">
        <v>28</v>
      </c>
      <c r="H843">
        <v>50000</v>
      </c>
      <c r="I843">
        <v>0</v>
      </c>
      <c r="J843">
        <v>3</v>
      </c>
      <c r="K843">
        <v>2</v>
      </c>
      <c r="L843" t="s">
        <v>29</v>
      </c>
      <c r="M843" t="s">
        <v>29</v>
      </c>
      <c r="N843" t="s">
        <v>22</v>
      </c>
      <c r="O843" t="s">
        <v>43</v>
      </c>
      <c r="P843" t="str">
        <f t="shared" si="65"/>
        <v>20-29</v>
      </c>
      <c r="Q843" t="str">
        <f t="shared" si="66"/>
        <v>Medium</v>
      </c>
      <c r="R843" t="str">
        <f t="shared" si="67"/>
        <v>Junior</v>
      </c>
      <c r="S843" t="str">
        <f t="shared" si="68"/>
        <v>Needs Improvement</v>
      </c>
      <c r="T843" s="4" t="str">
        <f t="shared" si="69"/>
        <v>Dissatisfied</v>
      </c>
    </row>
    <row r="844" spans="1:20" x14ac:dyDescent="0.3">
      <c r="A844" t="s">
        <v>1047</v>
      </c>
      <c r="B844" t="s">
        <v>360</v>
      </c>
      <c r="C844" t="s">
        <v>37</v>
      </c>
      <c r="D844">
        <v>48</v>
      </c>
      <c r="E844" t="s">
        <v>49</v>
      </c>
      <c r="F844" t="s">
        <v>50</v>
      </c>
      <c r="G844" t="s">
        <v>46</v>
      </c>
      <c r="H844">
        <v>110000</v>
      </c>
      <c r="I844">
        <v>18</v>
      </c>
      <c r="J844">
        <v>4</v>
      </c>
      <c r="K844">
        <v>3</v>
      </c>
      <c r="L844" t="s">
        <v>29</v>
      </c>
      <c r="M844" t="s">
        <v>29</v>
      </c>
      <c r="N844" t="s">
        <v>22</v>
      </c>
      <c r="O844" t="s">
        <v>75</v>
      </c>
      <c r="P844" t="str">
        <f t="shared" si="65"/>
        <v>40-49</v>
      </c>
      <c r="Q844" t="str">
        <f t="shared" si="66"/>
        <v>High</v>
      </c>
      <c r="R844" t="str">
        <f t="shared" si="67"/>
        <v>Senior</v>
      </c>
      <c r="S844" t="str">
        <f t="shared" si="68"/>
        <v>High Performer</v>
      </c>
      <c r="T844" s="4" t="str">
        <f t="shared" si="69"/>
        <v>Neutral</v>
      </c>
    </row>
    <row r="845" spans="1:20" x14ac:dyDescent="0.3">
      <c r="A845" t="s">
        <v>1048</v>
      </c>
      <c r="B845" t="s">
        <v>186</v>
      </c>
      <c r="C845" t="s">
        <v>37</v>
      </c>
      <c r="D845">
        <v>24</v>
      </c>
      <c r="E845" t="s">
        <v>41</v>
      </c>
      <c r="F845" t="s">
        <v>73</v>
      </c>
      <c r="G845" t="s">
        <v>46</v>
      </c>
      <c r="H845">
        <v>34000</v>
      </c>
      <c r="I845">
        <v>3</v>
      </c>
      <c r="J845">
        <v>3</v>
      </c>
      <c r="K845">
        <v>1</v>
      </c>
      <c r="L845" t="s">
        <v>21</v>
      </c>
      <c r="M845" t="s">
        <v>29</v>
      </c>
      <c r="N845" t="s">
        <v>22</v>
      </c>
      <c r="O845" t="s">
        <v>70</v>
      </c>
      <c r="P845" t="str">
        <f t="shared" si="65"/>
        <v>20-29</v>
      </c>
      <c r="Q845" t="str">
        <f t="shared" si="66"/>
        <v>Low</v>
      </c>
      <c r="R845" t="str">
        <f t="shared" si="67"/>
        <v>Mid-Level</v>
      </c>
      <c r="S845" t="str">
        <f t="shared" si="68"/>
        <v>Needs Improvement</v>
      </c>
      <c r="T845" s="4" t="str">
        <f t="shared" si="69"/>
        <v>Dissatisfied</v>
      </c>
    </row>
    <row r="846" spans="1:20" x14ac:dyDescent="0.3">
      <c r="A846" t="s">
        <v>1049</v>
      </c>
      <c r="B846" t="s">
        <v>84</v>
      </c>
      <c r="C846" t="s">
        <v>17</v>
      </c>
      <c r="D846">
        <v>30</v>
      </c>
      <c r="E846" t="s">
        <v>49</v>
      </c>
      <c r="F846" t="s">
        <v>27</v>
      </c>
      <c r="G846" t="s">
        <v>33</v>
      </c>
      <c r="H846">
        <v>43000</v>
      </c>
      <c r="I846">
        <v>9</v>
      </c>
      <c r="J846">
        <v>3</v>
      </c>
      <c r="K846">
        <v>2</v>
      </c>
      <c r="L846" t="s">
        <v>29</v>
      </c>
      <c r="M846" t="s">
        <v>29</v>
      </c>
      <c r="N846" t="s">
        <v>22</v>
      </c>
      <c r="O846" t="s">
        <v>43</v>
      </c>
      <c r="P846" t="str">
        <f t="shared" si="65"/>
        <v>30-39</v>
      </c>
      <c r="Q846" t="str">
        <f t="shared" si="66"/>
        <v>Medium</v>
      </c>
      <c r="R846" t="str">
        <f t="shared" si="67"/>
        <v>Senior</v>
      </c>
      <c r="S846" t="str">
        <f t="shared" si="68"/>
        <v>Needs Improvement</v>
      </c>
      <c r="T846" s="4" t="str">
        <f t="shared" si="69"/>
        <v>Dissatisfied</v>
      </c>
    </row>
    <row r="847" spans="1:20" x14ac:dyDescent="0.3">
      <c r="A847" t="s">
        <v>1050</v>
      </c>
      <c r="B847" t="s">
        <v>40</v>
      </c>
      <c r="C847" t="s">
        <v>17</v>
      </c>
      <c r="D847">
        <v>48</v>
      </c>
      <c r="E847" t="s">
        <v>41</v>
      </c>
      <c r="F847" t="s">
        <v>42</v>
      </c>
      <c r="G847" t="s">
        <v>20</v>
      </c>
      <c r="H847">
        <v>87000</v>
      </c>
      <c r="I847">
        <v>5</v>
      </c>
      <c r="J847">
        <v>2</v>
      </c>
      <c r="K847">
        <v>3</v>
      </c>
      <c r="L847" t="s">
        <v>21</v>
      </c>
      <c r="M847" t="s">
        <v>29</v>
      </c>
      <c r="N847" t="s">
        <v>34</v>
      </c>
      <c r="O847" t="s">
        <v>23</v>
      </c>
      <c r="P847" t="str">
        <f t="shared" si="65"/>
        <v>40-49</v>
      </c>
      <c r="Q847" t="str">
        <f t="shared" si="66"/>
        <v>High</v>
      </c>
      <c r="R847" t="str">
        <f t="shared" si="67"/>
        <v>Mid-Level</v>
      </c>
      <c r="S847" t="str">
        <f t="shared" si="68"/>
        <v>Needs Improvement</v>
      </c>
      <c r="T847" s="4" t="str">
        <f t="shared" si="69"/>
        <v>Neutral</v>
      </c>
    </row>
    <row r="848" spans="1:20" x14ac:dyDescent="0.3">
      <c r="A848" t="s">
        <v>1051</v>
      </c>
      <c r="B848" t="s">
        <v>179</v>
      </c>
      <c r="C848" t="s">
        <v>17</v>
      </c>
      <c r="D848">
        <v>38</v>
      </c>
      <c r="E848" t="s">
        <v>49</v>
      </c>
      <c r="F848" t="s">
        <v>27</v>
      </c>
      <c r="G848" t="s">
        <v>28</v>
      </c>
      <c r="H848">
        <v>75000</v>
      </c>
      <c r="I848">
        <v>2</v>
      </c>
      <c r="J848">
        <v>2</v>
      </c>
      <c r="K848">
        <v>5</v>
      </c>
      <c r="L848" t="s">
        <v>29</v>
      </c>
      <c r="M848" t="s">
        <v>29</v>
      </c>
      <c r="N848" t="s">
        <v>34</v>
      </c>
      <c r="O848" t="s">
        <v>70</v>
      </c>
      <c r="P848" t="str">
        <f t="shared" si="65"/>
        <v>30-39</v>
      </c>
      <c r="Q848" t="str">
        <f t="shared" si="66"/>
        <v>High</v>
      </c>
      <c r="R848" t="str">
        <f t="shared" si="67"/>
        <v>Junior</v>
      </c>
      <c r="S848" t="str">
        <f t="shared" si="68"/>
        <v>Needs Improvement</v>
      </c>
      <c r="T848" s="4" t="str">
        <f t="shared" si="69"/>
        <v>Satisfied</v>
      </c>
    </row>
    <row r="849" spans="1:20" x14ac:dyDescent="0.3">
      <c r="A849" t="s">
        <v>1052</v>
      </c>
      <c r="B849" t="s">
        <v>111</v>
      </c>
      <c r="C849" t="s">
        <v>37</v>
      </c>
      <c r="D849">
        <v>43</v>
      </c>
      <c r="E849" t="s">
        <v>66</v>
      </c>
      <c r="F849" t="s">
        <v>67</v>
      </c>
      <c r="G849" t="s">
        <v>20</v>
      </c>
      <c r="H849">
        <v>58000</v>
      </c>
      <c r="I849">
        <v>17</v>
      </c>
      <c r="J849">
        <v>2</v>
      </c>
      <c r="K849">
        <v>3</v>
      </c>
      <c r="L849" t="s">
        <v>29</v>
      </c>
      <c r="M849" t="s">
        <v>29</v>
      </c>
      <c r="N849" t="s">
        <v>22</v>
      </c>
      <c r="O849" t="s">
        <v>75</v>
      </c>
      <c r="P849" t="str">
        <f t="shared" si="65"/>
        <v>40-49</v>
      </c>
      <c r="Q849" t="str">
        <f t="shared" si="66"/>
        <v>Medium</v>
      </c>
      <c r="R849" t="str">
        <f t="shared" si="67"/>
        <v>Senior</v>
      </c>
      <c r="S849" t="str">
        <f t="shared" si="68"/>
        <v>Needs Improvement</v>
      </c>
      <c r="T849" s="4" t="str">
        <f t="shared" si="69"/>
        <v>Neutral</v>
      </c>
    </row>
    <row r="850" spans="1:20" x14ac:dyDescent="0.3">
      <c r="A850" t="s">
        <v>1053</v>
      </c>
      <c r="B850" t="s">
        <v>96</v>
      </c>
      <c r="C850" t="s">
        <v>37</v>
      </c>
      <c r="D850">
        <v>36</v>
      </c>
      <c r="E850" t="s">
        <v>66</v>
      </c>
      <c r="F850" t="s">
        <v>67</v>
      </c>
      <c r="G850" t="s">
        <v>28</v>
      </c>
      <c r="H850">
        <v>102000</v>
      </c>
      <c r="I850">
        <v>10</v>
      </c>
      <c r="J850">
        <v>4</v>
      </c>
      <c r="K850">
        <v>5</v>
      </c>
      <c r="L850" t="s">
        <v>21</v>
      </c>
      <c r="M850" t="s">
        <v>29</v>
      </c>
      <c r="N850" t="s">
        <v>22</v>
      </c>
      <c r="O850" t="s">
        <v>75</v>
      </c>
      <c r="P850" t="str">
        <f t="shared" si="65"/>
        <v>30-39</v>
      </c>
      <c r="Q850" t="str">
        <f t="shared" si="66"/>
        <v>High</v>
      </c>
      <c r="R850" t="str">
        <f t="shared" si="67"/>
        <v>Senior</v>
      </c>
      <c r="S850" t="str">
        <f t="shared" si="68"/>
        <v>High Performer</v>
      </c>
      <c r="T850" s="4" t="str">
        <f t="shared" si="69"/>
        <v>Satisfied</v>
      </c>
    </row>
    <row r="851" spans="1:20" x14ac:dyDescent="0.3">
      <c r="A851" t="s">
        <v>1054</v>
      </c>
      <c r="B851" t="s">
        <v>328</v>
      </c>
      <c r="C851" t="s">
        <v>37</v>
      </c>
      <c r="D851">
        <v>52</v>
      </c>
      <c r="E851" t="s">
        <v>57</v>
      </c>
      <c r="F851" t="s">
        <v>50</v>
      </c>
      <c r="G851" t="s">
        <v>46</v>
      </c>
      <c r="H851">
        <v>78000</v>
      </c>
      <c r="I851">
        <v>6</v>
      </c>
      <c r="J851">
        <v>2</v>
      </c>
      <c r="K851">
        <v>4</v>
      </c>
      <c r="L851" t="s">
        <v>29</v>
      </c>
      <c r="M851" t="s">
        <v>29</v>
      </c>
      <c r="N851" t="s">
        <v>22</v>
      </c>
      <c r="O851" t="s">
        <v>38</v>
      </c>
      <c r="P851" t="str">
        <f t="shared" si="65"/>
        <v>50+</v>
      </c>
      <c r="Q851" t="str">
        <f t="shared" si="66"/>
        <v>High</v>
      </c>
      <c r="R851" t="str">
        <f t="shared" si="67"/>
        <v>Mid-Level</v>
      </c>
      <c r="S851" t="str">
        <f t="shared" si="68"/>
        <v>Needs Improvement</v>
      </c>
      <c r="T851" s="4" t="str">
        <f t="shared" si="69"/>
        <v>Satisfied</v>
      </c>
    </row>
    <row r="852" spans="1:20" x14ac:dyDescent="0.3">
      <c r="A852" t="s">
        <v>1055</v>
      </c>
      <c r="B852" t="s">
        <v>172</v>
      </c>
      <c r="C852" t="s">
        <v>17</v>
      </c>
      <c r="D852">
        <v>49</v>
      </c>
      <c r="E852" t="s">
        <v>41</v>
      </c>
      <c r="F852" t="s">
        <v>73</v>
      </c>
      <c r="G852" t="s">
        <v>33</v>
      </c>
      <c r="H852">
        <v>117000</v>
      </c>
      <c r="I852">
        <v>3</v>
      </c>
      <c r="J852">
        <v>2</v>
      </c>
      <c r="K852">
        <v>5</v>
      </c>
      <c r="L852" t="s">
        <v>21</v>
      </c>
      <c r="M852" t="s">
        <v>29</v>
      </c>
      <c r="N852" t="s">
        <v>22</v>
      </c>
      <c r="O852" t="s">
        <v>75</v>
      </c>
      <c r="P852" t="str">
        <f t="shared" si="65"/>
        <v>40-49</v>
      </c>
      <c r="Q852" t="str">
        <f t="shared" si="66"/>
        <v>High</v>
      </c>
      <c r="R852" t="str">
        <f t="shared" si="67"/>
        <v>Mid-Level</v>
      </c>
      <c r="S852" t="str">
        <f t="shared" si="68"/>
        <v>Needs Improvement</v>
      </c>
      <c r="T852" s="4" t="str">
        <f t="shared" si="69"/>
        <v>Satisfied</v>
      </c>
    </row>
    <row r="853" spans="1:20" x14ac:dyDescent="0.3">
      <c r="A853" t="s">
        <v>1056</v>
      </c>
      <c r="B853" t="s">
        <v>543</v>
      </c>
      <c r="C853" t="s">
        <v>17</v>
      </c>
      <c r="D853">
        <v>37</v>
      </c>
      <c r="E853" t="s">
        <v>18</v>
      </c>
      <c r="F853" t="s">
        <v>126</v>
      </c>
      <c r="G853" t="s">
        <v>28</v>
      </c>
      <c r="H853">
        <v>47000</v>
      </c>
      <c r="I853">
        <v>16</v>
      </c>
      <c r="J853">
        <v>2</v>
      </c>
      <c r="K853">
        <v>3</v>
      </c>
      <c r="L853" t="s">
        <v>29</v>
      </c>
      <c r="M853" t="s">
        <v>29</v>
      </c>
      <c r="N853" t="s">
        <v>34</v>
      </c>
      <c r="O853" t="s">
        <v>43</v>
      </c>
      <c r="P853" t="str">
        <f t="shared" si="65"/>
        <v>30-39</v>
      </c>
      <c r="Q853" t="str">
        <f t="shared" si="66"/>
        <v>Medium</v>
      </c>
      <c r="R853" t="str">
        <f t="shared" si="67"/>
        <v>Senior</v>
      </c>
      <c r="S853" t="str">
        <f t="shared" si="68"/>
        <v>Needs Improvement</v>
      </c>
      <c r="T853" s="4" t="str">
        <f t="shared" si="69"/>
        <v>Neutral</v>
      </c>
    </row>
    <row r="854" spans="1:20" x14ac:dyDescent="0.3">
      <c r="A854" t="s">
        <v>1057</v>
      </c>
      <c r="B854" t="s">
        <v>418</v>
      </c>
      <c r="C854" t="s">
        <v>37</v>
      </c>
      <c r="D854">
        <v>26</v>
      </c>
      <c r="E854" t="s">
        <v>66</v>
      </c>
      <c r="F854" t="s">
        <v>82</v>
      </c>
      <c r="G854" t="s">
        <v>46</v>
      </c>
      <c r="H854">
        <v>36000</v>
      </c>
      <c r="I854">
        <v>5</v>
      </c>
      <c r="J854">
        <v>3</v>
      </c>
      <c r="K854">
        <v>5</v>
      </c>
      <c r="L854" t="s">
        <v>29</v>
      </c>
      <c r="M854" t="s">
        <v>29</v>
      </c>
      <c r="N854" t="s">
        <v>34</v>
      </c>
      <c r="O854" t="s">
        <v>30</v>
      </c>
      <c r="P854" t="str">
        <f t="shared" si="65"/>
        <v>20-29</v>
      </c>
      <c r="Q854" t="str">
        <f t="shared" si="66"/>
        <v>Low</v>
      </c>
      <c r="R854" t="str">
        <f t="shared" si="67"/>
        <v>Mid-Level</v>
      </c>
      <c r="S854" t="str">
        <f t="shared" si="68"/>
        <v>Needs Improvement</v>
      </c>
      <c r="T854" s="4" t="str">
        <f t="shared" si="69"/>
        <v>Satisfied</v>
      </c>
    </row>
    <row r="855" spans="1:20" x14ac:dyDescent="0.3">
      <c r="A855" t="s">
        <v>1058</v>
      </c>
      <c r="B855" t="s">
        <v>90</v>
      </c>
      <c r="C855" t="s">
        <v>17</v>
      </c>
      <c r="D855">
        <v>22</v>
      </c>
      <c r="E855" t="s">
        <v>18</v>
      </c>
      <c r="F855" t="s">
        <v>19</v>
      </c>
      <c r="G855" t="s">
        <v>33</v>
      </c>
      <c r="H855">
        <v>54000</v>
      </c>
      <c r="I855">
        <v>1</v>
      </c>
      <c r="J855">
        <v>2</v>
      </c>
      <c r="K855">
        <v>1</v>
      </c>
      <c r="L855" t="s">
        <v>29</v>
      </c>
      <c r="M855" t="s">
        <v>29</v>
      </c>
      <c r="N855" t="s">
        <v>22</v>
      </c>
      <c r="O855" t="s">
        <v>70</v>
      </c>
      <c r="P855" t="str">
        <f t="shared" si="65"/>
        <v>20-29</v>
      </c>
      <c r="Q855" t="str">
        <f t="shared" si="66"/>
        <v>Medium</v>
      </c>
      <c r="R855" t="str">
        <f t="shared" si="67"/>
        <v>Junior</v>
      </c>
      <c r="S855" t="str">
        <f t="shared" si="68"/>
        <v>Needs Improvement</v>
      </c>
      <c r="T855" s="4" t="str">
        <f t="shared" si="69"/>
        <v>Dissatisfied</v>
      </c>
    </row>
    <row r="856" spans="1:20" x14ac:dyDescent="0.3">
      <c r="A856" t="s">
        <v>1059</v>
      </c>
      <c r="B856" t="s">
        <v>166</v>
      </c>
      <c r="C856" t="s">
        <v>37</v>
      </c>
      <c r="D856">
        <v>32</v>
      </c>
      <c r="E856" t="s">
        <v>49</v>
      </c>
      <c r="F856" t="s">
        <v>50</v>
      </c>
      <c r="G856" t="s">
        <v>28</v>
      </c>
      <c r="H856">
        <v>56000</v>
      </c>
      <c r="I856">
        <v>3</v>
      </c>
      <c r="J856">
        <v>2</v>
      </c>
      <c r="K856">
        <v>3</v>
      </c>
      <c r="L856" t="s">
        <v>21</v>
      </c>
      <c r="M856" t="s">
        <v>29</v>
      </c>
      <c r="N856" t="s">
        <v>22</v>
      </c>
      <c r="O856" t="s">
        <v>54</v>
      </c>
      <c r="P856" t="str">
        <f t="shared" si="65"/>
        <v>30-39</v>
      </c>
      <c r="Q856" t="str">
        <f t="shared" si="66"/>
        <v>Medium</v>
      </c>
      <c r="R856" t="str">
        <f t="shared" si="67"/>
        <v>Mid-Level</v>
      </c>
      <c r="S856" t="str">
        <f t="shared" si="68"/>
        <v>Needs Improvement</v>
      </c>
      <c r="T856" s="4" t="str">
        <f t="shared" si="69"/>
        <v>Neutral</v>
      </c>
    </row>
    <row r="857" spans="1:20" x14ac:dyDescent="0.3">
      <c r="A857" t="s">
        <v>1060</v>
      </c>
      <c r="B857" t="s">
        <v>265</v>
      </c>
      <c r="C857" t="s">
        <v>37</v>
      </c>
      <c r="D857">
        <v>29</v>
      </c>
      <c r="E857" t="s">
        <v>26</v>
      </c>
      <c r="F857" t="s">
        <v>27</v>
      </c>
      <c r="G857" t="s">
        <v>28</v>
      </c>
      <c r="H857">
        <v>106000</v>
      </c>
      <c r="I857">
        <v>8</v>
      </c>
      <c r="J857">
        <v>4</v>
      </c>
      <c r="K857">
        <v>2</v>
      </c>
      <c r="L857" t="s">
        <v>29</v>
      </c>
      <c r="M857" t="s">
        <v>29</v>
      </c>
      <c r="N857" t="s">
        <v>22</v>
      </c>
      <c r="O857" t="s">
        <v>75</v>
      </c>
      <c r="P857" t="str">
        <f t="shared" si="65"/>
        <v>20-29</v>
      </c>
      <c r="Q857" t="str">
        <f t="shared" si="66"/>
        <v>High</v>
      </c>
      <c r="R857" t="str">
        <f t="shared" si="67"/>
        <v>Senior</v>
      </c>
      <c r="S857" t="str">
        <f t="shared" si="68"/>
        <v>High Performer</v>
      </c>
      <c r="T857" s="4" t="str">
        <f t="shared" si="69"/>
        <v>Dissatisfied</v>
      </c>
    </row>
    <row r="858" spans="1:20" x14ac:dyDescent="0.3">
      <c r="A858" t="s">
        <v>1061</v>
      </c>
      <c r="B858" t="s">
        <v>295</v>
      </c>
      <c r="C858" t="s">
        <v>37</v>
      </c>
      <c r="D858">
        <v>48</v>
      </c>
      <c r="E858" t="s">
        <v>41</v>
      </c>
      <c r="F858" t="s">
        <v>42</v>
      </c>
      <c r="G858" t="s">
        <v>28</v>
      </c>
      <c r="H858">
        <v>112000</v>
      </c>
      <c r="I858">
        <v>8</v>
      </c>
      <c r="J858">
        <v>4</v>
      </c>
      <c r="K858">
        <v>1</v>
      </c>
      <c r="L858" t="s">
        <v>21</v>
      </c>
      <c r="M858" t="s">
        <v>29</v>
      </c>
      <c r="N858" t="s">
        <v>22</v>
      </c>
      <c r="O858" t="s">
        <v>38</v>
      </c>
      <c r="P858" t="str">
        <f t="shared" si="65"/>
        <v>40-49</v>
      </c>
      <c r="Q858" t="str">
        <f t="shared" si="66"/>
        <v>High</v>
      </c>
      <c r="R858" t="str">
        <f t="shared" si="67"/>
        <v>Senior</v>
      </c>
      <c r="S858" t="str">
        <f t="shared" si="68"/>
        <v>High Performer</v>
      </c>
      <c r="T858" s="4" t="str">
        <f t="shared" si="69"/>
        <v>Dissatisfied</v>
      </c>
    </row>
    <row r="859" spans="1:20" x14ac:dyDescent="0.3">
      <c r="A859" t="s">
        <v>1062</v>
      </c>
      <c r="B859" t="s">
        <v>1063</v>
      </c>
      <c r="C859" t="s">
        <v>17</v>
      </c>
      <c r="D859">
        <v>36</v>
      </c>
      <c r="E859" t="s">
        <v>49</v>
      </c>
      <c r="F859" t="s">
        <v>27</v>
      </c>
      <c r="G859" t="s">
        <v>28</v>
      </c>
      <c r="H859">
        <v>68000</v>
      </c>
      <c r="I859">
        <v>4</v>
      </c>
      <c r="J859">
        <v>5</v>
      </c>
      <c r="K859">
        <v>4</v>
      </c>
      <c r="L859" t="s">
        <v>29</v>
      </c>
      <c r="M859" t="s">
        <v>29</v>
      </c>
      <c r="N859" t="s">
        <v>22</v>
      </c>
      <c r="O859" t="s">
        <v>38</v>
      </c>
      <c r="P859" t="str">
        <f t="shared" si="65"/>
        <v>30-39</v>
      </c>
      <c r="Q859" t="str">
        <f t="shared" si="66"/>
        <v>Medium</v>
      </c>
      <c r="R859" t="str">
        <f t="shared" si="67"/>
        <v>Mid-Level</v>
      </c>
      <c r="S859" t="str">
        <f t="shared" si="68"/>
        <v>High Performer</v>
      </c>
      <c r="T859" s="4" t="str">
        <f t="shared" si="69"/>
        <v>Satisfied</v>
      </c>
    </row>
    <row r="860" spans="1:20" x14ac:dyDescent="0.3">
      <c r="A860" t="s">
        <v>1064</v>
      </c>
      <c r="B860" t="s">
        <v>448</v>
      </c>
      <c r="C860" t="s">
        <v>17</v>
      </c>
      <c r="D860">
        <v>26</v>
      </c>
      <c r="E860" t="s">
        <v>66</v>
      </c>
      <c r="F860" t="s">
        <v>67</v>
      </c>
      <c r="G860" t="s">
        <v>46</v>
      </c>
      <c r="H860">
        <v>66000</v>
      </c>
      <c r="I860">
        <v>5</v>
      </c>
      <c r="J860">
        <v>2</v>
      </c>
      <c r="K860">
        <v>3</v>
      </c>
      <c r="L860" t="s">
        <v>29</v>
      </c>
      <c r="M860" t="s">
        <v>29</v>
      </c>
      <c r="N860" t="s">
        <v>34</v>
      </c>
      <c r="O860" t="s">
        <v>43</v>
      </c>
      <c r="P860" t="str">
        <f t="shared" si="65"/>
        <v>20-29</v>
      </c>
      <c r="Q860" t="str">
        <f t="shared" si="66"/>
        <v>Medium</v>
      </c>
      <c r="R860" t="str">
        <f t="shared" si="67"/>
        <v>Mid-Level</v>
      </c>
      <c r="S860" t="str">
        <f t="shared" si="68"/>
        <v>Needs Improvement</v>
      </c>
      <c r="T860" s="4" t="str">
        <f t="shared" si="69"/>
        <v>Neutral</v>
      </c>
    </row>
    <row r="861" spans="1:20" x14ac:dyDescent="0.3">
      <c r="A861" t="s">
        <v>1065</v>
      </c>
      <c r="B861" t="s">
        <v>238</v>
      </c>
      <c r="C861" t="s">
        <v>17</v>
      </c>
      <c r="D861">
        <v>38</v>
      </c>
      <c r="E861" t="s">
        <v>18</v>
      </c>
      <c r="F861" t="s">
        <v>19</v>
      </c>
      <c r="G861" t="s">
        <v>28</v>
      </c>
      <c r="H861">
        <v>34000</v>
      </c>
      <c r="I861">
        <v>4</v>
      </c>
      <c r="J861">
        <v>4</v>
      </c>
      <c r="K861">
        <v>5</v>
      </c>
      <c r="L861" t="s">
        <v>21</v>
      </c>
      <c r="M861" t="s">
        <v>29</v>
      </c>
      <c r="N861" t="s">
        <v>22</v>
      </c>
      <c r="O861" t="s">
        <v>70</v>
      </c>
      <c r="P861" t="str">
        <f t="shared" si="65"/>
        <v>30-39</v>
      </c>
      <c r="Q861" t="str">
        <f t="shared" si="66"/>
        <v>Low</v>
      </c>
      <c r="R861" t="str">
        <f t="shared" si="67"/>
        <v>Mid-Level</v>
      </c>
      <c r="S861" t="str">
        <f t="shared" si="68"/>
        <v>High Performer</v>
      </c>
      <c r="T861" s="4" t="str">
        <f t="shared" si="69"/>
        <v>Satisfied</v>
      </c>
    </row>
    <row r="862" spans="1:20" x14ac:dyDescent="0.3">
      <c r="A862" t="s">
        <v>1066</v>
      </c>
      <c r="B862" t="s">
        <v>273</v>
      </c>
      <c r="C862" t="s">
        <v>37</v>
      </c>
      <c r="D862">
        <v>34</v>
      </c>
      <c r="E862" t="s">
        <v>49</v>
      </c>
      <c r="F862" t="s">
        <v>27</v>
      </c>
      <c r="G862" t="s">
        <v>46</v>
      </c>
      <c r="H862">
        <v>89000</v>
      </c>
      <c r="I862">
        <v>11</v>
      </c>
      <c r="J862">
        <v>5</v>
      </c>
      <c r="K862">
        <v>4</v>
      </c>
      <c r="L862" t="s">
        <v>21</v>
      </c>
      <c r="M862" t="s">
        <v>29</v>
      </c>
      <c r="N862" t="s">
        <v>34</v>
      </c>
      <c r="O862" t="s">
        <v>30</v>
      </c>
      <c r="P862" t="str">
        <f t="shared" si="65"/>
        <v>30-39</v>
      </c>
      <c r="Q862" t="str">
        <f t="shared" si="66"/>
        <v>High</v>
      </c>
      <c r="R862" t="str">
        <f t="shared" si="67"/>
        <v>Senior</v>
      </c>
      <c r="S862" t="str">
        <f t="shared" si="68"/>
        <v>High Performer</v>
      </c>
      <c r="T862" s="4" t="str">
        <f t="shared" si="69"/>
        <v>Satisfied</v>
      </c>
    </row>
    <row r="863" spans="1:20" x14ac:dyDescent="0.3">
      <c r="A863" t="s">
        <v>1067</v>
      </c>
      <c r="B863" t="s">
        <v>40</v>
      </c>
      <c r="C863" t="s">
        <v>37</v>
      </c>
      <c r="D863">
        <v>23</v>
      </c>
      <c r="E863" t="s">
        <v>57</v>
      </c>
      <c r="F863" t="s">
        <v>50</v>
      </c>
      <c r="G863" t="s">
        <v>46</v>
      </c>
      <c r="H863">
        <v>26000</v>
      </c>
      <c r="I863">
        <v>2</v>
      </c>
      <c r="J863">
        <v>5</v>
      </c>
      <c r="K863">
        <v>3</v>
      </c>
      <c r="L863" t="s">
        <v>21</v>
      </c>
      <c r="M863" t="s">
        <v>29</v>
      </c>
      <c r="N863" t="s">
        <v>34</v>
      </c>
      <c r="O863" t="s">
        <v>43</v>
      </c>
      <c r="P863" t="str">
        <f t="shared" si="65"/>
        <v>20-29</v>
      </c>
      <c r="Q863" t="str">
        <f t="shared" si="66"/>
        <v>Low</v>
      </c>
      <c r="R863" t="str">
        <f t="shared" si="67"/>
        <v>Junior</v>
      </c>
      <c r="S863" t="str">
        <f t="shared" si="68"/>
        <v>High Performer</v>
      </c>
      <c r="T863" s="4" t="str">
        <f t="shared" si="69"/>
        <v>Neutral</v>
      </c>
    </row>
    <row r="864" spans="1:20" x14ac:dyDescent="0.3">
      <c r="A864" t="s">
        <v>1068</v>
      </c>
      <c r="B864" t="s">
        <v>541</v>
      </c>
      <c r="C864" t="s">
        <v>37</v>
      </c>
      <c r="D864">
        <v>31</v>
      </c>
      <c r="E864" t="s">
        <v>41</v>
      </c>
      <c r="F864" t="s">
        <v>42</v>
      </c>
      <c r="G864" t="s">
        <v>28</v>
      </c>
      <c r="H864">
        <v>86000</v>
      </c>
      <c r="I864">
        <v>9</v>
      </c>
      <c r="J864">
        <v>4</v>
      </c>
      <c r="K864">
        <v>2</v>
      </c>
      <c r="L864" t="s">
        <v>29</v>
      </c>
      <c r="M864" t="s">
        <v>29</v>
      </c>
      <c r="N864" t="s">
        <v>22</v>
      </c>
      <c r="O864" t="s">
        <v>43</v>
      </c>
      <c r="P864" t="str">
        <f t="shared" si="65"/>
        <v>30-39</v>
      </c>
      <c r="Q864" t="str">
        <f t="shared" si="66"/>
        <v>High</v>
      </c>
      <c r="R864" t="str">
        <f t="shared" si="67"/>
        <v>Senior</v>
      </c>
      <c r="S864" t="str">
        <f t="shared" si="68"/>
        <v>High Performer</v>
      </c>
      <c r="T864" s="4" t="str">
        <f t="shared" si="69"/>
        <v>Dissatisfied</v>
      </c>
    </row>
    <row r="865" spans="1:20" x14ac:dyDescent="0.3">
      <c r="A865" t="s">
        <v>1069</v>
      </c>
      <c r="B865" t="s">
        <v>586</v>
      </c>
      <c r="C865" t="s">
        <v>17</v>
      </c>
      <c r="D865">
        <v>30</v>
      </c>
      <c r="E865" t="s">
        <v>41</v>
      </c>
      <c r="F865" t="s">
        <v>42</v>
      </c>
      <c r="G865" t="s">
        <v>46</v>
      </c>
      <c r="H865">
        <v>92000</v>
      </c>
      <c r="I865">
        <v>8</v>
      </c>
      <c r="J865">
        <v>5</v>
      </c>
      <c r="K865">
        <v>3</v>
      </c>
      <c r="L865" t="s">
        <v>21</v>
      </c>
      <c r="M865" t="s">
        <v>29</v>
      </c>
      <c r="N865" t="s">
        <v>34</v>
      </c>
      <c r="O865" t="s">
        <v>75</v>
      </c>
      <c r="P865" t="str">
        <f t="shared" si="65"/>
        <v>30-39</v>
      </c>
      <c r="Q865" t="str">
        <f t="shared" si="66"/>
        <v>High</v>
      </c>
      <c r="R865" t="str">
        <f t="shared" si="67"/>
        <v>Senior</v>
      </c>
      <c r="S865" t="str">
        <f t="shared" si="68"/>
        <v>High Performer</v>
      </c>
      <c r="T865" s="4" t="str">
        <f t="shared" si="69"/>
        <v>Neutral</v>
      </c>
    </row>
    <row r="866" spans="1:20" x14ac:dyDescent="0.3">
      <c r="A866" t="s">
        <v>1070</v>
      </c>
      <c r="B866" t="s">
        <v>203</v>
      </c>
      <c r="C866" t="s">
        <v>37</v>
      </c>
      <c r="D866">
        <v>29</v>
      </c>
      <c r="E866" t="s">
        <v>41</v>
      </c>
      <c r="F866" t="s">
        <v>73</v>
      </c>
      <c r="G866" t="s">
        <v>28</v>
      </c>
      <c r="H866">
        <v>26000</v>
      </c>
      <c r="I866">
        <v>8</v>
      </c>
      <c r="J866">
        <v>5</v>
      </c>
      <c r="K866">
        <v>3</v>
      </c>
      <c r="L866" t="s">
        <v>21</v>
      </c>
      <c r="M866" t="s">
        <v>29</v>
      </c>
      <c r="N866" t="s">
        <v>34</v>
      </c>
      <c r="O866" t="s">
        <v>38</v>
      </c>
      <c r="P866" t="str">
        <f t="shared" si="65"/>
        <v>20-29</v>
      </c>
      <c r="Q866" t="str">
        <f t="shared" si="66"/>
        <v>Low</v>
      </c>
      <c r="R866" t="str">
        <f t="shared" si="67"/>
        <v>Senior</v>
      </c>
      <c r="S866" t="str">
        <f t="shared" si="68"/>
        <v>High Performer</v>
      </c>
      <c r="T866" s="4" t="str">
        <f t="shared" si="69"/>
        <v>Neutral</v>
      </c>
    </row>
    <row r="867" spans="1:20" x14ac:dyDescent="0.3">
      <c r="A867" t="s">
        <v>1071</v>
      </c>
      <c r="B867" t="s">
        <v>249</v>
      </c>
      <c r="C867" t="s">
        <v>37</v>
      </c>
      <c r="D867">
        <v>48</v>
      </c>
      <c r="E867" t="s">
        <v>57</v>
      </c>
      <c r="F867" t="s">
        <v>27</v>
      </c>
      <c r="G867" t="s">
        <v>28</v>
      </c>
      <c r="H867">
        <v>35000</v>
      </c>
      <c r="I867">
        <v>7</v>
      </c>
      <c r="J867">
        <v>3</v>
      </c>
      <c r="K867">
        <v>5</v>
      </c>
      <c r="L867" t="s">
        <v>29</v>
      </c>
      <c r="M867" t="s">
        <v>29</v>
      </c>
      <c r="N867" t="s">
        <v>22</v>
      </c>
      <c r="O867" t="s">
        <v>30</v>
      </c>
      <c r="P867" t="str">
        <f t="shared" si="65"/>
        <v>40-49</v>
      </c>
      <c r="Q867" t="str">
        <f t="shared" si="66"/>
        <v>Low</v>
      </c>
      <c r="R867" t="str">
        <f t="shared" si="67"/>
        <v>Senior</v>
      </c>
      <c r="S867" t="str">
        <f t="shared" si="68"/>
        <v>Needs Improvement</v>
      </c>
      <c r="T867" s="4" t="str">
        <f t="shared" si="69"/>
        <v>Satisfied</v>
      </c>
    </row>
    <row r="868" spans="1:20" x14ac:dyDescent="0.3">
      <c r="A868" t="s">
        <v>1072</v>
      </c>
      <c r="B868" t="s">
        <v>510</v>
      </c>
      <c r="C868" t="s">
        <v>37</v>
      </c>
      <c r="D868">
        <v>44</v>
      </c>
      <c r="E868" t="s">
        <v>66</v>
      </c>
      <c r="F868" t="s">
        <v>82</v>
      </c>
      <c r="G868" t="s">
        <v>33</v>
      </c>
      <c r="H868">
        <v>101000</v>
      </c>
      <c r="I868">
        <v>4</v>
      </c>
      <c r="J868">
        <v>5</v>
      </c>
      <c r="K868">
        <v>2</v>
      </c>
      <c r="L868" t="s">
        <v>29</v>
      </c>
      <c r="M868" t="s">
        <v>29</v>
      </c>
      <c r="N868" t="s">
        <v>34</v>
      </c>
      <c r="O868" t="s">
        <v>43</v>
      </c>
      <c r="P868" t="str">
        <f t="shared" si="65"/>
        <v>40-49</v>
      </c>
      <c r="Q868" t="str">
        <f t="shared" si="66"/>
        <v>High</v>
      </c>
      <c r="R868" t="str">
        <f t="shared" si="67"/>
        <v>Mid-Level</v>
      </c>
      <c r="S868" t="str">
        <f t="shared" si="68"/>
        <v>High Performer</v>
      </c>
      <c r="T868" s="4" t="str">
        <f t="shared" si="69"/>
        <v>Dissatisfied</v>
      </c>
    </row>
    <row r="869" spans="1:20" x14ac:dyDescent="0.3">
      <c r="A869" t="s">
        <v>1073</v>
      </c>
      <c r="B869" t="s">
        <v>138</v>
      </c>
      <c r="C869" t="s">
        <v>17</v>
      </c>
      <c r="D869">
        <v>42</v>
      </c>
      <c r="E869" t="s">
        <v>57</v>
      </c>
      <c r="F869" t="s">
        <v>50</v>
      </c>
      <c r="G869" t="s">
        <v>20</v>
      </c>
      <c r="H869">
        <v>54000</v>
      </c>
      <c r="I869">
        <v>11</v>
      </c>
      <c r="J869">
        <v>4</v>
      </c>
      <c r="K869">
        <v>2</v>
      </c>
      <c r="L869" t="s">
        <v>29</v>
      </c>
      <c r="M869" t="s">
        <v>29</v>
      </c>
      <c r="N869" t="s">
        <v>34</v>
      </c>
      <c r="O869" t="s">
        <v>23</v>
      </c>
      <c r="P869" t="str">
        <f t="shared" si="65"/>
        <v>40-49</v>
      </c>
      <c r="Q869" t="str">
        <f t="shared" si="66"/>
        <v>Medium</v>
      </c>
      <c r="R869" t="str">
        <f t="shared" si="67"/>
        <v>Senior</v>
      </c>
      <c r="S869" t="str">
        <f t="shared" si="68"/>
        <v>High Performer</v>
      </c>
      <c r="T869" s="4" t="str">
        <f t="shared" si="69"/>
        <v>Dissatisfied</v>
      </c>
    </row>
    <row r="870" spans="1:20" x14ac:dyDescent="0.3">
      <c r="A870" t="s">
        <v>1074</v>
      </c>
      <c r="B870" t="s">
        <v>253</v>
      </c>
      <c r="C870" t="s">
        <v>17</v>
      </c>
      <c r="D870">
        <v>23</v>
      </c>
      <c r="E870" t="s">
        <v>49</v>
      </c>
      <c r="F870" t="s">
        <v>50</v>
      </c>
      <c r="G870" t="s">
        <v>20</v>
      </c>
      <c r="H870">
        <v>100000</v>
      </c>
      <c r="I870">
        <v>2</v>
      </c>
      <c r="J870">
        <v>5</v>
      </c>
      <c r="K870">
        <v>1</v>
      </c>
      <c r="L870" t="s">
        <v>21</v>
      </c>
      <c r="M870" t="s">
        <v>21</v>
      </c>
      <c r="N870" t="s">
        <v>34</v>
      </c>
      <c r="O870" t="s">
        <v>38</v>
      </c>
      <c r="P870" t="str">
        <f t="shared" si="65"/>
        <v>20-29</v>
      </c>
      <c r="Q870" t="str">
        <f t="shared" si="66"/>
        <v>High</v>
      </c>
      <c r="R870" t="str">
        <f t="shared" si="67"/>
        <v>Junior</v>
      </c>
      <c r="S870" t="str">
        <f t="shared" si="68"/>
        <v>High Performer</v>
      </c>
      <c r="T870" s="4" t="str">
        <f t="shared" si="69"/>
        <v>Dissatisfied</v>
      </c>
    </row>
    <row r="871" spans="1:20" x14ac:dyDescent="0.3">
      <c r="A871" t="s">
        <v>1075</v>
      </c>
      <c r="B871" t="s">
        <v>36</v>
      </c>
      <c r="C871" t="s">
        <v>37</v>
      </c>
      <c r="D871">
        <v>52</v>
      </c>
      <c r="E871" t="s">
        <v>41</v>
      </c>
      <c r="F871" t="s">
        <v>73</v>
      </c>
      <c r="G871" t="s">
        <v>20</v>
      </c>
      <c r="H871">
        <v>90000</v>
      </c>
      <c r="I871">
        <v>11</v>
      </c>
      <c r="J871">
        <v>4</v>
      </c>
      <c r="K871">
        <v>2</v>
      </c>
      <c r="L871" t="s">
        <v>29</v>
      </c>
      <c r="M871" t="s">
        <v>29</v>
      </c>
      <c r="N871" t="s">
        <v>22</v>
      </c>
      <c r="O871" t="s">
        <v>51</v>
      </c>
      <c r="P871" t="str">
        <f t="shared" si="65"/>
        <v>50+</v>
      </c>
      <c r="Q871" t="str">
        <f t="shared" si="66"/>
        <v>High</v>
      </c>
      <c r="R871" t="str">
        <f t="shared" si="67"/>
        <v>Senior</v>
      </c>
      <c r="S871" t="str">
        <f t="shared" si="68"/>
        <v>High Performer</v>
      </c>
      <c r="T871" s="4" t="str">
        <f t="shared" si="69"/>
        <v>Dissatisfied</v>
      </c>
    </row>
    <row r="872" spans="1:20" x14ac:dyDescent="0.3">
      <c r="A872" t="s">
        <v>1076</v>
      </c>
      <c r="B872" t="s">
        <v>149</v>
      </c>
      <c r="C872" t="s">
        <v>17</v>
      </c>
      <c r="D872">
        <v>44</v>
      </c>
      <c r="E872" t="s">
        <v>18</v>
      </c>
      <c r="F872" t="s">
        <v>126</v>
      </c>
      <c r="G872" t="s">
        <v>33</v>
      </c>
      <c r="H872">
        <v>79000</v>
      </c>
      <c r="I872">
        <v>4</v>
      </c>
      <c r="J872">
        <v>5</v>
      </c>
      <c r="K872">
        <v>2</v>
      </c>
      <c r="L872" t="s">
        <v>21</v>
      </c>
      <c r="M872" t="s">
        <v>29</v>
      </c>
      <c r="N872" t="s">
        <v>22</v>
      </c>
      <c r="O872" t="s">
        <v>38</v>
      </c>
      <c r="P872" t="str">
        <f t="shared" si="65"/>
        <v>40-49</v>
      </c>
      <c r="Q872" t="str">
        <f t="shared" si="66"/>
        <v>High</v>
      </c>
      <c r="R872" t="str">
        <f t="shared" si="67"/>
        <v>Mid-Level</v>
      </c>
      <c r="S872" t="str">
        <f t="shared" si="68"/>
        <v>High Performer</v>
      </c>
      <c r="T872" s="4" t="str">
        <f t="shared" si="69"/>
        <v>Dissatisfied</v>
      </c>
    </row>
    <row r="873" spans="1:20" x14ac:dyDescent="0.3">
      <c r="A873" t="s">
        <v>1077</v>
      </c>
      <c r="B873" t="s">
        <v>249</v>
      </c>
      <c r="C873" t="s">
        <v>37</v>
      </c>
      <c r="D873">
        <v>37</v>
      </c>
      <c r="E873" t="s">
        <v>18</v>
      </c>
      <c r="F873" t="s">
        <v>19</v>
      </c>
      <c r="G873" t="s">
        <v>20</v>
      </c>
      <c r="H873">
        <v>65000</v>
      </c>
      <c r="I873">
        <v>14</v>
      </c>
      <c r="J873">
        <v>3</v>
      </c>
      <c r="K873">
        <v>2</v>
      </c>
      <c r="L873" t="s">
        <v>29</v>
      </c>
      <c r="M873" t="s">
        <v>29</v>
      </c>
      <c r="N873" t="s">
        <v>22</v>
      </c>
      <c r="O873" t="s">
        <v>51</v>
      </c>
      <c r="P873" t="str">
        <f t="shared" si="65"/>
        <v>30-39</v>
      </c>
      <c r="Q873" t="str">
        <f t="shared" si="66"/>
        <v>Medium</v>
      </c>
      <c r="R873" t="str">
        <f t="shared" si="67"/>
        <v>Senior</v>
      </c>
      <c r="S873" t="str">
        <f t="shared" si="68"/>
        <v>Needs Improvement</v>
      </c>
      <c r="T873" s="4" t="str">
        <f t="shared" si="69"/>
        <v>Dissatisfied</v>
      </c>
    </row>
    <row r="874" spans="1:20" x14ac:dyDescent="0.3">
      <c r="A874" t="s">
        <v>1078</v>
      </c>
      <c r="B874" t="s">
        <v>229</v>
      </c>
      <c r="C874" t="s">
        <v>37</v>
      </c>
      <c r="D874">
        <v>54</v>
      </c>
      <c r="E874" t="s">
        <v>41</v>
      </c>
      <c r="F874" t="s">
        <v>42</v>
      </c>
      <c r="G874" t="s">
        <v>46</v>
      </c>
      <c r="H874">
        <v>44000</v>
      </c>
      <c r="I874">
        <v>4</v>
      </c>
      <c r="J874">
        <v>2</v>
      </c>
      <c r="K874">
        <v>4</v>
      </c>
      <c r="L874" t="s">
        <v>29</v>
      </c>
      <c r="M874" t="s">
        <v>29</v>
      </c>
      <c r="N874" t="s">
        <v>22</v>
      </c>
      <c r="O874" t="s">
        <v>43</v>
      </c>
      <c r="P874" t="str">
        <f t="shared" si="65"/>
        <v>50+</v>
      </c>
      <c r="Q874" t="str">
        <f t="shared" si="66"/>
        <v>Medium</v>
      </c>
      <c r="R874" t="str">
        <f t="shared" si="67"/>
        <v>Mid-Level</v>
      </c>
      <c r="S874" t="str">
        <f t="shared" si="68"/>
        <v>Needs Improvement</v>
      </c>
      <c r="T874" s="4" t="str">
        <f t="shared" si="69"/>
        <v>Satisfied</v>
      </c>
    </row>
    <row r="875" spans="1:20" x14ac:dyDescent="0.3">
      <c r="A875" t="s">
        <v>1079</v>
      </c>
      <c r="B875" t="s">
        <v>59</v>
      </c>
      <c r="C875" t="s">
        <v>37</v>
      </c>
      <c r="D875">
        <v>53</v>
      </c>
      <c r="E875" t="s">
        <v>41</v>
      </c>
      <c r="F875" t="s">
        <v>73</v>
      </c>
      <c r="G875" t="s">
        <v>28</v>
      </c>
      <c r="H875">
        <v>100000</v>
      </c>
      <c r="I875">
        <v>6</v>
      </c>
      <c r="J875">
        <v>4</v>
      </c>
      <c r="K875">
        <v>3</v>
      </c>
      <c r="L875" t="s">
        <v>29</v>
      </c>
      <c r="M875" t="s">
        <v>29</v>
      </c>
      <c r="N875" t="s">
        <v>22</v>
      </c>
      <c r="O875" t="s">
        <v>51</v>
      </c>
      <c r="P875" t="str">
        <f t="shared" si="65"/>
        <v>50+</v>
      </c>
      <c r="Q875" t="str">
        <f t="shared" si="66"/>
        <v>High</v>
      </c>
      <c r="R875" t="str">
        <f t="shared" si="67"/>
        <v>Mid-Level</v>
      </c>
      <c r="S875" t="str">
        <f t="shared" si="68"/>
        <v>High Performer</v>
      </c>
      <c r="T875" s="4" t="str">
        <f t="shared" si="69"/>
        <v>Neutral</v>
      </c>
    </row>
    <row r="876" spans="1:20" x14ac:dyDescent="0.3">
      <c r="A876" t="s">
        <v>1080</v>
      </c>
      <c r="B876" t="s">
        <v>535</v>
      </c>
      <c r="C876" t="s">
        <v>17</v>
      </c>
      <c r="D876">
        <v>28</v>
      </c>
      <c r="E876" t="s">
        <v>41</v>
      </c>
      <c r="F876" t="s">
        <v>73</v>
      </c>
      <c r="G876" t="s">
        <v>33</v>
      </c>
      <c r="H876">
        <v>62000</v>
      </c>
      <c r="I876">
        <v>7</v>
      </c>
      <c r="J876">
        <v>3</v>
      </c>
      <c r="K876">
        <v>1</v>
      </c>
      <c r="L876" t="s">
        <v>29</v>
      </c>
      <c r="M876" t="s">
        <v>29</v>
      </c>
      <c r="N876" t="s">
        <v>22</v>
      </c>
      <c r="O876" t="s">
        <v>38</v>
      </c>
      <c r="P876" t="str">
        <f t="shared" si="65"/>
        <v>20-29</v>
      </c>
      <c r="Q876" t="str">
        <f t="shared" si="66"/>
        <v>Medium</v>
      </c>
      <c r="R876" t="str">
        <f t="shared" si="67"/>
        <v>Senior</v>
      </c>
      <c r="S876" t="str">
        <f t="shared" si="68"/>
        <v>Needs Improvement</v>
      </c>
      <c r="T876" s="4" t="str">
        <f t="shared" si="69"/>
        <v>Dissatisfied</v>
      </c>
    </row>
    <row r="877" spans="1:20" x14ac:dyDescent="0.3">
      <c r="A877" t="s">
        <v>1081</v>
      </c>
      <c r="B877" t="s">
        <v>302</v>
      </c>
      <c r="C877" t="s">
        <v>17</v>
      </c>
      <c r="D877">
        <v>53</v>
      </c>
      <c r="E877" t="s">
        <v>26</v>
      </c>
      <c r="F877" t="s">
        <v>27</v>
      </c>
      <c r="G877" t="s">
        <v>33</v>
      </c>
      <c r="H877">
        <v>67000</v>
      </c>
      <c r="I877">
        <v>0</v>
      </c>
      <c r="J877">
        <v>5</v>
      </c>
      <c r="K877">
        <v>5</v>
      </c>
      <c r="L877" t="s">
        <v>29</v>
      </c>
      <c r="M877" t="s">
        <v>29</v>
      </c>
      <c r="N877" t="s">
        <v>34</v>
      </c>
      <c r="O877" t="s">
        <v>70</v>
      </c>
      <c r="P877" t="str">
        <f t="shared" si="65"/>
        <v>50+</v>
      </c>
      <c r="Q877" t="str">
        <f t="shared" si="66"/>
        <v>Medium</v>
      </c>
      <c r="R877" t="str">
        <f t="shared" si="67"/>
        <v>Junior</v>
      </c>
      <c r="S877" t="str">
        <f t="shared" si="68"/>
        <v>High Performer</v>
      </c>
      <c r="T877" s="4" t="str">
        <f t="shared" si="69"/>
        <v>Satisfied</v>
      </c>
    </row>
    <row r="878" spans="1:20" x14ac:dyDescent="0.3">
      <c r="A878" t="s">
        <v>1082</v>
      </c>
      <c r="B878" t="s">
        <v>300</v>
      </c>
      <c r="C878" t="s">
        <v>17</v>
      </c>
      <c r="D878">
        <v>33</v>
      </c>
      <c r="E878" t="s">
        <v>41</v>
      </c>
      <c r="F878" t="s">
        <v>42</v>
      </c>
      <c r="G878" t="s">
        <v>46</v>
      </c>
      <c r="H878">
        <v>51000</v>
      </c>
      <c r="I878">
        <v>12</v>
      </c>
      <c r="J878">
        <v>5</v>
      </c>
      <c r="K878">
        <v>4</v>
      </c>
      <c r="L878" t="s">
        <v>29</v>
      </c>
      <c r="M878" t="s">
        <v>21</v>
      </c>
      <c r="N878" t="s">
        <v>34</v>
      </c>
      <c r="O878" t="s">
        <v>70</v>
      </c>
      <c r="P878" t="str">
        <f t="shared" si="65"/>
        <v>30-39</v>
      </c>
      <c r="Q878" t="str">
        <f t="shared" si="66"/>
        <v>Medium</v>
      </c>
      <c r="R878" t="str">
        <f t="shared" si="67"/>
        <v>Senior</v>
      </c>
      <c r="S878" t="str">
        <f t="shared" si="68"/>
        <v>High Performer</v>
      </c>
      <c r="T878" s="4" t="str">
        <f t="shared" si="69"/>
        <v>Satisfied</v>
      </c>
    </row>
    <row r="879" spans="1:20" x14ac:dyDescent="0.3">
      <c r="A879" t="s">
        <v>1083</v>
      </c>
      <c r="B879" t="s">
        <v>79</v>
      </c>
      <c r="C879" t="s">
        <v>17</v>
      </c>
      <c r="D879">
        <v>41</v>
      </c>
      <c r="E879" t="s">
        <v>41</v>
      </c>
      <c r="F879" t="s">
        <v>73</v>
      </c>
      <c r="G879" t="s">
        <v>33</v>
      </c>
      <c r="H879">
        <v>108000</v>
      </c>
      <c r="I879">
        <v>7</v>
      </c>
      <c r="J879">
        <v>4</v>
      </c>
      <c r="K879">
        <v>5</v>
      </c>
      <c r="L879" t="s">
        <v>21</v>
      </c>
      <c r="M879" t="s">
        <v>29</v>
      </c>
      <c r="N879" t="s">
        <v>22</v>
      </c>
      <c r="O879" t="s">
        <v>23</v>
      </c>
      <c r="P879" t="str">
        <f t="shared" si="65"/>
        <v>40-49</v>
      </c>
      <c r="Q879" t="str">
        <f t="shared" si="66"/>
        <v>High</v>
      </c>
      <c r="R879" t="str">
        <f t="shared" si="67"/>
        <v>Senior</v>
      </c>
      <c r="S879" t="str">
        <f t="shared" si="68"/>
        <v>High Performer</v>
      </c>
      <c r="T879" s="4" t="str">
        <f t="shared" si="69"/>
        <v>Satisfied</v>
      </c>
    </row>
    <row r="880" spans="1:20" x14ac:dyDescent="0.3">
      <c r="A880" t="s">
        <v>1084</v>
      </c>
      <c r="B880" t="s">
        <v>63</v>
      </c>
      <c r="C880" t="s">
        <v>17</v>
      </c>
      <c r="D880">
        <v>40</v>
      </c>
      <c r="E880" t="s">
        <v>57</v>
      </c>
      <c r="F880" t="s">
        <v>50</v>
      </c>
      <c r="G880" t="s">
        <v>20</v>
      </c>
      <c r="H880">
        <v>50000</v>
      </c>
      <c r="I880">
        <v>7</v>
      </c>
      <c r="J880">
        <v>5</v>
      </c>
      <c r="K880">
        <v>5</v>
      </c>
      <c r="L880" t="s">
        <v>21</v>
      </c>
      <c r="M880" t="s">
        <v>29</v>
      </c>
      <c r="N880" t="s">
        <v>34</v>
      </c>
      <c r="O880" t="s">
        <v>23</v>
      </c>
      <c r="P880" t="str">
        <f t="shared" si="65"/>
        <v>40-49</v>
      </c>
      <c r="Q880" t="str">
        <f t="shared" si="66"/>
        <v>Medium</v>
      </c>
      <c r="R880" t="str">
        <f t="shared" si="67"/>
        <v>Senior</v>
      </c>
      <c r="S880" t="str">
        <f t="shared" si="68"/>
        <v>High Performer</v>
      </c>
      <c r="T880" s="4" t="str">
        <f t="shared" si="69"/>
        <v>Satisfied</v>
      </c>
    </row>
    <row r="881" spans="1:20" x14ac:dyDescent="0.3">
      <c r="A881" t="s">
        <v>1085</v>
      </c>
      <c r="B881" t="s">
        <v>238</v>
      </c>
      <c r="C881" t="s">
        <v>17</v>
      </c>
      <c r="D881">
        <v>37</v>
      </c>
      <c r="E881" t="s">
        <v>26</v>
      </c>
      <c r="F881" t="s">
        <v>50</v>
      </c>
      <c r="G881" t="s">
        <v>20</v>
      </c>
      <c r="H881">
        <v>84000</v>
      </c>
      <c r="I881">
        <v>7</v>
      </c>
      <c r="J881">
        <v>5</v>
      </c>
      <c r="K881">
        <v>1</v>
      </c>
      <c r="L881" t="s">
        <v>29</v>
      </c>
      <c r="M881" t="s">
        <v>29</v>
      </c>
      <c r="N881" t="s">
        <v>22</v>
      </c>
      <c r="O881" t="s">
        <v>75</v>
      </c>
      <c r="P881" t="str">
        <f t="shared" si="65"/>
        <v>30-39</v>
      </c>
      <c r="Q881" t="str">
        <f t="shared" si="66"/>
        <v>High</v>
      </c>
      <c r="R881" t="str">
        <f t="shared" si="67"/>
        <v>Senior</v>
      </c>
      <c r="S881" t="str">
        <f t="shared" si="68"/>
        <v>High Performer</v>
      </c>
      <c r="T881" s="4" t="str">
        <f t="shared" si="69"/>
        <v>Dissatisfied</v>
      </c>
    </row>
    <row r="882" spans="1:20" x14ac:dyDescent="0.3">
      <c r="A882" t="s">
        <v>1086</v>
      </c>
      <c r="B882" t="s">
        <v>446</v>
      </c>
      <c r="C882" t="s">
        <v>17</v>
      </c>
      <c r="D882">
        <v>55</v>
      </c>
      <c r="E882" t="s">
        <v>41</v>
      </c>
      <c r="F882" t="s">
        <v>73</v>
      </c>
      <c r="G882" t="s">
        <v>46</v>
      </c>
      <c r="H882">
        <v>62000</v>
      </c>
      <c r="I882">
        <v>3</v>
      </c>
      <c r="J882">
        <v>4</v>
      </c>
      <c r="K882">
        <v>4</v>
      </c>
      <c r="L882" t="s">
        <v>29</v>
      </c>
      <c r="M882" t="s">
        <v>29</v>
      </c>
      <c r="N882" t="s">
        <v>34</v>
      </c>
      <c r="O882" t="s">
        <v>75</v>
      </c>
      <c r="P882" t="str">
        <f t="shared" si="65"/>
        <v>50+</v>
      </c>
      <c r="Q882" t="str">
        <f t="shared" si="66"/>
        <v>Medium</v>
      </c>
      <c r="R882" t="str">
        <f t="shared" si="67"/>
        <v>Mid-Level</v>
      </c>
      <c r="S882" t="str">
        <f t="shared" si="68"/>
        <v>High Performer</v>
      </c>
      <c r="T882" s="4" t="str">
        <f t="shared" si="69"/>
        <v>Satisfied</v>
      </c>
    </row>
    <row r="883" spans="1:20" x14ac:dyDescent="0.3">
      <c r="A883" t="s">
        <v>1087</v>
      </c>
      <c r="B883" t="s">
        <v>111</v>
      </c>
      <c r="C883" t="s">
        <v>17</v>
      </c>
      <c r="D883">
        <v>39</v>
      </c>
      <c r="E883" t="s">
        <v>18</v>
      </c>
      <c r="F883" t="s">
        <v>19</v>
      </c>
      <c r="G883" t="s">
        <v>20</v>
      </c>
      <c r="H883">
        <v>70000</v>
      </c>
      <c r="I883">
        <v>5</v>
      </c>
      <c r="J883">
        <v>2</v>
      </c>
      <c r="K883">
        <v>4</v>
      </c>
      <c r="L883" t="s">
        <v>21</v>
      </c>
      <c r="M883" t="s">
        <v>29</v>
      </c>
      <c r="N883" t="s">
        <v>22</v>
      </c>
      <c r="O883" t="s">
        <v>23</v>
      </c>
      <c r="P883" t="str">
        <f t="shared" si="65"/>
        <v>30-39</v>
      </c>
      <c r="Q883" t="str">
        <f t="shared" si="66"/>
        <v>High</v>
      </c>
      <c r="R883" t="str">
        <f t="shared" si="67"/>
        <v>Mid-Level</v>
      </c>
      <c r="S883" t="str">
        <f t="shared" si="68"/>
        <v>Needs Improvement</v>
      </c>
      <c r="T883" s="4" t="str">
        <f t="shared" si="69"/>
        <v>Satisfied</v>
      </c>
    </row>
    <row r="884" spans="1:20" x14ac:dyDescent="0.3">
      <c r="A884" t="s">
        <v>1088</v>
      </c>
      <c r="B884" t="s">
        <v>191</v>
      </c>
      <c r="C884" t="s">
        <v>17</v>
      </c>
      <c r="D884">
        <v>29</v>
      </c>
      <c r="E884" t="s">
        <v>41</v>
      </c>
      <c r="F884" t="s">
        <v>42</v>
      </c>
      <c r="G884" t="s">
        <v>28</v>
      </c>
      <c r="H884">
        <v>118000</v>
      </c>
      <c r="I884">
        <v>3</v>
      </c>
      <c r="J884">
        <v>5</v>
      </c>
      <c r="K884">
        <v>1</v>
      </c>
      <c r="L884" t="s">
        <v>21</v>
      </c>
      <c r="M884" t="s">
        <v>29</v>
      </c>
      <c r="N884" t="s">
        <v>34</v>
      </c>
      <c r="O884" t="s">
        <v>30</v>
      </c>
      <c r="P884" t="str">
        <f t="shared" si="65"/>
        <v>20-29</v>
      </c>
      <c r="Q884" t="str">
        <f t="shared" si="66"/>
        <v>High</v>
      </c>
      <c r="R884" t="str">
        <f t="shared" si="67"/>
        <v>Mid-Level</v>
      </c>
      <c r="S884" t="str">
        <f t="shared" si="68"/>
        <v>High Performer</v>
      </c>
      <c r="T884" s="4" t="str">
        <f t="shared" si="69"/>
        <v>Dissatisfied</v>
      </c>
    </row>
    <row r="885" spans="1:20" x14ac:dyDescent="0.3">
      <c r="A885" t="s">
        <v>1089</v>
      </c>
      <c r="B885" t="s">
        <v>244</v>
      </c>
      <c r="C885" t="s">
        <v>17</v>
      </c>
      <c r="D885">
        <v>55</v>
      </c>
      <c r="E885" t="s">
        <v>41</v>
      </c>
      <c r="F885" t="s">
        <v>42</v>
      </c>
      <c r="G885" t="s">
        <v>28</v>
      </c>
      <c r="H885">
        <v>49000</v>
      </c>
      <c r="I885">
        <v>12</v>
      </c>
      <c r="J885">
        <v>5</v>
      </c>
      <c r="K885">
        <v>1</v>
      </c>
      <c r="L885" t="s">
        <v>21</v>
      </c>
      <c r="M885" t="s">
        <v>21</v>
      </c>
      <c r="N885" t="s">
        <v>34</v>
      </c>
      <c r="O885" t="s">
        <v>51</v>
      </c>
      <c r="P885" t="str">
        <f t="shared" si="65"/>
        <v>50+</v>
      </c>
      <c r="Q885" t="str">
        <f t="shared" si="66"/>
        <v>Medium</v>
      </c>
      <c r="R885" t="str">
        <f t="shared" si="67"/>
        <v>Senior</v>
      </c>
      <c r="S885" t="str">
        <f t="shared" si="68"/>
        <v>High Performer</v>
      </c>
      <c r="T885" s="4" t="str">
        <f t="shared" si="69"/>
        <v>Dissatisfied</v>
      </c>
    </row>
    <row r="886" spans="1:20" x14ac:dyDescent="0.3">
      <c r="A886" t="s">
        <v>1090</v>
      </c>
      <c r="B886" t="s">
        <v>48</v>
      </c>
      <c r="C886" t="s">
        <v>17</v>
      </c>
      <c r="D886">
        <v>50</v>
      </c>
      <c r="E886" t="s">
        <v>18</v>
      </c>
      <c r="F886" t="s">
        <v>126</v>
      </c>
      <c r="G886" t="s">
        <v>20</v>
      </c>
      <c r="H886">
        <v>26000</v>
      </c>
      <c r="I886">
        <v>9</v>
      </c>
      <c r="J886">
        <v>3</v>
      </c>
      <c r="K886">
        <v>4</v>
      </c>
      <c r="L886" t="s">
        <v>21</v>
      </c>
      <c r="M886" t="s">
        <v>29</v>
      </c>
      <c r="N886" t="s">
        <v>22</v>
      </c>
      <c r="O886" t="s">
        <v>43</v>
      </c>
      <c r="P886" t="str">
        <f t="shared" si="65"/>
        <v>50+</v>
      </c>
      <c r="Q886" t="str">
        <f t="shared" si="66"/>
        <v>Low</v>
      </c>
      <c r="R886" t="str">
        <f t="shared" si="67"/>
        <v>Senior</v>
      </c>
      <c r="S886" t="str">
        <f t="shared" si="68"/>
        <v>Needs Improvement</v>
      </c>
      <c r="T886" s="4" t="str">
        <f t="shared" si="69"/>
        <v>Satisfied</v>
      </c>
    </row>
    <row r="887" spans="1:20" x14ac:dyDescent="0.3">
      <c r="A887" t="s">
        <v>1091</v>
      </c>
      <c r="B887" t="s">
        <v>446</v>
      </c>
      <c r="C887" t="s">
        <v>17</v>
      </c>
      <c r="D887">
        <v>31</v>
      </c>
      <c r="E887" t="s">
        <v>49</v>
      </c>
      <c r="F887" t="s">
        <v>27</v>
      </c>
      <c r="G887" t="s">
        <v>28</v>
      </c>
      <c r="H887">
        <v>78000</v>
      </c>
      <c r="I887">
        <v>10</v>
      </c>
      <c r="J887">
        <v>2</v>
      </c>
      <c r="K887">
        <v>3</v>
      </c>
      <c r="L887" t="s">
        <v>21</v>
      </c>
      <c r="M887" t="s">
        <v>29</v>
      </c>
      <c r="N887" t="s">
        <v>34</v>
      </c>
      <c r="O887" t="s">
        <v>23</v>
      </c>
      <c r="P887" t="str">
        <f t="shared" si="65"/>
        <v>30-39</v>
      </c>
      <c r="Q887" t="str">
        <f t="shared" si="66"/>
        <v>High</v>
      </c>
      <c r="R887" t="str">
        <f t="shared" si="67"/>
        <v>Senior</v>
      </c>
      <c r="S887" t="str">
        <f t="shared" si="68"/>
        <v>Needs Improvement</v>
      </c>
      <c r="T887" s="4" t="str">
        <f t="shared" si="69"/>
        <v>Neutral</v>
      </c>
    </row>
    <row r="888" spans="1:20" x14ac:dyDescent="0.3">
      <c r="A888" t="s">
        <v>1092</v>
      </c>
      <c r="B888" t="s">
        <v>314</v>
      </c>
      <c r="C888" t="s">
        <v>37</v>
      </c>
      <c r="D888">
        <v>51</v>
      </c>
      <c r="E888" t="s">
        <v>26</v>
      </c>
      <c r="F888" t="s">
        <v>27</v>
      </c>
      <c r="G888" t="s">
        <v>33</v>
      </c>
      <c r="H888">
        <v>46000</v>
      </c>
      <c r="I888">
        <v>16</v>
      </c>
      <c r="J888">
        <v>2</v>
      </c>
      <c r="K888">
        <v>4</v>
      </c>
      <c r="L888" t="s">
        <v>29</v>
      </c>
      <c r="M888" t="s">
        <v>29</v>
      </c>
      <c r="N888" t="s">
        <v>34</v>
      </c>
      <c r="O888" t="s">
        <v>51</v>
      </c>
      <c r="P888" t="str">
        <f t="shared" si="65"/>
        <v>50+</v>
      </c>
      <c r="Q888" t="str">
        <f t="shared" si="66"/>
        <v>Medium</v>
      </c>
      <c r="R888" t="str">
        <f t="shared" si="67"/>
        <v>Senior</v>
      </c>
      <c r="S888" t="str">
        <f t="shared" si="68"/>
        <v>Needs Improvement</v>
      </c>
      <c r="T888" s="4" t="str">
        <f t="shared" si="69"/>
        <v>Satisfied</v>
      </c>
    </row>
    <row r="889" spans="1:20" x14ac:dyDescent="0.3">
      <c r="A889" t="s">
        <v>1093</v>
      </c>
      <c r="B889" t="s">
        <v>140</v>
      </c>
      <c r="C889" t="s">
        <v>37</v>
      </c>
      <c r="D889">
        <v>32</v>
      </c>
      <c r="E889" t="s">
        <v>57</v>
      </c>
      <c r="F889" t="s">
        <v>27</v>
      </c>
      <c r="G889" t="s">
        <v>33</v>
      </c>
      <c r="H889">
        <v>47000</v>
      </c>
      <c r="I889">
        <v>11</v>
      </c>
      <c r="J889">
        <v>5</v>
      </c>
      <c r="K889">
        <v>2</v>
      </c>
      <c r="L889" t="s">
        <v>21</v>
      </c>
      <c r="M889" t="s">
        <v>21</v>
      </c>
      <c r="N889" t="s">
        <v>22</v>
      </c>
      <c r="O889" t="s">
        <v>70</v>
      </c>
      <c r="P889" t="str">
        <f t="shared" si="65"/>
        <v>30-39</v>
      </c>
      <c r="Q889" t="str">
        <f t="shared" si="66"/>
        <v>Medium</v>
      </c>
      <c r="R889" t="str">
        <f t="shared" si="67"/>
        <v>Senior</v>
      </c>
      <c r="S889" t="str">
        <f t="shared" si="68"/>
        <v>High Performer</v>
      </c>
      <c r="T889" s="4" t="str">
        <f t="shared" si="69"/>
        <v>Dissatisfied</v>
      </c>
    </row>
    <row r="890" spans="1:20" x14ac:dyDescent="0.3">
      <c r="A890" t="s">
        <v>1094</v>
      </c>
      <c r="B890" t="s">
        <v>510</v>
      </c>
      <c r="C890" t="s">
        <v>17</v>
      </c>
      <c r="D890">
        <v>37</v>
      </c>
      <c r="E890" t="s">
        <v>57</v>
      </c>
      <c r="F890" t="s">
        <v>27</v>
      </c>
      <c r="G890" t="s">
        <v>46</v>
      </c>
      <c r="H890">
        <v>56000</v>
      </c>
      <c r="I890">
        <v>14</v>
      </c>
      <c r="J890">
        <v>2</v>
      </c>
      <c r="K890">
        <v>5</v>
      </c>
      <c r="L890" t="s">
        <v>29</v>
      </c>
      <c r="M890" t="s">
        <v>29</v>
      </c>
      <c r="N890" t="s">
        <v>34</v>
      </c>
      <c r="O890" t="s">
        <v>30</v>
      </c>
      <c r="P890" t="str">
        <f t="shared" si="65"/>
        <v>30-39</v>
      </c>
      <c r="Q890" t="str">
        <f t="shared" si="66"/>
        <v>Medium</v>
      </c>
      <c r="R890" t="str">
        <f t="shared" si="67"/>
        <v>Senior</v>
      </c>
      <c r="S890" t="str">
        <f t="shared" si="68"/>
        <v>Needs Improvement</v>
      </c>
      <c r="T890" s="4" t="str">
        <f t="shared" si="69"/>
        <v>Satisfied</v>
      </c>
    </row>
    <row r="891" spans="1:20" x14ac:dyDescent="0.3">
      <c r="A891" t="s">
        <v>1095</v>
      </c>
      <c r="B891" t="s">
        <v>354</v>
      </c>
      <c r="C891" t="s">
        <v>17</v>
      </c>
      <c r="D891">
        <v>28</v>
      </c>
      <c r="E891" t="s">
        <v>57</v>
      </c>
      <c r="F891" t="s">
        <v>50</v>
      </c>
      <c r="G891" t="s">
        <v>28</v>
      </c>
      <c r="H891">
        <v>38000</v>
      </c>
      <c r="I891">
        <v>7</v>
      </c>
      <c r="J891">
        <v>2</v>
      </c>
      <c r="K891">
        <v>5</v>
      </c>
      <c r="L891" t="s">
        <v>29</v>
      </c>
      <c r="M891" t="s">
        <v>29</v>
      </c>
      <c r="N891" t="s">
        <v>34</v>
      </c>
      <c r="O891" t="s">
        <v>70</v>
      </c>
      <c r="P891" t="str">
        <f t="shared" si="65"/>
        <v>20-29</v>
      </c>
      <c r="Q891" t="str">
        <f t="shared" si="66"/>
        <v>Low</v>
      </c>
      <c r="R891" t="str">
        <f t="shared" si="67"/>
        <v>Senior</v>
      </c>
      <c r="S891" t="str">
        <f t="shared" si="68"/>
        <v>Needs Improvement</v>
      </c>
      <c r="T891" s="4" t="str">
        <f t="shared" si="69"/>
        <v>Satisfied</v>
      </c>
    </row>
    <row r="892" spans="1:20" x14ac:dyDescent="0.3">
      <c r="A892" t="s">
        <v>1096</v>
      </c>
      <c r="B892" t="s">
        <v>350</v>
      </c>
      <c r="C892" t="s">
        <v>37</v>
      </c>
      <c r="D892">
        <v>25</v>
      </c>
      <c r="E892" t="s">
        <v>41</v>
      </c>
      <c r="F892" t="s">
        <v>42</v>
      </c>
      <c r="G892" t="s">
        <v>28</v>
      </c>
      <c r="H892">
        <v>57000</v>
      </c>
      <c r="I892">
        <v>4</v>
      </c>
      <c r="J892">
        <v>3</v>
      </c>
      <c r="K892">
        <v>5</v>
      </c>
      <c r="L892" t="s">
        <v>29</v>
      </c>
      <c r="M892" t="s">
        <v>21</v>
      </c>
      <c r="N892" t="s">
        <v>34</v>
      </c>
      <c r="O892" t="s">
        <v>54</v>
      </c>
      <c r="P892" t="str">
        <f t="shared" si="65"/>
        <v>20-29</v>
      </c>
      <c r="Q892" t="str">
        <f t="shared" si="66"/>
        <v>Medium</v>
      </c>
      <c r="R892" t="str">
        <f t="shared" si="67"/>
        <v>Mid-Level</v>
      </c>
      <c r="S892" t="str">
        <f t="shared" si="68"/>
        <v>Needs Improvement</v>
      </c>
      <c r="T892" s="4" t="str">
        <f t="shared" si="69"/>
        <v>Satisfied</v>
      </c>
    </row>
    <row r="893" spans="1:20" x14ac:dyDescent="0.3">
      <c r="A893" t="s">
        <v>1097</v>
      </c>
      <c r="B893" t="s">
        <v>302</v>
      </c>
      <c r="C893" t="s">
        <v>37</v>
      </c>
      <c r="D893">
        <v>43</v>
      </c>
      <c r="E893" t="s">
        <v>66</v>
      </c>
      <c r="F893" t="s">
        <v>82</v>
      </c>
      <c r="G893" t="s">
        <v>28</v>
      </c>
      <c r="H893">
        <v>85000</v>
      </c>
      <c r="I893">
        <v>17</v>
      </c>
      <c r="J893">
        <v>4</v>
      </c>
      <c r="K893">
        <v>5</v>
      </c>
      <c r="L893" t="s">
        <v>29</v>
      </c>
      <c r="M893" t="s">
        <v>29</v>
      </c>
      <c r="N893" t="s">
        <v>22</v>
      </c>
      <c r="O893" t="s">
        <v>75</v>
      </c>
      <c r="P893" t="str">
        <f t="shared" si="65"/>
        <v>40-49</v>
      </c>
      <c r="Q893" t="str">
        <f t="shared" si="66"/>
        <v>High</v>
      </c>
      <c r="R893" t="str">
        <f t="shared" si="67"/>
        <v>Senior</v>
      </c>
      <c r="S893" t="str">
        <f t="shared" si="68"/>
        <v>High Performer</v>
      </c>
      <c r="T893" s="4" t="str">
        <f t="shared" si="69"/>
        <v>Satisfied</v>
      </c>
    </row>
    <row r="894" spans="1:20" x14ac:dyDescent="0.3">
      <c r="A894" t="s">
        <v>1098</v>
      </c>
      <c r="B894" t="s">
        <v>314</v>
      </c>
      <c r="C894" t="s">
        <v>37</v>
      </c>
      <c r="D894">
        <v>34</v>
      </c>
      <c r="E894" t="s">
        <v>66</v>
      </c>
      <c r="F894" t="s">
        <v>67</v>
      </c>
      <c r="G894" t="s">
        <v>20</v>
      </c>
      <c r="H894">
        <v>61000</v>
      </c>
      <c r="I894">
        <v>9</v>
      </c>
      <c r="J894">
        <v>5</v>
      </c>
      <c r="K894">
        <v>2</v>
      </c>
      <c r="L894" t="s">
        <v>29</v>
      </c>
      <c r="M894" t="s">
        <v>29</v>
      </c>
      <c r="N894" t="s">
        <v>22</v>
      </c>
      <c r="O894" t="s">
        <v>70</v>
      </c>
      <c r="P894" t="str">
        <f t="shared" si="65"/>
        <v>30-39</v>
      </c>
      <c r="Q894" t="str">
        <f t="shared" si="66"/>
        <v>Medium</v>
      </c>
      <c r="R894" t="str">
        <f t="shared" si="67"/>
        <v>Senior</v>
      </c>
      <c r="S894" t="str">
        <f t="shared" si="68"/>
        <v>High Performer</v>
      </c>
      <c r="T894" s="4" t="str">
        <f t="shared" si="69"/>
        <v>Dissatisfied</v>
      </c>
    </row>
    <row r="895" spans="1:20" x14ac:dyDescent="0.3">
      <c r="A895" t="s">
        <v>1099</v>
      </c>
      <c r="B895" t="s">
        <v>158</v>
      </c>
      <c r="C895" t="s">
        <v>17</v>
      </c>
      <c r="D895">
        <v>24</v>
      </c>
      <c r="E895" t="s">
        <v>41</v>
      </c>
      <c r="F895" t="s">
        <v>42</v>
      </c>
      <c r="G895" t="s">
        <v>20</v>
      </c>
      <c r="H895">
        <v>95000</v>
      </c>
      <c r="I895">
        <v>3</v>
      </c>
      <c r="J895">
        <v>5</v>
      </c>
      <c r="K895">
        <v>1</v>
      </c>
      <c r="L895" t="s">
        <v>21</v>
      </c>
      <c r="M895" t="s">
        <v>21</v>
      </c>
      <c r="N895" t="s">
        <v>22</v>
      </c>
      <c r="O895" t="s">
        <v>51</v>
      </c>
      <c r="P895" t="str">
        <f t="shared" si="65"/>
        <v>20-29</v>
      </c>
      <c r="Q895" t="str">
        <f t="shared" si="66"/>
        <v>High</v>
      </c>
      <c r="R895" t="str">
        <f t="shared" si="67"/>
        <v>Mid-Level</v>
      </c>
      <c r="S895" t="str">
        <f t="shared" si="68"/>
        <v>High Performer</v>
      </c>
      <c r="T895" s="4" t="str">
        <f t="shared" si="69"/>
        <v>Dissatisfied</v>
      </c>
    </row>
    <row r="896" spans="1:20" x14ac:dyDescent="0.3">
      <c r="A896" t="s">
        <v>1100</v>
      </c>
      <c r="B896" t="s">
        <v>45</v>
      </c>
      <c r="C896" t="s">
        <v>17</v>
      </c>
      <c r="D896">
        <v>45</v>
      </c>
      <c r="E896" t="s">
        <v>66</v>
      </c>
      <c r="F896" t="s">
        <v>67</v>
      </c>
      <c r="G896" t="s">
        <v>28</v>
      </c>
      <c r="H896">
        <v>70000</v>
      </c>
      <c r="I896">
        <v>2</v>
      </c>
      <c r="J896">
        <v>3</v>
      </c>
      <c r="K896">
        <v>3</v>
      </c>
      <c r="L896" t="s">
        <v>21</v>
      </c>
      <c r="M896" t="s">
        <v>29</v>
      </c>
      <c r="N896" t="s">
        <v>34</v>
      </c>
      <c r="O896" t="s">
        <v>38</v>
      </c>
      <c r="P896" t="str">
        <f t="shared" si="65"/>
        <v>40-49</v>
      </c>
      <c r="Q896" t="str">
        <f t="shared" si="66"/>
        <v>High</v>
      </c>
      <c r="R896" t="str">
        <f t="shared" si="67"/>
        <v>Junior</v>
      </c>
      <c r="S896" t="str">
        <f t="shared" si="68"/>
        <v>Needs Improvement</v>
      </c>
      <c r="T896" s="4" t="str">
        <f t="shared" si="69"/>
        <v>Neutral</v>
      </c>
    </row>
    <row r="897" spans="1:20" x14ac:dyDescent="0.3">
      <c r="A897" t="s">
        <v>1101</v>
      </c>
      <c r="B897" t="s">
        <v>164</v>
      </c>
      <c r="C897" t="s">
        <v>17</v>
      </c>
      <c r="D897">
        <v>50</v>
      </c>
      <c r="E897" t="s">
        <v>57</v>
      </c>
      <c r="F897" t="s">
        <v>27</v>
      </c>
      <c r="G897" t="s">
        <v>33</v>
      </c>
      <c r="H897">
        <v>33000</v>
      </c>
      <c r="I897">
        <v>12</v>
      </c>
      <c r="J897">
        <v>3</v>
      </c>
      <c r="K897">
        <v>5</v>
      </c>
      <c r="L897" t="s">
        <v>21</v>
      </c>
      <c r="M897" t="s">
        <v>29</v>
      </c>
      <c r="N897" t="s">
        <v>34</v>
      </c>
      <c r="O897" t="s">
        <v>43</v>
      </c>
      <c r="P897" t="str">
        <f t="shared" si="65"/>
        <v>50+</v>
      </c>
      <c r="Q897" t="str">
        <f t="shared" si="66"/>
        <v>Low</v>
      </c>
      <c r="R897" t="str">
        <f t="shared" si="67"/>
        <v>Senior</v>
      </c>
      <c r="S897" t="str">
        <f t="shared" si="68"/>
        <v>Needs Improvement</v>
      </c>
      <c r="T897" s="4" t="str">
        <f t="shared" si="69"/>
        <v>Satisfied</v>
      </c>
    </row>
    <row r="898" spans="1:20" x14ac:dyDescent="0.3">
      <c r="A898" t="s">
        <v>1102</v>
      </c>
      <c r="B898" t="s">
        <v>92</v>
      </c>
      <c r="C898" t="s">
        <v>17</v>
      </c>
      <c r="D898">
        <v>41</v>
      </c>
      <c r="E898" t="s">
        <v>26</v>
      </c>
      <c r="F898" t="s">
        <v>50</v>
      </c>
      <c r="G898" t="s">
        <v>33</v>
      </c>
      <c r="H898">
        <v>31000</v>
      </c>
      <c r="I898">
        <v>3</v>
      </c>
      <c r="J898">
        <v>4</v>
      </c>
      <c r="K898">
        <v>3</v>
      </c>
      <c r="L898" t="s">
        <v>29</v>
      </c>
      <c r="M898" t="s">
        <v>29</v>
      </c>
      <c r="N898" t="s">
        <v>22</v>
      </c>
      <c r="O898" t="s">
        <v>43</v>
      </c>
      <c r="P898" t="str">
        <f t="shared" ref="P898:P961" si="70">IF(D898&lt;30,"20-29",IF(D898&lt;40,"30-39",IF(D898&lt;50,"40-49","50+")))</f>
        <v>40-49</v>
      </c>
      <c r="Q898" t="str">
        <f t="shared" ref="Q898:Q961" si="71">IF(H898&lt;40000,"Low",IF(H898&lt;70000,"Medium","High"))</f>
        <v>Low</v>
      </c>
      <c r="R898" t="str">
        <f t="shared" ref="R898:R961" si="72">IF(I898&lt;3,"Junior",IF(I898&lt;7,"Mid-Level","Senior"))</f>
        <v>Mid-Level</v>
      </c>
      <c r="S898" t="str">
        <f t="shared" ref="S898:S961" si="73">IF(J898&gt;=4,"High Performer","Needs Improvement")</f>
        <v>High Performer</v>
      </c>
      <c r="T898" s="4" t="str">
        <f t="shared" ref="T898:T961" si="74">IF(K898&gt;=4,"Satisfied",IF(K898=3,"Neutral","Dissatisfied"))</f>
        <v>Neutral</v>
      </c>
    </row>
    <row r="899" spans="1:20" x14ac:dyDescent="0.3">
      <c r="A899" t="s">
        <v>1103</v>
      </c>
      <c r="B899" t="s">
        <v>138</v>
      </c>
      <c r="C899" t="s">
        <v>17</v>
      </c>
      <c r="D899">
        <v>36</v>
      </c>
      <c r="E899" t="s">
        <v>41</v>
      </c>
      <c r="F899" t="s">
        <v>42</v>
      </c>
      <c r="G899" t="s">
        <v>28</v>
      </c>
      <c r="H899">
        <v>112000</v>
      </c>
      <c r="I899">
        <v>15</v>
      </c>
      <c r="J899">
        <v>3</v>
      </c>
      <c r="K899">
        <v>4</v>
      </c>
      <c r="L899" t="s">
        <v>21</v>
      </c>
      <c r="M899" t="s">
        <v>29</v>
      </c>
      <c r="N899" t="s">
        <v>34</v>
      </c>
      <c r="O899" t="s">
        <v>43</v>
      </c>
      <c r="P899" t="str">
        <f t="shared" si="70"/>
        <v>30-39</v>
      </c>
      <c r="Q899" t="str">
        <f t="shared" si="71"/>
        <v>High</v>
      </c>
      <c r="R899" t="str">
        <f t="shared" si="72"/>
        <v>Senior</v>
      </c>
      <c r="S899" t="str">
        <f t="shared" si="73"/>
        <v>Needs Improvement</v>
      </c>
      <c r="T899" s="4" t="str">
        <f t="shared" si="74"/>
        <v>Satisfied</v>
      </c>
    </row>
    <row r="900" spans="1:20" x14ac:dyDescent="0.3">
      <c r="A900" t="s">
        <v>1104</v>
      </c>
      <c r="B900" t="s">
        <v>308</v>
      </c>
      <c r="C900" t="s">
        <v>37</v>
      </c>
      <c r="D900">
        <v>30</v>
      </c>
      <c r="E900" t="s">
        <v>57</v>
      </c>
      <c r="F900" t="s">
        <v>50</v>
      </c>
      <c r="G900" t="s">
        <v>33</v>
      </c>
      <c r="H900">
        <v>91000</v>
      </c>
      <c r="I900">
        <v>7</v>
      </c>
      <c r="J900">
        <v>4</v>
      </c>
      <c r="K900">
        <v>3</v>
      </c>
      <c r="L900" t="s">
        <v>29</v>
      </c>
      <c r="M900" t="s">
        <v>29</v>
      </c>
      <c r="N900" t="s">
        <v>22</v>
      </c>
      <c r="O900" t="s">
        <v>54</v>
      </c>
      <c r="P900" t="str">
        <f t="shared" si="70"/>
        <v>30-39</v>
      </c>
      <c r="Q900" t="str">
        <f t="shared" si="71"/>
        <v>High</v>
      </c>
      <c r="R900" t="str">
        <f t="shared" si="72"/>
        <v>Senior</v>
      </c>
      <c r="S900" t="str">
        <f t="shared" si="73"/>
        <v>High Performer</v>
      </c>
      <c r="T900" s="4" t="str">
        <f t="shared" si="74"/>
        <v>Neutral</v>
      </c>
    </row>
    <row r="901" spans="1:20" x14ac:dyDescent="0.3">
      <c r="A901" t="s">
        <v>1105</v>
      </c>
      <c r="B901" t="s">
        <v>394</v>
      </c>
      <c r="C901" t="s">
        <v>17</v>
      </c>
      <c r="D901">
        <v>26</v>
      </c>
      <c r="E901" t="s">
        <v>66</v>
      </c>
      <c r="F901" t="s">
        <v>67</v>
      </c>
      <c r="G901" t="s">
        <v>28</v>
      </c>
      <c r="H901">
        <v>36000</v>
      </c>
      <c r="I901">
        <v>5</v>
      </c>
      <c r="J901">
        <v>3</v>
      </c>
      <c r="K901">
        <v>2</v>
      </c>
      <c r="L901" t="s">
        <v>29</v>
      </c>
      <c r="M901" t="s">
        <v>29</v>
      </c>
      <c r="N901" t="s">
        <v>34</v>
      </c>
      <c r="O901" t="s">
        <v>23</v>
      </c>
      <c r="P901" t="str">
        <f t="shared" si="70"/>
        <v>20-29</v>
      </c>
      <c r="Q901" t="str">
        <f t="shared" si="71"/>
        <v>Low</v>
      </c>
      <c r="R901" t="str">
        <f t="shared" si="72"/>
        <v>Mid-Level</v>
      </c>
      <c r="S901" t="str">
        <f t="shared" si="73"/>
        <v>Needs Improvement</v>
      </c>
      <c r="T901" s="4" t="str">
        <f t="shared" si="74"/>
        <v>Dissatisfied</v>
      </c>
    </row>
    <row r="902" spans="1:20" x14ac:dyDescent="0.3">
      <c r="A902" t="s">
        <v>1106</v>
      </c>
      <c r="B902" t="s">
        <v>86</v>
      </c>
      <c r="C902" t="s">
        <v>37</v>
      </c>
      <c r="D902">
        <v>27</v>
      </c>
      <c r="E902" t="s">
        <v>49</v>
      </c>
      <c r="F902" t="s">
        <v>50</v>
      </c>
      <c r="G902" t="s">
        <v>20</v>
      </c>
      <c r="H902">
        <v>103000</v>
      </c>
      <c r="I902">
        <v>1</v>
      </c>
      <c r="J902">
        <v>4</v>
      </c>
      <c r="K902">
        <v>1</v>
      </c>
      <c r="L902" t="s">
        <v>21</v>
      </c>
      <c r="M902" t="s">
        <v>29</v>
      </c>
      <c r="N902" t="s">
        <v>22</v>
      </c>
      <c r="O902" t="s">
        <v>30</v>
      </c>
      <c r="P902" t="str">
        <f t="shared" si="70"/>
        <v>20-29</v>
      </c>
      <c r="Q902" t="str">
        <f t="shared" si="71"/>
        <v>High</v>
      </c>
      <c r="R902" t="str">
        <f t="shared" si="72"/>
        <v>Junior</v>
      </c>
      <c r="S902" t="str">
        <f t="shared" si="73"/>
        <v>High Performer</v>
      </c>
      <c r="T902" s="4" t="str">
        <f t="shared" si="74"/>
        <v>Dissatisfied</v>
      </c>
    </row>
    <row r="903" spans="1:20" x14ac:dyDescent="0.3">
      <c r="A903" t="s">
        <v>1107</v>
      </c>
      <c r="B903" t="s">
        <v>370</v>
      </c>
      <c r="C903" t="s">
        <v>37</v>
      </c>
      <c r="D903">
        <v>30</v>
      </c>
      <c r="E903" t="s">
        <v>66</v>
      </c>
      <c r="F903" t="s">
        <v>67</v>
      </c>
      <c r="G903" t="s">
        <v>20</v>
      </c>
      <c r="H903">
        <v>104000</v>
      </c>
      <c r="I903">
        <v>9</v>
      </c>
      <c r="J903">
        <v>2</v>
      </c>
      <c r="K903">
        <v>5</v>
      </c>
      <c r="L903" t="s">
        <v>21</v>
      </c>
      <c r="M903" t="s">
        <v>29</v>
      </c>
      <c r="N903" t="s">
        <v>34</v>
      </c>
      <c r="O903" t="s">
        <v>75</v>
      </c>
      <c r="P903" t="str">
        <f t="shared" si="70"/>
        <v>30-39</v>
      </c>
      <c r="Q903" t="str">
        <f t="shared" si="71"/>
        <v>High</v>
      </c>
      <c r="R903" t="str">
        <f t="shared" si="72"/>
        <v>Senior</v>
      </c>
      <c r="S903" t="str">
        <f t="shared" si="73"/>
        <v>Needs Improvement</v>
      </c>
      <c r="T903" s="4" t="str">
        <f t="shared" si="74"/>
        <v>Satisfied</v>
      </c>
    </row>
    <row r="904" spans="1:20" x14ac:dyDescent="0.3">
      <c r="A904" t="s">
        <v>1108</v>
      </c>
      <c r="B904" t="s">
        <v>350</v>
      </c>
      <c r="C904" t="s">
        <v>17</v>
      </c>
      <c r="D904">
        <v>29</v>
      </c>
      <c r="E904" t="s">
        <v>41</v>
      </c>
      <c r="F904" t="s">
        <v>42</v>
      </c>
      <c r="G904" t="s">
        <v>46</v>
      </c>
      <c r="H904">
        <v>111000</v>
      </c>
      <c r="I904">
        <v>8</v>
      </c>
      <c r="J904">
        <v>2</v>
      </c>
      <c r="K904">
        <v>3</v>
      </c>
      <c r="L904" t="s">
        <v>21</v>
      </c>
      <c r="M904" t="s">
        <v>29</v>
      </c>
      <c r="N904" t="s">
        <v>22</v>
      </c>
      <c r="O904" t="s">
        <v>54</v>
      </c>
      <c r="P904" t="str">
        <f t="shared" si="70"/>
        <v>20-29</v>
      </c>
      <c r="Q904" t="str">
        <f t="shared" si="71"/>
        <v>High</v>
      </c>
      <c r="R904" t="str">
        <f t="shared" si="72"/>
        <v>Senior</v>
      </c>
      <c r="S904" t="str">
        <f t="shared" si="73"/>
        <v>Needs Improvement</v>
      </c>
      <c r="T904" s="4" t="str">
        <f t="shared" si="74"/>
        <v>Neutral</v>
      </c>
    </row>
    <row r="905" spans="1:20" x14ac:dyDescent="0.3">
      <c r="A905" t="s">
        <v>1109</v>
      </c>
      <c r="B905" t="s">
        <v>48</v>
      </c>
      <c r="C905" t="s">
        <v>37</v>
      </c>
      <c r="D905">
        <v>37</v>
      </c>
      <c r="E905" t="s">
        <v>66</v>
      </c>
      <c r="F905" t="s">
        <v>67</v>
      </c>
      <c r="G905" t="s">
        <v>20</v>
      </c>
      <c r="H905">
        <v>110000</v>
      </c>
      <c r="I905">
        <v>3</v>
      </c>
      <c r="J905">
        <v>4</v>
      </c>
      <c r="K905">
        <v>3</v>
      </c>
      <c r="L905" t="s">
        <v>21</v>
      </c>
      <c r="M905" t="s">
        <v>29</v>
      </c>
      <c r="N905" t="s">
        <v>34</v>
      </c>
      <c r="O905" t="s">
        <v>70</v>
      </c>
      <c r="P905" t="str">
        <f t="shared" si="70"/>
        <v>30-39</v>
      </c>
      <c r="Q905" t="str">
        <f t="shared" si="71"/>
        <v>High</v>
      </c>
      <c r="R905" t="str">
        <f t="shared" si="72"/>
        <v>Mid-Level</v>
      </c>
      <c r="S905" t="str">
        <f t="shared" si="73"/>
        <v>High Performer</v>
      </c>
      <c r="T905" s="4" t="str">
        <f t="shared" si="74"/>
        <v>Neutral</v>
      </c>
    </row>
    <row r="906" spans="1:20" x14ac:dyDescent="0.3">
      <c r="A906" t="s">
        <v>1110</v>
      </c>
      <c r="B906" t="s">
        <v>16</v>
      </c>
      <c r="C906" t="s">
        <v>37</v>
      </c>
      <c r="D906">
        <v>52</v>
      </c>
      <c r="E906" t="s">
        <v>49</v>
      </c>
      <c r="F906" t="s">
        <v>50</v>
      </c>
      <c r="G906" t="s">
        <v>28</v>
      </c>
      <c r="H906">
        <v>92000</v>
      </c>
      <c r="I906">
        <v>2</v>
      </c>
      <c r="J906">
        <v>3</v>
      </c>
      <c r="K906">
        <v>4</v>
      </c>
      <c r="L906" t="s">
        <v>21</v>
      </c>
      <c r="M906" t="s">
        <v>29</v>
      </c>
      <c r="N906" t="s">
        <v>34</v>
      </c>
      <c r="O906" t="s">
        <v>75</v>
      </c>
      <c r="P906" t="str">
        <f t="shared" si="70"/>
        <v>50+</v>
      </c>
      <c r="Q906" t="str">
        <f t="shared" si="71"/>
        <v>High</v>
      </c>
      <c r="R906" t="str">
        <f t="shared" si="72"/>
        <v>Junior</v>
      </c>
      <c r="S906" t="str">
        <f t="shared" si="73"/>
        <v>Needs Improvement</v>
      </c>
      <c r="T906" s="4" t="str">
        <f t="shared" si="74"/>
        <v>Satisfied</v>
      </c>
    </row>
    <row r="907" spans="1:20" x14ac:dyDescent="0.3">
      <c r="A907" t="s">
        <v>1111</v>
      </c>
      <c r="B907" t="s">
        <v>666</v>
      </c>
      <c r="C907" t="s">
        <v>37</v>
      </c>
      <c r="D907">
        <v>48</v>
      </c>
      <c r="E907" t="s">
        <v>41</v>
      </c>
      <c r="F907" t="s">
        <v>73</v>
      </c>
      <c r="G907" t="s">
        <v>28</v>
      </c>
      <c r="H907">
        <v>96000</v>
      </c>
      <c r="I907">
        <v>9</v>
      </c>
      <c r="J907">
        <v>2</v>
      </c>
      <c r="K907">
        <v>3</v>
      </c>
      <c r="L907" t="s">
        <v>21</v>
      </c>
      <c r="M907" t="s">
        <v>29</v>
      </c>
      <c r="N907" t="s">
        <v>34</v>
      </c>
      <c r="O907" t="s">
        <v>23</v>
      </c>
      <c r="P907" t="str">
        <f t="shared" si="70"/>
        <v>40-49</v>
      </c>
      <c r="Q907" t="str">
        <f t="shared" si="71"/>
        <v>High</v>
      </c>
      <c r="R907" t="str">
        <f t="shared" si="72"/>
        <v>Senior</v>
      </c>
      <c r="S907" t="str">
        <f t="shared" si="73"/>
        <v>Needs Improvement</v>
      </c>
      <c r="T907" s="4" t="str">
        <f t="shared" si="74"/>
        <v>Neutral</v>
      </c>
    </row>
    <row r="908" spans="1:20" x14ac:dyDescent="0.3">
      <c r="A908" t="s">
        <v>1112</v>
      </c>
      <c r="B908" t="s">
        <v>253</v>
      </c>
      <c r="C908" t="s">
        <v>37</v>
      </c>
      <c r="D908">
        <v>28</v>
      </c>
      <c r="E908" t="s">
        <v>41</v>
      </c>
      <c r="F908" t="s">
        <v>73</v>
      </c>
      <c r="G908" t="s">
        <v>46</v>
      </c>
      <c r="H908">
        <v>32000</v>
      </c>
      <c r="I908">
        <v>6</v>
      </c>
      <c r="J908">
        <v>3</v>
      </c>
      <c r="K908">
        <v>2</v>
      </c>
      <c r="L908" t="s">
        <v>21</v>
      </c>
      <c r="M908" t="s">
        <v>21</v>
      </c>
      <c r="N908" t="s">
        <v>34</v>
      </c>
      <c r="O908" t="s">
        <v>70</v>
      </c>
      <c r="P908" t="str">
        <f t="shared" si="70"/>
        <v>20-29</v>
      </c>
      <c r="Q908" t="str">
        <f t="shared" si="71"/>
        <v>Low</v>
      </c>
      <c r="R908" t="str">
        <f t="shared" si="72"/>
        <v>Mid-Level</v>
      </c>
      <c r="S908" t="str">
        <f t="shared" si="73"/>
        <v>Needs Improvement</v>
      </c>
      <c r="T908" s="4" t="str">
        <f t="shared" si="74"/>
        <v>Dissatisfied</v>
      </c>
    </row>
    <row r="909" spans="1:20" x14ac:dyDescent="0.3">
      <c r="A909" t="s">
        <v>1113</v>
      </c>
      <c r="B909" t="s">
        <v>320</v>
      </c>
      <c r="C909" t="s">
        <v>17</v>
      </c>
      <c r="D909">
        <v>43</v>
      </c>
      <c r="E909" t="s">
        <v>18</v>
      </c>
      <c r="F909" t="s">
        <v>19</v>
      </c>
      <c r="G909" t="s">
        <v>46</v>
      </c>
      <c r="H909">
        <v>72000</v>
      </c>
      <c r="I909">
        <v>18</v>
      </c>
      <c r="J909">
        <v>2</v>
      </c>
      <c r="K909">
        <v>5</v>
      </c>
      <c r="L909" t="s">
        <v>21</v>
      </c>
      <c r="M909" t="s">
        <v>29</v>
      </c>
      <c r="N909" t="s">
        <v>22</v>
      </c>
      <c r="O909" t="s">
        <v>51</v>
      </c>
      <c r="P909" t="str">
        <f t="shared" si="70"/>
        <v>40-49</v>
      </c>
      <c r="Q909" t="str">
        <f t="shared" si="71"/>
        <v>High</v>
      </c>
      <c r="R909" t="str">
        <f t="shared" si="72"/>
        <v>Senior</v>
      </c>
      <c r="S909" t="str">
        <f t="shared" si="73"/>
        <v>Needs Improvement</v>
      </c>
      <c r="T909" s="4" t="str">
        <f t="shared" si="74"/>
        <v>Satisfied</v>
      </c>
    </row>
    <row r="910" spans="1:20" x14ac:dyDescent="0.3">
      <c r="A910" t="s">
        <v>1114</v>
      </c>
      <c r="B910" t="s">
        <v>199</v>
      </c>
      <c r="C910" t="s">
        <v>17</v>
      </c>
      <c r="D910">
        <v>32</v>
      </c>
      <c r="E910" t="s">
        <v>18</v>
      </c>
      <c r="F910" t="s">
        <v>19</v>
      </c>
      <c r="G910" t="s">
        <v>20</v>
      </c>
      <c r="H910">
        <v>27000</v>
      </c>
      <c r="I910">
        <v>9</v>
      </c>
      <c r="J910">
        <v>2</v>
      </c>
      <c r="K910">
        <v>3</v>
      </c>
      <c r="L910" t="s">
        <v>21</v>
      </c>
      <c r="M910" t="s">
        <v>29</v>
      </c>
      <c r="N910" t="s">
        <v>34</v>
      </c>
      <c r="O910" t="s">
        <v>54</v>
      </c>
      <c r="P910" t="str">
        <f t="shared" si="70"/>
        <v>30-39</v>
      </c>
      <c r="Q910" t="str">
        <f t="shared" si="71"/>
        <v>Low</v>
      </c>
      <c r="R910" t="str">
        <f t="shared" si="72"/>
        <v>Senior</v>
      </c>
      <c r="S910" t="str">
        <f t="shared" si="73"/>
        <v>Needs Improvement</v>
      </c>
      <c r="T910" s="4" t="str">
        <f t="shared" si="74"/>
        <v>Neutral</v>
      </c>
    </row>
    <row r="911" spans="1:20" x14ac:dyDescent="0.3">
      <c r="A911" t="s">
        <v>1115</v>
      </c>
      <c r="B911" t="s">
        <v>205</v>
      </c>
      <c r="C911" t="s">
        <v>17</v>
      </c>
      <c r="D911">
        <v>30</v>
      </c>
      <c r="E911" t="s">
        <v>18</v>
      </c>
      <c r="F911" t="s">
        <v>126</v>
      </c>
      <c r="G911" t="s">
        <v>33</v>
      </c>
      <c r="H911">
        <v>72000</v>
      </c>
      <c r="I911">
        <v>4</v>
      </c>
      <c r="J911">
        <v>2</v>
      </c>
      <c r="K911">
        <v>1</v>
      </c>
      <c r="L911" t="s">
        <v>21</v>
      </c>
      <c r="M911" t="s">
        <v>21</v>
      </c>
      <c r="N911" t="s">
        <v>22</v>
      </c>
      <c r="O911" t="s">
        <v>38</v>
      </c>
      <c r="P911" t="str">
        <f t="shared" si="70"/>
        <v>30-39</v>
      </c>
      <c r="Q911" t="str">
        <f t="shared" si="71"/>
        <v>High</v>
      </c>
      <c r="R911" t="str">
        <f t="shared" si="72"/>
        <v>Mid-Level</v>
      </c>
      <c r="S911" t="str">
        <f t="shared" si="73"/>
        <v>Needs Improvement</v>
      </c>
      <c r="T911" s="4" t="str">
        <f t="shared" si="74"/>
        <v>Dissatisfied</v>
      </c>
    </row>
    <row r="912" spans="1:20" x14ac:dyDescent="0.3">
      <c r="A912" t="s">
        <v>1116</v>
      </c>
      <c r="B912" t="s">
        <v>502</v>
      </c>
      <c r="C912" t="s">
        <v>17</v>
      </c>
      <c r="D912">
        <v>35</v>
      </c>
      <c r="E912" t="s">
        <v>66</v>
      </c>
      <c r="F912" t="s">
        <v>82</v>
      </c>
      <c r="G912" t="s">
        <v>46</v>
      </c>
      <c r="H912">
        <v>73000</v>
      </c>
      <c r="I912">
        <v>12</v>
      </c>
      <c r="J912">
        <v>5</v>
      </c>
      <c r="K912">
        <v>1</v>
      </c>
      <c r="L912" t="s">
        <v>29</v>
      </c>
      <c r="M912" t="s">
        <v>29</v>
      </c>
      <c r="N912" t="s">
        <v>34</v>
      </c>
      <c r="O912" t="s">
        <v>54</v>
      </c>
      <c r="P912" t="str">
        <f t="shared" si="70"/>
        <v>30-39</v>
      </c>
      <c r="Q912" t="str">
        <f t="shared" si="71"/>
        <v>High</v>
      </c>
      <c r="R912" t="str">
        <f t="shared" si="72"/>
        <v>Senior</v>
      </c>
      <c r="S912" t="str">
        <f t="shared" si="73"/>
        <v>High Performer</v>
      </c>
      <c r="T912" s="4" t="str">
        <f t="shared" si="74"/>
        <v>Dissatisfied</v>
      </c>
    </row>
    <row r="913" spans="1:20" x14ac:dyDescent="0.3">
      <c r="A913" t="s">
        <v>1117</v>
      </c>
      <c r="B913" t="s">
        <v>63</v>
      </c>
      <c r="C913" t="s">
        <v>37</v>
      </c>
      <c r="D913">
        <v>38</v>
      </c>
      <c r="E913" t="s">
        <v>49</v>
      </c>
      <c r="F913" t="s">
        <v>27</v>
      </c>
      <c r="G913" t="s">
        <v>46</v>
      </c>
      <c r="H913">
        <v>44000</v>
      </c>
      <c r="I913">
        <v>6</v>
      </c>
      <c r="J913">
        <v>3</v>
      </c>
      <c r="K913">
        <v>4</v>
      </c>
      <c r="L913" t="s">
        <v>21</v>
      </c>
      <c r="M913" t="s">
        <v>21</v>
      </c>
      <c r="N913" t="s">
        <v>34</v>
      </c>
      <c r="O913" t="s">
        <v>23</v>
      </c>
      <c r="P913" t="str">
        <f t="shared" si="70"/>
        <v>30-39</v>
      </c>
      <c r="Q913" t="str">
        <f t="shared" si="71"/>
        <v>Medium</v>
      </c>
      <c r="R913" t="str">
        <f t="shared" si="72"/>
        <v>Mid-Level</v>
      </c>
      <c r="S913" t="str">
        <f t="shared" si="73"/>
        <v>Needs Improvement</v>
      </c>
      <c r="T913" s="4" t="str">
        <f t="shared" si="74"/>
        <v>Satisfied</v>
      </c>
    </row>
    <row r="914" spans="1:20" x14ac:dyDescent="0.3">
      <c r="A914" t="s">
        <v>1118</v>
      </c>
      <c r="B914" t="s">
        <v>201</v>
      </c>
      <c r="C914" t="s">
        <v>17</v>
      </c>
      <c r="D914">
        <v>34</v>
      </c>
      <c r="E914" t="s">
        <v>57</v>
      </c>
      <c r="F914" t="s">
        <v>50</v>
      </c>
      <c r="G914" t="s">
        <v>28</v>
      </c>
      <c r="H914">
        <v>68000</v>
      </c>
      <c r="I914">
        <v>2</v>
      </c>
      <c r="J914">
        <v>2</v>
      </c>
      <c r="K914">
        <v>5</v>
      </c>
      <c r="L914" t="s">
        <v>29</v>
      </c>
      <c r="M914" t="s">
        <v>29</v>
      </c>
      <c r="N914" t="s">
        <v>34</v>
      </c>
      <c r="O914" t="s">
        <v>70</v>
      </c>
      <c r="P914" t="str">
        <f t="shared" si="70"/>
        <v>30-39</v>
      </c>
      <c r="Q914" t="str">
        <f t="shared" si="71"/>
        <v>Medium</v>
      </c>
      <c r="R914" t="str">
        <f t="shared" si="72"/>
        <v>Junior</v>
      </c>
      <c r="S914" t="str">
        <f t="shared" si="73"/>
        <v>Needs Improvement</v>
      </c>
      <c r="T914" s="4" t="str">
        <f t="shared" si="74"/>
        <v>Satisfied</v>
      </c>
    </row>
    <row r="915" spans="1:20" x14ac:dyDescent="0.3">
      <c r="A915" t="s">
        <v>1119</v>
      </c>
      <c r="B915" t="s">
        <v>205</v>
      </c>
      <c r="C915" t="s">
        <v>37</v>
      </c>
      <c r="D915">
        <v>53</v>
      </c>
      <c r="E915" t="s">
        <v>26</v>
      </c>
      <c r="F915" t="s">
        <v>27</v>
      </c>
      <c r="G915" t="s">
        <v>20</v>
      </c>
      <c r="H915">
        <v>73000</v>
      </c>
      <c r="I915">
        <v>17</v>
      </c>
      <c r="J915">
        <v>5</v>
      </c>
      <c r="K915">
        <v>1</v>
      </c>
      <c r="L915" t="s">
        <v>21</v>
      </c>
      <c r="M915" t="s">
        <v>21</v>
      </c>
      <c r="N915" t="s">
        <v>22</v>
      </c>
      <c r="O915" t="s">
        <v>23</v>
      </c>
      <c r="P915" t="str">
        <f t="shared" si="70"/>
        <v>50+</v>
      </c>
      <c r="Q915" t="str">
        <f t="shared" si="71"/>
        <v>High</v>
      </c>
      <c r="R915" t="str">
        <f t="shared" si="72"/>
        <v>Senior</v>
      </c>
      <c r="S915" t="str">
        <f t="shared" si="73"/>
        <v>High Performer</v>
      </c>
      <c r="T915" s="4" t="str">
        <f t="shared" si="74"/>
        <v>Dissatisfied</v>
      </c>
    </row>
    <row r="916" spans="1:20" x14ac:dyDescent="0.3">
      <c r="A916" t="s">
        <v>1120</v>
      </c>
      <c r="B916" t="s">
        <v>295</v>
      </c>
      <c r="C916" t="s">
        <v>37</v>
      </c>
      <c r="D916">
        <v>44</v>
      </c>
      <c r="E916" t="s">
        <v>18</v>
      </c>
      <c r="F916" t="s">
        <v>126</v>
      </c>
      <c r="G916" t="s">
        <v>20</v>
      </c>
      <c r="H916">
        <v>78000</v>
      </c>
      <c r="I916">
        <v>5</v>
      </c>
      <c r="J916">
        <v>5</v>
      </c>
      <c r="K916">
        <v>1</v>
      </c>
      <c r="L916" t="s">
        <v>29</v>
      </c>
      <c r="M916" t="s">
        <v>29</v>
      </c>
      <c r="N916" t="s">
        <v>34</v>
      </c>
      <c r="O916" t="s">
        <v>75</v>
      </c>
      <c r="P916" t="str">
        <f t="shared" si="70"/>
        <v>40-49</v>
      </c>
      <c r="Q916" t="str">
        <f t="shared" si="71"/>
        <v>High</v>
      </c>
      <c r="R916" t="str">
        <f t="shared" si="72"/>
        <v>Mid-Level</v>
      </c>
      <c r="S916" t="str">
        <f t="shared" si="73"/>
        <v>High Performer</v>
      </c>
      <c r="T916" s="4" t="str">
        <f t="shared" si="74"/>
        <v>Dissatisfied</v>
      </c>
    </row>
    <row r="917" spans="1:20" x14ac:dyDescent="0.3">
      <c r="A917" t="s">
        <v>1121</v>
      </c>
      <c r="B917" t="s">
        <v>376</v>
      </c>
      <c r="C917" t="s">
        <v>37</v>
      </c>
      <c r="D917">
        <v>41</v>
      </c>
      <c r="E917" t="s">
        <v>66</v>
      </c>
      <c r="F917" t="s">
        <v>82</v>
      </c>
      <c r="G917" t="s">
        <v>33</v>
      </c>
      <c r="H917">
        <v>48000</v>
      </c>
      <c r="I917">
        <v>11</v>
      </c>
      <c r="J917">
        <v>2</v>
      </c>
      <c r="K917">
        <v>4</v>
      </c>
      <c r="L917" t="s">
        <v>21</v>
      </c>
      <c r="M917" t="s">
        <v>29</v>
      </c>
      <c r="N917" t="s">
        <v>34</v>
      </c>
      <c r="O917" t="s">
        <v>51</v>
      </c>
      <c r="P917" t="str">
        <f t="shared" si="70"/>
        <v>40-49</v>
      </c>
      <c r="Q917" t="str">
        <f t="shared" si="71"/>
        <v>Medium</v>
      </c>
      <c r="R917" t="str">
        <f t="shared" si="72"/>
        <v>Senior</v>
      </c>
      <c r="S917" t="str">
        <f t="shared" si="73"/>
        <v>Needs Improvement</v>
      </c>
      <c r="T917" s="4" t="str">
        <f t="shared" si="74"/>
        <v>Satisfied</v>
      </c>
    </row>
    <row r="918" spans="1:20" x14ac:dyDescent="0.3">
      <c r="A918" t="s">
        <v>1122</v>
      </c>
      <c r="B918" t="s">
        <v>227</v>
      </c>
      <c r="C918" t="s">
        <v>37</v>
      </c>
      <c r="D918">
        <v>38</v>
      </c>
      <c r="E918" t="s">
        <v>18</v>
      </c>
      <c r="F918" t="s">
        <v>126</v>
      </c>
      <c r="G918" t="s">
        <v>33</v>
      </c>
      <c r="H918">
        <v>57000</v>
      </c>
      <c r="I918">
        <v>9</v>
      </c>
      <c r="J918">
        <v>2</v>
      </c>
      <c r="K918">
        <v>2</v>
      </c>
      <c r="L918" t="s">
        <v>21</v>
      </c>
      <c r="M918" t="s">
        <v>29</v>
      </c>
      <c r="N918" t="s">
        <v>22</v>
      </c>
      <c r="O918" t="s">
        <v>51</v>
      </c>
      <c r="P918" t="str">
        <f t="shared" si="70"/>
        <v>30-39</v>
      </c>
      <c r="Q918" t="str">
        <f t="shared" si="71"/>
        <v>Medium</v>
      </c>
      <c r="R918" t="str">
        <f t="shared" si="72"/>
        <v>Senior</v>
      </c>
      <c r="S918" t="str">
        <f t="shared" si="73"/>
        <v>Needs Improvement</v>
      </c>
      <c r="T918" s="4" t="str">
        <f t="shared" si="74"/>
        <v>Dissatisfied</v>
      </c>
    </row>
    <row r="919" spans="1:20" x14ac:dyDescent="0.3">
      <c r="A919" t="s">
        <v>1123</v>
      </c>
      <c r="B919" t="s">
        <v>118</v>
      </c>
      <c r="C919" t="s">
        <v>37</v>
      </c>
      <c r="D919">
        <v>50</v>
      </c>
      <c r="E919" t="s">
        <v>18</v>
      </c>
      <c r="F919" t="s">
        <v>19</v>
      </c>
      <c r="G919" t="s">
        <v>46</v>
      </c>
      <c r="H919">
        <v>86000</v>
      </c>
      <c r="I919">
        <v>5</v>
      </c>
      <c r="J919">
        <v>2</v>
      </c>
      <c r="K919">
        <v>3</v>
      </c>
      <c r="L919" t="s">
        <v>21</v>
      </c>
      <c r="M919" t="s">
        <v>29</v>
      </c>
      <c r="N919" t="s">
        <v>34</v>
      </c>
      <c r="O919" t="s">
        <v>54</v>
      </c>
      <c r="P919" t="str">
        <f t="shared" si="70"/>
        <v>50+</v>
      </c>
      <c r="Q919" t="str">
        <f t="shared" si="71"/>
        <v>High</v>
      </c>
      <c r="R919" t="str">
        <f t="shared" si="72"/>
        <v>Mid-Level</v>
      </c>
      <c r="S919" t="str">
        <f t="shared" si="73"/>
        <v>Needs Improvement</v>
      </c>
      <c r="T919" s="4" t="str">
        <f t="shared" si="74"/>
        <v>Neutral</v>
      </c>
    </row>
    <row r="920" spans="1:20" x14ac:dyDescent="0.3">
      <c r="A920" t="s">
        <v>1124</v>
      </c>
      <c r="B920" t="s">
        <v>48</v>
      </c>
      <c r="C920" t="s">
        <v>37</v>
      </c>
      <c r="D920">
        <v>38</v>
      </c>
      <c r="E920" t="s">
        <v>57</v>
      </c>
      <c r="F920" t="s">
        <v>50</v>
      </c>
      <c r="G920" t="s">
        <v>20</v>
      </c>
      <c r="H920">
        <v>91000</v>
      </c>
      <c r="I920">
        <v>3</v>
      </c>
      <c r="J920">
        <v>2</v>
      </c>
      <c r="K920">
        <v>1</v>
      </c>
      <c r="L920" t="s">
        <v>21</v>
      </c>
      <c r="M920" t="s">
        <v>29</v>
      </c>
      <c r="N920" t="s">
        <v>22</v>
      </c>
      <c r="O920" t="s">
        <v>38</v>
      </c>
      <c r="P920" t="str">
        <f t="shared" si="70"/>
        <v>30-39</v>
      </c>
      <c r="Q920" t="str">
        <f t="shared" si="71"/>
        <v>High</v>
      </c>
      <c r="R920" t="str">
        <f t="shared" si="72"/>
        <v>Mid-Level</v>
      </c>
      <c r="S920" t="str">
        <f t="shared" si="73"/>
        <v>Needs Improvement</v>
      </c>
      <c r="T920" s="4" t="str">
        <f t="shared" si="74"/>
        <v>Dissatisfied</v>
      </c>
    </row>
    <row r="921" spans="1:20" x14ac:dyDescent="0.3">
      <c r="A921" t="s">
        <v>1125</v>
      </c>
      <c r="B921" t="s">
        <v>418</v>
      </c>
      <c r="C921" t="s">
        <v>17</v>
      </c>
      <c r="D921">
        <v>33</v>
      </c>
      <c r="E921" t="s">
        <v>26</v>
      </c>
      <c r="F921" t="s">
        <v>50</v>
      </c>
      <c r="G921" t="s">
        <v>46</v>
      </c>
      <c r="H921">
        <v>55000</v>
      </c>
      <c r="I921">
        <v>5</v>
      </c>
      <c r="J921">
        <v>3</v>
      </c>
      <c r="K921">
        <v>2</v>
      </c>
      <c r="L921" t="s">
        <v>21</v>
      </c>
      <c r="M921" t="s">
        <v>29</v>
      </c>
      <c r="N921" t="s">
        <v>22</v>
      </c>
      <c r="O921" t="s">
        <v>23</v>
      </c>
      <c r="P921" t="str">
        <f t="shared" si="70"/>
        <v>30-39</v>
      </c>
      <c r="Q921" t="str">
        <f t="shared" si="71"/>
        <v>Medium</v>
      </c>
      <c r="R921" t="str">
        <f t="shared" si="72"/>
        <v>Mid-Level</v>
      </c>
      <c r="S921" t="str">
        <f t="shared" si="73"/>
        <v>Needs Improvement</v>
      </c>
      <c r="T921" s="4" t="str">
        <f t="shared" si="74"/>
        <v>Dissatisfied</v>
      </c>
    </row>
    <row r="922" spans="1:20" x14ac:dyDescent="0.3">
      <c r="A922" t="s">
        <v>1126</v>
      </c>
      <c r="B922" t="s">
        <v>199</v>
      </c>
      <c r="C922" t="s">
        <v>17</v>
      </c>
      <c r="D922">
        <v>31</v>
      </c>
      <c r="E922" t="s">
        <v>49</v>
      </c>
      <c r="F922" t="s">
        <v>50</v>
      </c>
      <c r="G922" t="s">
        <v>20</v>
      </c>
      <c r="H922">
        <v>42000</v>
      </c>
      <c r="I922">
        <v>10</v>
      </c>
      <c r="J922">
        <v>4</v>
      </c>
      <c r="K922">
        <v>1</v>
      </c>
      <c r="L922" t="s">
        <v>29</v>
      </c>
      <c r="M922" t="s">
        <v>29</v>
      </c>
      <c r="N922" t="s">
        <v>22</v>
      </c>
      <c r="O922" t="s">
        <v>23</v>
      </c>
      <c r="P922" t="str">
        <f t="shared" si="70"/>
        <v>30-39</v>
      </c>
      <c r="Q922" t="str">
        <f t="shared" si="71"/>
        <v>Medium</v>
      </c>
      <c r="R922" t="str">
        <f t="shared" si="72"/>
        <v>Senior</v>
      </c>
      <c r="S922" t="str">
        <f t="shared" si="73"/>
        <v>High Performer</v>
      </c>
      <c r="T922" s="4" t="str">
        <f t="shared" si="74"/>
        <v>Dissatisfied</v>
      </c>
    </row>
    <row r="923" spans="1:20" x14ac:dyDescent="0.3">
      <c r="A923" t="s">
        <v>1127</v>
      </c>
      <c r="B923" t="s">
        <v>227</v>
      </c>
      <c r="C923" t="s">
        <v>17</v>
      </c>
      <c r="D923">
        <v>27</v>
      </c>
      <c r="E923" t="s">
        <v>57</v>
      </c>
      <c r="F923" t="s">
        <v>27</v>
      </c>
      <c r="G923" t="s">
        <v>46</v>
      </c>
      <c r="H923">
        <v>90000</v>
      </c>
      <c r="I923">
        <v>6</v>
      </c>
      <c r="J923">
        <v>2</v>
      </c>
      <c r="K923">
        <v>1</v>
      </c>
      <c r="L923" t="s">
        <v>21</v>
      </c>
      <c r="M923" t="s">
        <v>21</v>
      </c>
      <c r="N923" t="s">
        <v>34</v>
      </c>
      <c r="O923" t="s">
        <v>30</v>
      </c>
      <c r="P923" t="str">
        <f t="shared" si="70"/>
        <v>20-29</v>
      </c>
      <c r="Q923" t="str">
        <f t="shared" si="71"/>
        <v>High</v>
      </c>
      <c r="R923" t="str">
        <f t="shared" si="72"/>
        <v>Mid-Level</v>
      </c>
      <c r="S923" t="str">
        <f t="shared" si="73"/>
        <v>Needs Improvement</v>
      </c>
      <c r="T923" s="4" t="str">
        <f t="shared" si="74"/>
        <v>Dissatisfied</v>
      </c>
    </row>
    <row r="924" spans="1:20" x14ac:dyDescent="0.3">
      <c r="A924" t="s">
        <v>1128</v>
      </c>
      <c r="B924" t="s">
        <v>223</v>
      </c>
      <c r="C924" t="s">
        <v>37</v>
      </c>
      <c r="D924">
        <v>36</v>
      </c>
      <c r="E924" t="s">
        <v>18</v>
      </c>
      <c r="F924" t="s">
        <v>19</v>
      </c>
      <c r="G924" t="s">
        <v>28</v>
      </c>
      <c r="H924">
        <v>118000</v>
      </c>
      <c r="I924">
        <v>15</v>
      </c>
      <c r="J924">
        <v>3</v>
      </c>
      <c r="K924">
        <v>4</v>
      </c>
      <c r="L924" t="s">
        <v>29</v>
      </c>
      <c r="M924" t="s">
        <v>29</v>
      </c>
      <c r="N924" t="s">
        <v>22</v>
      </c>
      <c r="O924" t="s">
        <v>70</v>
      </c>
      <c r="P924" t="str">
        <f t="shared" si="70"/>
        <v>30-39</v>
      </c>
      <c r="Q924" t="str">
        <f t="shared" si="71"/>
        <v>High</v>
      </c>
      <c r="R924" t="str">
        <f t="shared" si="72"/>
        <v>Senior</v>
      </c>
      <c r="S924" t="str">
        <f t="shared" si="73"/>
        <v>Needs Improvement</v>
      </c>
      <c r="T924" s="4" t="str">
        <f t="shared" si="74"/>
        <v>Satisfied</v>
      </c>
    </row>
    <row r="925" spans="1:20" x14ac:dyDescent="0.3">
      <c r="A925" t="s">
        <v>1129</v>
      </c>
      <c r="B925" t="s">
        <v>86</v>
      </c>
      <c r="C925" t="s">
        <v>17</v>
      </c>
      <c r="D925">
        <v>28</v>
      </c>
      <c r="E925" t="s">
        <v>41</v>
      </c>
      <c r="F925" t="s">
        <v>73</v>
      </c>
      <c r="G925" t="s">
        <v>20</v>
      </c>
      <c r="H925">
        <v>87000</v>
      </c>
      <c r="I925">
        <v>7</v>
      </c>
      <c r="J925">
        <v>4</v>
      </c>
      <c r="K925">
        <v>1</v>
      </c>
      <c r="L925" t="s">
        <v>21</v>
      </c>
      <c r="M925" t="s">
        <v>21</v>
      </c>
      <c r="N925" t="s">
        <v>34</v>
      </c>
      <c r="O925" t="s">
        <v>54</v>
      </c>
      <c r="P925" t="str">
        <f t="shared" si="70"/>
        <v>20-29</v>
      </c>
      <c r="Q925" t="str">
        <f t="shared" si="71"/>
        <v>High</v>
      </c>
      <c r="R925" t="str">
        <f t="shared" si="72"/>
        <v>Senior</v>
      </c>
      <c r="S925" t="str">
        <f t="shared" si="73"/>
        <v>High Performer</v>
      </c>
      <c r="T925" s="4" t="str">
        <f t="shared" si="74"/>
        <v>Dissatisfied</v>
      </c>
    </row>
    <row r="926" spans="1:20" x14ac:dyDescent="0.3">
      <c r="A926" t="s">
        <v>1130</v>
      </c>
      <c r="B926" t="s">
        <v>397</v>
      </c>
      <c r="C926" t="s">
        <v>37</v>
      </c>
      <c r="D926">
        <v>40</v>
      </c>
      <c r="E926" t="s">
        <v>41</v>
      </c>
      <c r="F926" t="s">
        <v>42</v>
      </c>
      <c r="G926" t="s">
        <v>46</v>
      </c>
      <c r="H926">
        <v>107000</v>
      </c>
      <c r="I926">
        <v>3</v>
      </c>
      <c r="J926">
        <v>5</v>
      </c>
      <c r="K926">
        <v>3</v>
      </c>
      <c r="L926" t="s">
        <v>29</v>
      </c>
      <c r="M926" t="s">
        <v>21</v>
      </c>
      <c r="N926" t="s">
        <v>22</v>
      </c>
      <c r="O926" t="s">
        <v>43</v>
      </c>
      <c r="P926" t="str">
        <f t="shared" si="70"/>
        <v>40-49</v>
      </c>
      <c r="Q926" t="str">
        <f t="shared" si="71"/>
        <v>High</v>
      </c>
      <c r="R926" t="str">
        <f t="shared" si="72"/>
        <v>Mid-Level</v>
      </c>
      <c r="S926" t="str">
        <f t="shared" si="73"/>
        <v>High Performer</v>
      </c>
      <c r="T926" s="4" t="str">
        <f t="shared" si="74"/>
        <v>Neutral</v>
      </c>
    </row>
    <row r="927" spans="1:20" x14ac:dyDescent="0.3">
      <c r="A927" t="s">
        <v>1131</v>
      </c>
      <c r="B927" t="s">
        <v>335</v>
      </c>
      <c r="C927" t="s">
        <v>37</v>
      </c>
      <c r="D927">
        <v>50</v>
      </c>
      <c r="E927" t="s">
        <v>26</v>
      </c>
      <c r="F927" t="s">
        <v>27</v>
      </c>
      <c r="G927" t="s">
        <v>33</v>
      </c>
      <c r="H927">
        <v>80000</v>
      </c>
      <c r="I927">
        <v>8</v>
      </c>
      <c r="J927">
        <v>4</v>
      </c>
      <c r="K927">
        <v>5</v>
      </c>
      <c r="L927" t="s">
        <v>29</v>
      </c>
      <c r="M927" t="s">
        <v>29</v>
      </c>
      <c r="N927" t="s">
        <v>22</v>
      </c>
      <c r="O927" t="s">
        <v>38</v>
      </c>
      <c r="P927" t="str">
        <f t="shared" si="70"/>
        <v>50+</v>
      </c>
      <c r="Q927" t="str">
        <f t="shared" si="71"/>
        <v>High</v>
      </c>
      <c r="R927" t="str">
        <f t="shared" si="72"/>
        <v>Senior</v>
      </c>
      <c r="S927" t="str">
        <f t="shared" si="73"/>
        <v>High Performer</v>
      </c>
      <c r="T927" s="4" t="str">
        <f t="shared" si="74"/>
        <v>Satisfied</v>
      </c>
    </row>
    <row r="928" spans="1:20" x14ac:dyDescent="0.3">
      <c r="A928" t="s">
        <v>1132</v>
      </c>
      <c r="B928" t="s">
        <v>86</v>
      </c>
      <c r="C928" t="s">
        <v>17</v>
      </c>
      <c r="D928">
        <v>55</v>
      </c>
      <c r="E928" t="s">
        <v>66</v>
      </c>
      <c r="F928" t="s">
        <v>67</v>
      </c>
      <c r="G928" t="s">
        <v>33</v>
      </c>
      <c r="H928">
        <v>79000</v>
      </c>
      <c r="I928">
        <v>5</v>
      </c>
      <c r="J928">
        <v>2</v>
      </c>
      <c r="K928">
        <v>3</v>
      </c>
      <c r="L928" t="s">
        <v>21</v>
      </c>
      <c r="M928" t="s">
        <v>29</v>
      </c>
      <c r="N928" t="s">
        <v>22</v>
      </c>
      <c r="O928" t="s">
        <v>43</v>
      </c>
      <c r="P928" t="str">
        <f t="shared" si="70"/>
        <v>50+</v>
      </c>
      <c r="Q928" t="str">
        <f t="shared" si="71"/>
        <v>High</v>
      </c>
      <c r="R928" t="str">
        <f t="shared" si="72"/>
        <v>Mid-Level</v>
      </c>
      <c r="S928" t="str">
        <f t="shared" si="73"/>
        <v>Needs Improvement</v>
      </c>
      <c r="T928" s="4" t="str">
        <f t="shared" si="74"/>
        <v>Neutral</v>
      </c>
    </row>
    <row r="929" spans="1:20" x14ac:dyDescent="0.3">
      <c r="A929" t="s">
        <v>1133</v>
      </c>
      <c r="B929" t="s">
        <v>300</v>
      </c>
      <c r="C929" t="s">
        <v>37</v>
      </c>
      <c r="D929">
        <v>30</v>
      </c>
      <c r="E929" t="s">
        <v>66</v>
      </c>
      <c r="F929" t="s">
        <v>82</v>
      </c>
      <c r="G929" t="s">
        <v>28</v>
      </c>
      <c r="H929">
        <v>116000</v>
      </c>
      <c r="I929">
        <v>9</v>
      </c>
      <c r="J929">
        <v>2</v>
      </c>
      <c r="K929">
        <v>3</v>
      </c>
      <c r="L929" t="s">
        <v>21</v>
      </c>
      <c r="M929" t="s">
        <v>29</v>
      </c>
      <c r="N929" t="s">
        <v>22</v>
      </c>
      <c r="O929" t="s">
        <v>54</v>
      </c>
      <c r="P929" t="str">
        <f t="shared" si="70"/>
        <v>30-39</v>
      </c>
      <c r="Q929" t="str">
        <f t="shared" si="71"/>
        <v>High</v>
      </c>
      <c r="R929" t="str">
        <f t="shared" si="72"/>
        <v>Senior</v>
      </c>
      <c r="S929" t="str">
        <f t="shared" si="73"/>
        <v>Needs Improvement</v>
      </c>
      <c r="T929" s="4" t="str">
        <f t="shared" si="74"/>
        <v>Neutral</v>
      </c>
    </row>
    <row r="930" spans="1:20" x14ac:dyDescent="0.3">
      <c r="A930" t="s">
        <v>1134</v>
      </c>
      <c r="B930" t="s">
        <v>138</v>
      </c>
      <c r="C930" t="s">
        <v>17</v>
      </c>
      <c r="D930">
        <v>46</v>
      </c>
      <c r="E930" t="s">
        <v>49</v>
      </c>
      <c r="F930" t="s">
        <v>50</v>
      </c>
      <c r="G930" t="s">
        <v>33</v>
      </c>
      <c r="H930">
        <v>45000</v>
      </c>
      <c r="I930">
        <v>16</v>
      </c>
      <c r="J930">
        <v>3</v>
      </c>
      <c r="K930">
        <v>5</v>
      </c>
      <c r="L930" t="s">
        <v>21</v>
      </c>
      <c r="M930" t="s">
        <v>29</v>
      </c>
      <c r="N930" t="s">
        <v>34</v>
      </c>
      <c r="O930" t="s">
        <v>70</v>
      </c>
      <c r="P930" t="str">
        <f t="shared" si="70"/>
        <v>40-49</v>
      </c>
      <c r="Q930" t="str">
        <f t="shared" si="71"/>
        <v>Medium</v>
      </c>
      <c r="R930" t="str">
        <f t="shared" si="72"/>
        <v>Senior</v>
      </c>
      <c r="S930" t="str">
        <f t="shared" si="73"/>
        <v>Needs Improvement</v>
      </c>
      <c r="T930" s="4" t="str">
        <f t="shared" si="74"/>
        <v>Satisfied</v>
      </c>
    </row>
    <row r="931" spans="1:20" x14ac:dyDescent="0.3">
      <c r="A931" t="s">
        <v>1135</v>
      </c>
      <c r="B931" t="s">
        <v>541</v>
      </c>
      <c r="C931" t="s">
        <v>17</v>
      </c>
      <c r="D931">
        <v>29</v>
      </c>
      <c r="E931" t="s">
        <v>49</v>
      </c>
      <c r="F931" t="s">
        <v>50</v>
      </c>
      <c r="G931" t="s">
        <v>20</v>
      </c>
      <c r="H931">
        <v>111000</v>
      </c>
      <c r="I931">
        <v>8</v>
      </c>
      <c r="J931">
        <v>5</v>
      </c>
      <c r="K931">
        <v>5</v>
      </c>
      <c r="L931" t="s">
        <v>29</v>
      </c>
      <c r="M931" t="s">
        <v>29</v>
      </c>
      <c r="N931" t="s">
        <v>22</v>
      </c>
      <c r="O931" t="s">
        <v>38</v>
      </c>
      <c r="P931" t="str">
        <f t="shared" si="70"/>
        <v>20-29</v>
      </c>
      <c r="Q931" t="str">
        <f t="shared" si="71"/>
        <v>High</v>
      </c>
      <c r="R931" t="str">
        <f t="shared" si="72"/>
        <v>Senior</v>
      </c>
      <c r="S931" t="str">
        <f t="shared" si="73"/>
        <v>High Performer</v>
      </c>
      <c r="T931" s="4" t="str">
        <f t="shared" si="74"/>
        <v>Satisfied</v>
      </c>
    </row>
    <row r="932" spans="1:20" x14ac:dyDescent="0.3">
      <c r="A932" t="s">
        <v>1136</v>
      </c>
      <c r="B932" t="s">
        <v>376</v>
      </c>
      <c r="C932" t="s">
        <v>37</v>
      </c>
      <c r="D932">
        <v>39</v>
      </c>
      <c r="E932" t="s">
        <v>18</v>
      </c>
      <c r="F932" t="s">
        <v>19</v>
      </c>
      <c r="G932" t="s">
        <v>28</v>
      </c>
      <c r="H932">
        <v>114000</v>
      </c>
      <c r="I932">
        <v>16</v>
      </c>
      <c r="J932">
        <v>4</v>
      </c>
      <c r="K932">
        <v>5</v>
      </c>
      <c r="L932" t="s">
        <v>29</v>
      </c>
      <c r="M932" t="s">
        <v>29</v>
      </c>
      <c r="N932" t="s">
        <v>22</v>
      </c>
      <c r="O932" t="s">
        <v>38</v>
      </c>
      <c r="P932" t="str">
        <f t="shared" si="70"/>
        <v>30-39</v>
      </c>
      <c r="Q932" t="str">
        <f t="shared" si="71"/>
        <v>High</v>
      </c>
      <c r="R932" t="str">
        <f t="shared" si="72"/>
        <v>Senior</v>
      </c>
      <c r="S932" t="str">
        <f t="shared" si="73"/>
        <v>High Performer</v>
      </c>
      <c r="T932" s="4" t="str">
        <f t="shared" si="74"/>
        <v>Satisfied</v>
      </c>
    </row>
    <row r="933" spans="1:20" x14ac:dyDescent="0.3">
      <c r="A933" t="s">
        <v>1137</v>
      </c>
      <c r="B933" t="s">
        <v>45</v>
      </c>
      <c r="C933" t="s">
        <v>37</v>
      </c>
      <c r="D933">
        <v>28</v>
      </c>
      <c r="E933" t="s">
        <v>41</v>
      </c>
      <c r="F933" t="s">
        <v>73</v>
      </c>
      <c r="G933" t="s">
        <v>28</v>
      </c>
      <c r="H933">
        <v>60000</v>
      </c>
      <c r="I933">
        <v>7</v>
      </c>
      <c r="J933">
        <v>4</v>
      </c>
      <c r="K933">
        <v>4</v>
      </c>
      <c r="L933" t="s">
        <v>21</v>
      </c>
      <c r="M933" t="s">
        <v>29</v>
      </c>
      <c r="N933" t="s">
        <v>22</v>
      </c>
      <c r="O933" t="s">
        <v>43</v>
      </c>
      <c r="P933" t="str">
        <f t="shared" si="70"/>
        <v>20-29</v>
      </c>
      <c r="Q933" t="str">
        <f t="shared" si="71"/>
        <v>Medium</v>
      </c>
      <c r="R933" t="str">
        <f t="shared" si="72"/>
        <v>Senior</v>
      </c>
      <c r="S933" t="str">
        <f t="shared" si="73"/>
        <v>High Performer</v>
      </c>
      <c r="T933" s="4" t="str">
        <f t="shared" si="74"/>
        <v>Satisfied</v>
      </c>
    </row>
    <row r="934" spans="1:20" x14ac:dyDescent="0.3">
      <c r="A934" t="s">
        <v>1138</v>
      </c>
      <c r="B934" t="s">
        <v>125</v>
      </c>
      <c r="C934" t="s">
        <v>37</v>
      </c>
      <c r="D934">
        <v>24</v>
      </c>
      <c r="E934" t="s">
        <v>18</v>
      </c>
      <c r="F934" t="s">
        <v>19</v>
      </c>
      <c r="G934" t="s">
        <v>46</v>
      </c>
      <c r="H934">
        <v>80000</v>
      </c>
      <c r="I934">
        <v>3</v>
      </c>
      <c r="J934">
        <v>4</v>
      </c>
      <c r="K934">
        <v>4</v>
      </c>
      <c r="L934" t="s">
        <v>29</v>
      </c>
      <c r="M934" t="s">
        <v>29</v>
      </c>
      <c r="N934" t="s">
        <v>22</v>
      </c>
      <c r="O934" t="s">
        <v>51</v>
      </c>
      <c r="P934" t="str">
        <f t="shared" si="70"/>
        <v>20-29</v>
      </c>
      <c r="Q934" t="str">
        <f t="shared" si="71"/>
        <v>High</v>
      </c>
      <c r="R934" t="str">
        <f t="shared" si="72"/>
        <v>Mid-Level</v>
      </c>
      <c r="S934" t="str">
        <f t="shared" si="73"/>
        <v>High Performer</v>
      </c>
      <c r="T934" s="4" t="str">
        <f t="shared" si="74"/>
        <v>Satisfied</v>
      </c>
    </row>
    <row r="935" spans="1:20" x14ac:dyDescent="0.3">
      <c r="A935" t="s">
        <v>1139</v>
      </c>
      <c r="B935" t="s">
        <v>448</v>
      </c>
      <c r="C935" t="s">
        <v>37</v>
      </c>
      <c r="D935">
        <v>35</v>
      </c>
      <c r="E935" t="s">
        <v>57</v>
      </c>
      <c r="F935" t="s">
        <v>50</v>
      </c>
      <c r="G935" t="s">
        <v>20</v>
      </c>
      <c r="H935">
        <v>62000</v>
      </c>
      <c r="I935">
        <v>0</v>
      </c>
      <c r="J935">
        <v>5</v>
      </c>
      <c r="K935">
        <v>2</v>
      </c>
      <c r="L935" t="s">
        <v>29</v>
      </c>
      <c r="M935" t="s">
        <v>29</v>
      </c>
      <c r="N935" t="s">
        <v>34</v>
      </c>
      <c r="O935" t="s">
        <v>54</v>
      </c>
      <c r="P935" t="str">
        <f t="shared" si="70"/>
        <v>30-39</v>
      </c>
      <c r="Q935" t="str">
        <f t="shared" si="71"/>
        <v>Medium</v>
      </c>
      <c r="R935" t="str">
        <f t="shared" si="72"/>
        <v>Junior</v>
      </c>
      <c r="S935" t="str">
        <f t="shared" si="73"/>
        <v>High Performer</v>
      </c>
      <c r="T935" s="4" t="str">
        <f t="shared" si="74"/>
        <v>Dissatisfied</v>
      </c>
    </row>
    <row r="936" spans="1:20" x14ac:dyDescent="0.3">
      <c r="A936" t="s">
        <v>1140</v>
      </c>
      <c r="B936" t="s">
        <v>709</v>
      </c>
      <c r="C936" t="s">
        <v>37</v>
      </c>
      <c r="D936">
        <v>49</v>
      </c>
      <c r="E936" t="s">
        <v>26</v>
      </c>
      <c r="F936" t="s">
        <v>50</v>
      </c>
      <c r="G936" t="s">
        <v>20</v>
      </c>
      <c r="H936">
        <v>107000</v>
      </c>
      <c r="I936">
        <v>15</v>
      </c>
      <c r="J936">
        <v>2</v>
      </c>
      <c r="K936">
        <v>5</v>
      </c>
      <c r="L936" t="s">
        <v>21</v>
      </c>
      <c r="M936" t="s">
        <v>21</v>
      </c>
      <c r="N936" t="s">
        <v>22</v>
      </c>
      <c r="O936" t="s">
        <v>23</v>
      </c>
      <c r="P936" t="str">
        <f t="shared" si="70"/>
        <v>40-49</v>
      </c>
      <c r="Q936" t="str">
        <f t="shared" si="71"/>
        <v>High</v>
      </c>
      <c r="R936" t="str">
        <f t="shared" si="72"/>
        <v>Senior</v>
      </c>
      <c r="S936" t="str">
        <f t="shared" si="73"/>
        <v>Needs Improvement</v>
      </c>
      <c r="T936" s="4" t="str">
        <f t="shared" si="74"/>
        <v>Satisfied</v>
      </c>
    </row>
    <row r="937" spans="1:20" x14ac:dyDescent="0.3">
      <c r="A937" t="s">
        <v>1141</v>
      </c>
      <c r="B937" t="s">
        <v>229</v>
      </c>
      <c r="C937" t="s">
        <v>17</v>
      </c>
      <c r="D937">
        <v>40</v>
      </c>
      <c r="E937" t="s">
        <v>26</v>
      </c>
      <c r="F937" t="s">
        <v>50</v>
      </c>
      <c r="G937" t="s">
        <v>20</v>
      </c>
      <c r="H937">
        <v>43000</v>
      </c>
      <c r="I937">
        <v>16</v>
      </c>
      <c r="J937">
        <v>4</v>
      </c>
      <c r="K937">
        <v>5</v>
      </c>
      <c r="L937" t="s">
        <v>29</v>
      </c>
      <c r="M937" t="s">
        <v>29</v>
      </c>
      <c r="N937" t="s">
        <v>34</v>
      </c>
      <c r="O937" t="s">
        <v>54</v>
      </c>
      <c r="P937" t="str">
        <f t="shared" si="70"/>
        <v>40-49</v>
      </c>
      <c r="Q937" t="str">
        <f t="shared" si="71"/>
        <v>Medium</v>
      </c>
      <c r="R937" t="str">
        <f t="shared" si="72"/>
        <v>Senior</v>
      </c>
      <c r="S937" t="str">
        <f t="shared" si="73"/>
        <v>High Performer</v>
      </c>
      <c r="T937" s="4" t="str">
        <f t="shared" si="74"/>
        <v>Satisfied</v>
      </c>
    </row>
    <row r="938" spans="1:20" x14ac:dyDescent="0.3">
      <c r="A938" t="s">
        <v>1142</v>
      </c>
      <c r="B938" t="s">
        <v>1063</v>
      </c>
      <c r="C938" t="s">
        <v>37</v>
      </c>
      <c r="D938">
        <v>24</v>
      </c>
      <c r="E938" t="s">
        <v>49</v>
      </c>
      <c r="F938" t="s">
        <v>50</v>
      </c>
      <c r="G938" t="s">
        <v>20</v>
      </c>
      <c r="H938">
        <v>105000</v>
      </c>
      <c r="I938">
        <v>3</v>
      </c>
      <c r="J938">
        <v>5</v>
      </c>
      <c r="K938">
        <v>1</v>
      </c>
      <c r="L938" t="s">
        <v>29</v>
      </c>
      <c r="M938" t="s">
        <v>29</v>
      </c>
      <c r="N938" t="s">
        <v>34</v>
      </c>
      <c r="O938" t="s">
        <v>23</v>
      </c>
      <c r="P938" t="str">
        <f t="shared" si="70"/>
        <v>20-29</v>
      </c>
      <c r="Q938" t="str">
        <f t="shared" si="71"/>
        <v>High</v>
      </c>
      <c r="R938" t="str">
        <f t="shared" si="72"/>
        <v>Mid-Level</v>
      </c>
      <c r="S938" t="str">
        <f t="shared" si="73"/>
        <v>High Performer</v>
      </c>
      <c r="T938" s="4" t="str">
        <f t="shared" si="74"/>
        <v>Dissatisfied</v>
      </c>
    </row>
    <row r="939" spans="1:20" x14ac:dyDescent="0.3">
      <c r="A939" t="s">
        <v>1143</v>
      </c>
      <c r="B939" t="s">
        <v>297</v>
      </c>
      <c r="C939" t="s">
        <v>17</v>
      </c>
      <c r="D939">
        <v>42</v>
      </c>
      <c r="E939" t="s">
        <v>49</v>
      </c>
      <c r="F939" t="s">
        <v>27</v>
      </c>
      <c r="G939" t="s">
        <v>28</v>
      </c>
      <c r="H939">
        <v>60000</v>
      </c>
      <c r="I939">
        <v>1</v>
      </c>
      <c r="J939">
        <v>4</v>
      </c>
      <c r="K939">
        <v>2</v>
      </c>
      <c r="L939" t="s">
        <v>29</v>
      </c>
      <c r="M939" t="s">
        <v>29</v>
      </c>
      <c r="N939" t="s">
        <v>34</v>
      </c>
      <c r="O939" t="s">
        <v>30</v>
      </c>
      <c r="P939" t="str">
        <f t="shared" si="70"/>
        <v>40-49</v>
      </c>
      <c r="Q939" t="str">
        <f t="shared" si="71"/>
        <v>Medium</v>
      </c>
      <c r="R939" t="str">
        <f t="shared" si="72"/>
        <v>Junior</v>
      </c>
      <c r="S939" t="str">
        <f t="shared" si="73"/>
        <v>High Performer</v>
      </c>
      <c r="T939" s="4" t="str">
        <f t="shared" si="74"/>
        <v>Dissatisfied</v>
      </c>
    </row>
    <row r="940" spans="1:20" x14ac:dyDescent="0.3">
      <c r="A940" t="s">
        <v>1144</v>
      </c>
      <c r="B940" t="s">
        <v>168</v>
      </c>
      <c r="C940" t="s">
        <v>37</v>
      </c>
      <c r="D940">
        <v>48</v>
      </c>
      <c r="E940" t="s">
        <v>26</v>
      </c>
      <c r="F940" t="s">
        <v>27</v>
      </c>
      <c r="G940" t="s">
        <v>28</v>
      </c>
      <c r="H940">
        <v>61000</v>
      </c>
      <c r="I940">
        <v>11</v>
      </c>
      <c r="J940">
        <v>2</v>
      </c>
      <c r="K940">
        <v>2</v>
      </c>
      <c r="L940" t="s">
        <v>29</v>
      </c>
      <c r="M940" t="s">
        <v>29</v>
      </c>
      <c r="N940" t="s">
        <v>34</v>
      </c>
      <c r="O940" t="s">
        <v>51</v>
      </c>
      <c r="P940" t="str">
        <f t="shared" si="70"/>
        <v>40-49</v>
      </c>
      <c r="Q940" t="str">
        <f t="shared" si="71"/>
        <v>Medium</v>
      </c>
      <c r="R940" t="str">
        <f t="shared" si="72"/>
        <v>Senior</v>
      </c>
      <c r="S940" t="str">
        <f t="shared" si="73"/>
        <v>Needs Improvement</v>
      </c>
      <c r="T940" s="4" t="str">
        <f t="shared" si="74"/>
        <v>Dissatisfied</v>
      </c>
    </row>
    <row r="941" spans="1:20" x14ac:dyDescent="0.3">
      <c r="A941" t="s">
        <v>1145</v>
      </c>
      <c r="B941" t="s">
        <v>302</v>
      </c>
      <c r="C941" t="s">
        <v>37</v>
      </c>
      <c r="D941">
        <v>31</v>
      </c>
      <c r="E941" t="s">
        <v>49</v>
      </c>
      <c r="F941" t="s">
        <v>27</v>
      </c>
      <c r="G941" t="s">
        <v>33</v>
      </c>
      <c r="H941">
        <v>103000</v>
      </c>
      <c r="I941">
        <v>6</v>
      </c>
      <c r="J941">
        <v>3</v>
      </c>
      <c r="K941">
        <v>3</v>
      </c>
      <c r="L941" t="s">
        <v>21</v>
      </c>
      <c r="M941" t="s">
        <v>21</v>
      </c>
      <c r="N941" t="s">
        <v>34</v>
      </c>
      <c r="O941" t="s">
        <v>70</v>
      </c>
      <c r="P941" t="str">
        <f t="shared" si="70"/>
        <v>30-39</v>
      </c>
      <c r="Q941" t="str">
        <f t="shared" si="71"/>
        <v>High</v>
      </c>
      <c r="R941" t="str">
        <f t="shared" si="72"/>
        <v>Mid-Level</v>
      </c>
      <c r="S941" t="str">
        <f t="shared" si="73"/>
        <v>Needs Improvement</v>
      </c>
      <c r="T941" s="4" t="str">
        <f t="shared" si="74"/>
        <v>Neutral</v>
      </c>
    </row>
    <row r="942" spans="1:20" x14ac:dyDescent="0.3">
      <c r="A942" t="s">
        <v>1146</v>
      </c>
      <c r="B942" t="s">
        <v>379</v>
      </c>
      <c r="C942" t="s">
        <v>17</v>
      </c>
      <c r="D942">
        <v>29</v>
      </c>
      <c r="E942" t="s">
        <v>66</v>
      </c>
      <c r="F942" t="s">
        <v>67</v>
      </c>
      <c r="G942" t="s">
        <v>46</v>
      </c>
      <c r="H942">
        <v>79000</v>
      </c>
      <c r="I942">
        <v>8</v>
      </c>
      <c r="J942">
        <v>2</v>
      </c>
      <c r="K942">
        <v>5</v>
      </c>
      <c r="L942" t="s">
        <v>21</v>
      </c>
      <c r="M942" t="s">
        <v>21</v>
      </c>
      <c r="N942" t="s">
        <v>34</v>
      </c>
      <c r="O942" t="s">
        <v>54</v>
      </c>
      <c r="P942" t="str">
        <f t="shared" si="70"/>
        <v>20-29</v>
      </c>
      <c r="Q942" t="str">
        <f t="shared" si="71"/>
        <v>High</v>
      </c>
      <c r="R942" t="str">
        <f t="shared" si="72"/>
        <v>Senior</v>
      </c>
      <c r="S942" t="str">
        <f t="shared" si="73"/>
        <v>Needs Improvement</v>
      </c>
      <c r="T942" s="4" t="str">
        <f t="shared" si="74"/>
        <v>Satisfied</v>
      </c>
    </row>
    <row r="943" spans="1:20" x14ac:dyDescent="0.3">
      <c r="A943" t="s">
        <v>1147</v>
      </c>
      <c r="B943" t="s">
        <v>102</v>
      </c>
      <c r="C943" t="s">
        <v>37</v>
      </c>
      <c r="D943">
        <v>25</v>
      </c>
      <c r="E943" t="s">
        <v>57</v>
      </c>
      <c r="F943" t="s">
        <v>27</v>
      </c>
      <c r="G943" t="s">
        <v>33</v>
      </c>
      <c r="H943">
        <v>104000</v>
      </c>
      <c r="I943">
        <v>4</v>
      </c>
      <c r="J943">
        <v>3</v>
      </c>
      <c r="K943">
        <v>1</v>
      </c>
      <c r="L943" t="s">
        <v>21</v>
      </c>
      <c r="M943" t="s">
        <v>21</v>
      </c>
      <c r="N943" t="s">
        <v>22</v>
      </c>
      <c r="O943" t="s">
        <v>30</v>
      </c>
      <c r="P943" t="str">
        <f t="shared" si="70"/>
        <v>20-29</v>
      </c>
      <c r="Q943" t="str">
        <f t="shared" si="71"/>
        <v>High</v>
      </c>
      <c r="R943" t="str">
        <f t="shared" si="72"/>
        <v>Mid-Level</v>
      </c>
      <c r="S943" t="str">
        <f t="shared" si="73"/>
        <v>Needs Improvement</v>
      </c>
      <c r="T943" s="4" t="str">
        <f t="shared" si="74"/>
        <v>Dissatisfied</v>
      </c>
    </row>
    <row r="944" spans="1:20" x14ac:dyDescent="0.3">
      <c r="A944" t="s">
        <v>1148</v>
      </c>
      <c r="B944" t="s">
        <v>1063</v>
      </c>
      <c r="C944" t="s">
        <v>37</v>
      </c>
      <c r="D944">
        <v>23</v>
      </c>
      <c r="E944" t="s">
        <v>49</v>
      </c>
      <c r="F944" t="s">
        <v>27</v>
      </c>
      <c r="G944" t="s">
        <v>20</v>
      </c>
      <c r="H944">
        <v>38000</v>
      </c>
      <c r="I944">
        <v>2</v>
      </c>
      <c r="J944">
        <v>2</v>
      </c>
      <c r="K944">
        <v>3</v>
      </c>
      <c r="L944" t="s">
        <v>21</v>
      </c>
      <c r="M944" t="s">
        <v>29</v>
      </c>
      <c r="N944" t="s">
        <v>22</v>
      </c>
      <c r="O944" t="s">
        <v>75</v>
      </c>
      <c r="P944" t="str">
        <f t="shared" si="70"/>
        <v>20-29</v>
      </c>
      <c r="Q944" t="str">
        <f t="shared" si="71"/>
        <v>Low</v>
      </c>
      <c r="R944" t="str">
        <f t="shared" si="72"/>
        <v>Junior</v>
      </c>
      <c r="S944" t="str">
        <f t="shared" si="73"/>
        <v>Needs Improvement</v>
      </c>
      <c r="T944" s="4" t="str">
        <f t="shared" si="74"/>
        <v>Neutral</v>
      </c>
    </row>
    <row r="945" spans="1:20" x14ac:dyDescent="0.3">
      <c r="A945" t="s">
        <v>1149</v>
      </c>
      <c r="B945" t="s">
        <v>418</v>
      </c>
      <c r="C945" t="s">
        <v>17</v>
      </c>
      <c r="D945">
        <v>38</v>
      </c>
      <c r="E945" t="s">
        <v>66</v>
      </c>
      <c r="F945" t="s">
        <v>82</v>
      </c>
      <c r="G945" t="s">
        <v>33</v>
      </c>
      <c r="H945">
        <v>86000</v>
      </c>
      <c r="I945">
        <v>11</v>
      </c>
      <c r="J945">
        <v>3</v>
      </c>
      <c r="K945">
        <v>3</v>
      </c>
      <c r="L945" t="s">
        <v>29</v>
      </c>
      <c r="M945" t="s">
        <v>29</v>
      </c>
      <c r="N945" t="s">
        <v>22</v>
      </c>
      <c r="O945" t="s">
        <v>70</v>
      </c>
      <c r="P945" t="str">
        <f t="shared" si="70"/>
        <v>30-39</v>
      </c>
      <c r="Q945" t="str">
        <f t="shared" si="71"/>
        <v>High</v>
      </c>
      <c r="R945" t="str">
        <f t="shared" si="72"/>
        <v>Senior</v>
      </c>
      <c r="S945" t="str">
        <f t="shared" si="73"/>
        <v>Needs Improvement</v>
      </c>
      <c r="T945" s="4" t="str">
        <f t="shared" si="74"/>
        <v>Neutral</v>
      </c>
    </row>
    <row r="946" spans="1:20" x14ac:dyDescent="0.3">
      <c r="A946" t="s">
        <v>1150</v>
      </c>
      <c r="B946" t="s">
        <v>134</v>
      </c>
      <c r="C946" t="s">
        <v>37</v>
      </c>
      <c r="D946">
        <v>31</v>
      </c>
      <c r="E946" t="s">
        <v>57</v>
      </c>
      <c r="F946" t="s">
        <v>27</v>
      </c>
      <c r="G946" t="s">
        <v>28</v>
      </c>
      <c r="H946">
        <v>115000</v>
      </c>
      <c r="I946">
        <v>2</v>
      </c>
      <c r="J946">
        <v>3</v>
      </c>
      <c r="K946">
        <v>4</v>
      </c>
      <c r="L946" t="s">
        <v>21</v>
      </c>
      <c r="M946" t="s">
        <v>21</v>
      </c>
      <c r="N946" t="s">
        <v>22</v>
      </c>
      <c r="O946" t="s">
        <v>51</v>
      </c>
      <c r="P946" t="str">
        <f t="shared" si="70"/>
        <v>30-39</v>
      </c>
      <c r="Q946" t="str">
        <f t="shared" si="71"/>
        <v>High</v>
      </c>
      <c r="R946" t="str">
        <f t="shared" si="72"/>
        <v>Junior</v>
      </c>
      <c r="S946" t="str">
        <f t="shared" si="73"/>
        <v>Needs Improvement</v>
      </c>
      <c r="T946" s="4" t="str">
        <f t="shared" si="74"/>
        <v>Satisfied</v>
      </c>
    </row>
    <row r="947" spans="1:20" x14ac:dyDescent="0.3">
      <c r="A947" t="s">
        <v>1151</v>
      </c>
      <c r="B947" t="s">
        <v>379</v>
      </c>
      <c r="C947" t="s">
        <v>17</v>
      </c>
      <c r="D947">
        <v>35</v>
      </c>
      <c r="E947" t="s">
        <v>57</v>
      </c>
      <c r="F947" t="s">
        <v>27</v>
      </c>
      <c r="G947" t="s">
        <v>33</v>
      </c>
      <c r="H947">
        <v>44000</v>
      </c>
      <c r="I947">
        <v>14</v>
      </c>
      <c r="J947">
        <v>3</v>
      </c>
      <c r="K947">
        <v>5</v>
      </c>
      <c r="L947" t="s">
        <v>21</v>
      </c>
      <c r="M947" t="s">
        <v>29</v>
      </c>
      <c r="N947" t="s">
        <v>22</v>
      </c>
      <c r="O947" t="s">
        <v>70</v>
      </c>
      <c r="P947" t="str">
        <f t="shared" si="70"/>
        <v>30-39</v>
      </c>
      <c r="Q947" t="str">
        <f t="shared" si="71"/>
        <v>Medium</v>
      </c>
      <c r="R947" t="str">
        <f t="shared" si="72"/>
        <v>Senior</v>
      </c>
      <c r="S947" t="str">
        <f t="shared" si="73"/>
        <v>Needs Improvement</v>
      </c>
      <c r="T947" s="4" t="str">
        <f t="shared" si="74"/>
        <v>Satisfied</v>
      </c>
    </row>
    <row r="948" spans="1:20" x14ac:dyDescent="0.3">
      <c r="A948" t="s">
        <v>1152</v>
      </c>
      <c r="B948" t="s">
        <v>40</v>
      </c>
      <c r="C948" t="s">
        <v>37</v>
      </c>
      <c r="D948">
        <v>22</v>
      </c>
      <c r="E948" t="s">
        <v>41</v>
      </c>
      <c r="F948" t="s">
        <v>42</v>
      </c>
      <c r="G948" t="s">
        <v>20</v>
      </c>
      <c r="H948">
        <v>38000</v>
      </c>
      <c r="I948">
        <v>1</v>
      </c>
      <c r="J948">
        <v>5</v>
      </c>
      <c r="K948">
        <v>4</v>
      </c>
      <c r="L948" t="s">
        <v>21</v>
      </c>
      <c r="M948" t="s">
        <v>29</v>
      </c>
      <c r="N948" t="s">
        <v>34</v>
      </c>
      <c r="O948" t="s">
        <v>43</v>
      </c>
      <c r="P948" t="str">
        <f t="shared" si="70"/>
        <v>20-29</v>
      </c>
      <c r="Q948" t="str">
        <f t="shared" si="71"/>
        <v>Low</v>
      </c>
      <c r="R948" t="str">
        <f t="shared" si="72"/>
        <v>Junior</v>
      </c>
      <c r="S948" t="str">
        <f t="shared" si="73"/>
        <v>High Performer</v>
      </c>
      <c r="T948" s="4" t="str">
        <f t="shared" si="74"/>
        <v>Satisfied</v>
      </c>
    </row>
    <row r="949" spans="1:20" x14ac:dyDescent="0.3">
      <c r="A949" t="s">
        <v>1153</v>
      </c>
      <c r="B949" t="s">
        <v>476</v>
      </c>
      <c r="C949" t="s">
        <v>37</v>
      </c>
      <c r="D949">
        <v>26</v>
      </c>
      <c r="E949" t="s">
        <v>18</v>
      </c>
      <c r="F949" t="s">
        <v>126</v>
      </c>
      <c r="G949" t="s">
        <v>20</v>
      </c>
      <c r="H949">
        <v>107000</v>
      </c>
      <c r="I949">
        <v>5</v>
      </c>
      <c r="J949">
        <v>2</v>
      </c>
      <c r="K949">
        <v>3</v>
      </c>
      <c r="L949" t="s">
        <v>29</v>
      </c>
      <c r="M949" t="s">
        <v>29</v>
      </c>
      <c r="N949" t="s">
        <v>34</v>
      </c>
      <c r="O949" t="s">
        <v>23</v>
      </c>
      <c r="P949" t="str">
        <f t="shared" si="70"/>
        <v>20-29</v>
      </c>
      <c r="Q949" t="str">
        <f t="shared" si="71"/>
        <v>High</v>
      </c>
      <c r="R949" t="str">
        <f t="shared" si="72"/>
        <v>Mid-Level</v>
      </c>
      <c r="S949" t="str">
        <f t="shared" si="73"/>
        <v>Needs Improvement</v>
      </c>
      <c r="T949" s="4" t="str">
        <f t="shared" si="74"/>
        <v>Neutral</v>
      </c>
    </row>
    <row r="950" spans="1:20" x14ac:dyDescent="0.3">
      <c r="A950" t="s">
        <v>1154</v>
      </c>
      <c r="B950" t="s">
        <v>233</v>
      </c>
      <c r="C950" t="s">
        <v>37</v>
      </c>
      <c r="D950">
        <v>27</v>
      </c>
      <c r="E950" t="s">
        <v>57</v>
      </c>
      <c r="F950" t="s">
        <v>27</v>
      </c>
      <c r="G950" t="s">
        <v>33</v>
      </c>
      <c r="H950">
        <v>75000</v>
      </c>
      <c r="I950">
        <v>6</v>
      </c>
      <c r="J950">
        <v>3</v>
      </c>
      <c r="K950">
        <v>1</v>
      </c>
      <c r="L950" t="s">
        <v>29</v>
      </c>
      <c r="M950" t="s">
        <v>29</v>
      </c>
      <c r="N950" t="s">
        <v>22</v>
      </c>
      <c r="O950" t="s">
        <v>38</v>
      </c>
      <c r="P950" t="str">
        <f t="shared" si="70"/>
        <v>20-29</v>
      </c>
      <c r="Q950" t="str">
        <f t="shared" si="71"/>
        <v>High</v>
      </c>
      <c r="R950" t="str">
        <f t="shared" si="72"/>
        <v>Mid-Level</v>
      </c>
      <c r="S950" t="str">
        <f t="shared" si="73"/>
        <v>Needs Improvement</v>
      </c>
      <c r="T950" s="4" t="str">
        <f t="shared" si="74"/>
        <v>Dissatisfied</v>
      </c>
    </row>
    <row r="951" spans="1:20" x14ac:dyDescent="0.3">
      <c r="A951" t="s">
        <v>1155</v>
      </c>
      <c r="B951" t="s">
        <v>390</v>
      </c>
      <c r="C951" t="s">
        <v>17</v>
      </c>
      <c r="D951">
        <v>27</v>
      </c>
      <c r="E951" t="s">
        <v>57</v>
      </c>
      <c r="F951" t="s">
        <v>27</v>
      </c>
      <c r="G951" t="s">
        <v>33</v>
      </c>
      <c r="H951">
        <v>31000</v>
      </c>
      <c r="I951">
        <v>6</v>
      </c>
      <c r="J951">
        <v>2</v>
      </c>
      <c r="K951">
        <v>4</v>
      </c>
      <c r="L951" t="s">
        <v>29</v>
      </c>
      <c r="M951" t="s">
        <v>29</v>
      </c>
      <c r="N951" t="s">
        <v>34</v>
      </c>
      <c r="O951" t="s">
        <v>30</v>
      </c>
      <c r="P951" t="str">
        <f t="shared" si="70"/>
        <v>20-29</v>
      </c>
      <c r="Q951" t="str">
        <f t="shared" si="71"/>
        <v>Low</v>
      </c>
      <c r="R951" t="str">
        <f t="shared" si="72"/>
        <v>Mid-Level</v>
      </c>
      <c r="S951" t="str">
        <f t="shared" si="73"/>
        <v>Needs Improvement</v>
      </c>
      <c r="T951" s="4" t="str">
        <f t="shared" si="74"/>
        <v>Satisfied</v>
      </c>
    </row>
    <row r="952" spans="1:20" x14ac:dyDescent="0.3">
      <c r="A952" t="s">
        <v>1156</v>
      </c>
      <c r="B952" t="s">
        <v>448</v>
      </c>
      <c r="C952" t="s">
        <v>37</v>
      </c>
      <c r="D952">
        <v>43</v>
      </c>
      <c r="E952" t="s">
        <v>49</v>
      </c>
      <c r="F952" t="s">
        <v>50</v>
      </c>
      <c r="G952" t="s">
        <v>46</v>
      </c>
      <c r="H952">
        <v>39000</v>
      </c>
      <c r="I952">
        <v>17</v>
      </c>
      <c r="J952">
        <v>4</v>
      </c>
      <c r="K952">
        <v>3</v>
      </c>
      <c r="L952" t="s">
        <v>21</v>
      </c>
      <c r="M952" t="s">
        <v>29</v>
      </c>
      <c r="N952" t="s">
        <v>34</v>
      </c>
      <c r="O952" t="s">
        <v>30</v>
      </c>
      <c r="P952" t="str">
        <f t="shared" si="70"/>
        <v>40-49</v>
      </c>
      <c r="Q952" t="str">
        <f t="shared" si="71"/>
        <v>Low</v>
      </c>
      <c r="R952" t="str">
        <f t="shared" si="72"/>
        <v>Senior</v>
      </c>
      <c r="S952" t="str">
        <f t="shared" si="73"/>
        <v>High Performer</v>
      </c>
      <c r="T952" s="4" t="str">
        <f t="shared" si="74"/>
        <v>Neutral</v>
      </c>
    </row>
    <row r="953" spans="1:20" x14ac:dyDescent="0.3">
      <c r="A953" t="s">
        <v>1157</v>
      </c>
      <c r="B953" t="s">
        <v>292</v>
      </c>
      <c r="C953" t="s">
        <v>37</v>
      </c>
      <c r="D953">
        <v>43</v>
      </c>
      <c r="E953" t="s">
        <v>49</v>
      </c>
      <c r="F953" t="s">
        <v>27</v>
      </c>
      <c r="G953" t="s">
        <v>20</v>
      </c>
      <c r="H953">
        <v>34000</v>
      </c>
      <c r="I953">
        <v>13</v>
      </c>
      <c r="J953">
        <v>5</v>
      </c>
      <c r="K953">
        <v>4</v>
      </c>
      <c r="L953" t="s">
        <v>29</v>
      </c>
      <c r="M953" t="s">
        <v>29</v>
      </c>
      <c r="N953" t="s">
        <v>22</v>
      </c>
      <c r="O953" t="s">
        <v>30</v>
      </c>
      <c r="P953" t="str">
        <f t="shared" si="70"/>
        <v>40-49</v>
      </c>
      <c r="Q953" t="str">
        <f t="shared" si="71"/>
        <v>Low</v>
      </c>
      <c r="R953" t="str">
        <f t="shared" si="72"/>
        <v>Senior</v>
      </c>
      <c r="S953" t="str">
        <f t="shared" si="73"/>
        <v>High Performer</v>
      </c>
      <c r="T953" s="4" t="str">
        <f t="shared" si="74"/>
        <v>Satisfied</v>
      </c>
    </row>
    <row r="954" spans="1:20" x14ac:dyDescent="0.3">
      <c r="A954" t="s">
        <v>1158</v>
      </c>
      <c r="B954" t="s">
        <v>132</v>
      </c>
      <c r="C954" t="s">
        <v>37</v>
      </c>
      <c r="D954">
        <v>40</v>
      </c>
      <c r="E954" t="s">
        <v>26</v>
      </c>
      <c r="F954" t="s">
        <v>27</v>
      </c>
      <c r="G954" t="s">
        <v>20</v>
      </c>
      <c r="H954">
        <v>28000</v>
      </c>
      <c r="I954">
        <v>19</v>
      </c>
      <c r="J954">
        <v>4</v>
      </c>
      <c r="K954">
        <v>3</v>
      </c>
      <c r="L954" t="s">
        <v>29</v>
      </c>
      <c r="M954" t="s">
        <v>29</v>
      </c>
      <c r="N954" t="s">
        <v>22</v>
      </c>
      <c r="O954" t="s">
        <v>30</v>
      </c>
      <c r="P954" t="str">
        <f t="shared" si="70"/>
        <v>40-49</v>
      </c>
      <c r="Q954" t="str">
        <f t="shared" si="71"/>
        <v>Low</v>
      </c>
      <c r="R954" t="str">
        <f t="shared" si="72"/>
        <v>Senior</v>
      </c>
      <c r="S954" t="str">
        <f t="shared" si="73"/>
        <v>High Performer</v>
      </c>
      <c r="T954" s="4" t="str">
        <f t="shared" si="74"/>
        <v>Neutral</v>
      </c>
    </row>
    <row r="955" spans="1:20" x14ac:dyDescent="0.3">
      <c r="A955" t="s">
        <v>1159</v>
      </c>
      <c r="B955" t="s">
        <v>446</v>
      </c>
      <c r="C955" t="s">
        <v>37</v>
      </c>
      <c r="D955">
        <v>41</v>
      </c>
      <c r="E955" t="s">
        <v>18</v>
      </c>
      <c r="F955" t="s">
        <v>19</v>
      </c>
      <c r="G955" t="s">
        <v>20</v>
      </c>
      <c r="H955">
        <v>51000</v>
      </c>
      <c r="I955">
        <v>1</v>
      </c>
      <c r="J955">
        <v>5</v>
      </c>
      <c r="K955">
        <v>1</v>
      </c>
      <c r="L955" t="s">
        <v>29</v>
      </c>
      <c r="M955" t="s">
        <v>29</v>
      </c>
      <c r="N955" t="s">
        <v>22</v>
      </c>
      <c r="O955" t="s">
        <v>51</v>
      </c>
      <c r="P955" t="str">
        <f t="shared" si="70"/>
        <v>40-49</v>
      </c>
      <c r="Q955" t="str">
        <f t="shared" si="71"/>
        <v>Medium</v>
      </c>
      <c r="R955" t="str">
        <f t="shared" si="72"/>
        <v>Junior</v>
      </c>
      <c r="S955" t="str">
        <f t="shared" si="73"/>
        <v>High Performer</v>
      </c>
      <c r="T955" s="4" t="str">
        <f t="shared" si="74"/>
        <v>Dissatisfied</v>
      </c>
    </row>
    <row r="956" spans="1:20" x14ac:dyDescent="0.3">
      <c r="A956" t="s">
        <v>1160</v>
      </c>
      <c r="B956" t="s">
        <v>381</v>
      </c>
      <c r="C956" t="s">
        <v>17</v>
      </c>
      <c r="D956">
        <v>31</v>
      </c>
      <c r="E956" t="s">
        <v>49</v>
      </c>
      <c r="F956" t="s">
        <v>50</v>
      </c>
      <c r="G956" t="s">
        <v>28</v>
      </c>
      <c r="H956">
        <v>117000</v>
      </c>
      <c r="I956">
        <v>7</v>
      </c>
      <c r="J956">
        <v>4</v>
      </c>
      <c r="K956">
        <v>3</v>
      </c>
      <c r="L956" t="s">
        <v>21</v>
      </c>
      <c r="M956" t="s">
        <v>29</v>
      </c>
      <c r="N956" t="s">
        <v>22</v>
      </c>
      <c r="O956" t="s">
        <v>54</v>
      </c>
      <c r="P956" t="str">
        <f t="shared" si="70"/>
        <v>30-39</v>
      </c>
      <c r="Q956" t="str">
        <f t="shared" si="71"/>
        <v>High</v>
      </c>
      <c r="R956" t="str">
        <f t="shared" si="72"/>
        <v>Senior</v>
      </c>
      <c r="S956" t="str">
        <f t="shared" si="73"/>
        <v>High Performer</v>
      </c>
      <c r="T956" s="4" t="str">
        <f t="shared" si="74"/>
        <v>Neutral</v>
      </c>
    </row>
    <row r="957" spans="1:20" x14ac:dyDescent="0.3">
      <c r="A957" t="s">
        <v>1161</v>
      </c>
      <c r="B957" t="s">
        <v>265</v>
      </c>
      <c r="C957" t="s">
        <v>17</v>
      </c>
      <c r="D957">
        <v>35</v>
      </c>
      <c r="E957" t="s">
        <v>66</v>
      </c>
      <c r="F957" t="s">
        <v>82</v>
      </c>
      <c r="G957" t="s">
        <v>20</v>
      </c>
      <c r="H957">
        <v>96000</v>
      </c>
      <c r="I957">
        <v>14</v>
      </c>
      <c r="J957">
        <v>3</v>
      </c>
      <c r="K957">
        <v>2</v>
      </c>
      <c r="L957" t="s">
        <v>21</v>
      </c>
      <c r="M957" t="s">
        <v>29</v>
      </c>
      <c r="N957" t="s">
        <v>34</v>
      </c>
      <c r="O957" t="s">
        <v>30</v>
      </c>
      <c r="P957" t="str">
        <f t="shared" si="70"/>
        <v>30-39</v>
      </c>
      <c r="Q957" t="str">
        <f t="shared" si="71"/>
        <v>High</v>
      </c>
      <c r="R957" t="str">
        <f t="shared" si="72"/>
        <v>Senior</v>
      </c>
      <c r="S957" t="str">
        <f t="shared" si="73"/>
        <v>Needs Improvement</v>
      </c>
      <c r="T957" s="4" t="str">
        <f t="shared" si="74"/>
        <v>Dissatisfied</v>
      </c>
    </row>
    <row r="958" spans="1:20" x14ac:dyDescent="0.3">
      <c r="A958" t="s">
        <v>1162</v>
      </c>
      <c r="B958" t="s">
        <v>53</v>
      </c>
      <c r="C958" t="s">
        <v>37</v>
      </c>
      <c r="D958">
        <v>27</v>
      </c>
      <c r="E958" t="s">
        <v>18</v>
      </c>
      <c r="F958" t="s">
        <v>126</v>
      </c>
      <c r="G958" t="s">
        <v>20</v>
      </c>
      <c r="H958">
        <v>66000</v>
      </c>
      <c r="I958">
        <v>6</v>
      </c>
      <c r="J958">
        <v>5</v>
      </c>
      <c r="K958">
        <v>5</v>
      </c>
      <c r="L958" t="s">
        <v>21</v>
      </c>
      <c r="M958" t="s">
        <v>21</v>
      </c>
      <c r="N958" t="s">
        <v>22</v>
      </c>
      <c r="O958" t="s">
        <v>30</v>
      </c>
      <c r="P958" t="str">
        <f t="shared" si="70"/>
        <v>20-29</v>
      </c>
      <c r="Q958" t="str">
        <f t="shared" si="71"/>
        <v>Medium</v>
      </c>
      <c r="R958" t="str">
        <f t="shared" si="72"/>
        <v>Mid-Level</v>
      </c>
      <c r="S958" t="str">
        <f t="shared" si="73"/>
        <v>High Performer</v>
      </c>
      <c r="T958" s="4" t="str">
        <f t="shared" si="74"/>
        <v>Satisfied</v>
      </c>
    </row>
    <row r="959" spans="1:20" x14ac:dyDescent="0.3">
      <c r="A959" t="s">
        <v>1163</v>
      </c>
      <c r="B959" t="s">
        <v>633</v>
      </c>
      <c r="C959" t="s">
        <v>17</v>
      </c>
      <c r="D959">
        <v>22</v>
      </c>
      <c r="E959" t="s">
        <v>41</v>
      </c>
      <c r="F959" t="s">
        <v>42</v>
      </c>
      <c r="G959" t="s">
        <v>28</v>
      </c>
      <c r="H959">
        <v>94000</v>
      </c>
      <c r="I959">
        <v>1</v>
      </c>
      <c r="J959">
        <v>3</v>
      </c>
      <c r="K959">
        <v>4</v>
      </c>
      <c r="L959" t="s">
        <v>29</v>
      </c>
      <c r="M959" t="s">
        <v>29</v>
      </c>
      <c r="N959" t="s">
        <v>22</v>
      </c>
      <c r="O959" t="s">
        <v>54</v>
      </c>
      <c r="P959" t="str">
        <f t="shared" si="70"/>
        <v>20-29</v>
      </c>
      <c r="Q959" t="str">
        <f t="shared" si="71"/>
        <v>High</v>
      </c>
      <c r="R959" t="str">
        <f t="shared" si="72"/>
        <v>Junior</v>
      </c>
      <c r="S959" t="str">
        <f t="shared" si="73"/>
        <v>Needs Improvement</v>
      </c>
      <c r="T959" s="4" t="str">
        <f t="shared" si="74"/>
        <v>Satisfied</v>
      </c>
    </row>
    <row r="960" spans="1:20" x14ac:dyDescent="0.3">
      <c r="A960" t="s">
        <v>1164</v>
      </c>
      <c r="B960" t="s">
        <v>295</v>
      </c>
      <c r="C960" t="s">
        <v>37</v>
      </c>
      <c r="D960">
        <v>24</v>
      </c>
      <c r="E960" t="s">
        <v>26</v>
      </c>
      <c r="F960" t="s">
        <v>50</v>
      </c>
      <c r="G960" t="s">
        <v>33</v>
      </c>
      <c r="H960">
        <v>109000</v>
      </c>
      <c r="I960">
        <v>3</v>
      </c>
      <c r="J960">
        <v>2</v>
      </c>
      <c r="K960">
        <v>1</v>
      </c>
      <c r="L960" t="s">
        <v>21</v>
      </c>
      <c r="M960" t="s">
        <v>29</v>
      </c>
      <c r="N960" t="s">
        <v>34</v>
      </c>
      <c r="O960" t="s">
        <v>54</v>
      </c>
      <c r="P960" t="str">
        <f t="shared" si="70"/>
        <v>20-29</v>
      </c>
      <c r="Q960" t="str">
        <f t="shared" si="71"/>
        <v>High</v>
      </c>
      <c r="R960" t="str">
        <f t="shared" si="72"/>
        <v>Mid-Level</v>
      </c>
      <c r="S960" t="str">
        <f t="shared" si="73"/>
        <v>Needs Improvement</v>
      </c>
      <c r="T960" s="4" t="str">
        <f t="shared" si="74"/>
        <v>Dissatisfied</v>
      </c>
    </row>
    <row r="961" spans="1:20" x14ac:dyDescent="0.3">
      <c r="A961" t="s">
        <v>1165</v>
      </c>
      <c r="B961" t="s">
        <v>261</v>
      </c>
      <c r="C961" t="s">
        <v>17</v>
      </c>
      <c r="D961">
        <v>34</v>
      </c>
      <c r="E961" t="s">
        <v>26</v>
      </c>
      <c r="F961" t="s">
        <v>50</v>
      </c>
      <c r="G961" t="s">
        <v>20</v>
      </c>
      <c r="H961">
        <v>109000</v>
      </c>
      <c r="I961">
        <v>13</v>
      </c>
      <c r="J961">
        <v>3</v>
      </c>
      <c r="K961">
        <v>1</v>
      </c>
      <c r="L961" t="s">
        <v>21</v>
      </c>
      <c r="M961" t="s">
        <v>21</v>
      </c>
      <c r="N961" t="s">
        <v>34</v>
      </c>
      <c r="O961" t="s">
        <v>43</v>
      </c>
      <c r="P961" t="str">
        <f t="shared" si="70"/>
        <v>30-39</v>
      </c>
      <c r="Q961" t="str">
        <f t="shared" si="71"/>
        <v>High</v>
      </c>
      <c r="R961" t="str">
        <f t="shared" si="72"/>
        <v>Senior</v>
      </c>
      <c r="S961" t="str">
        <f t="shared" si="73"/>
        <v>Needs Improvement</v>
      </c>
      <c r="T961" s="4" t="str">
        <f t="shared" si="74"/>
        <v>Dissatisfied</v>
      </c>
    </row>
    <row r="962" spans="1:20" x14ac:dyDescent="0.3">
      <c r="A962" t="s">
        <v>1166</v>
      </c>
      <c r="B962" t="s">
        <v>470</v>
      </c>
      <c r="C962" t="s">
        <v>37</v>
      </c>
      <c r="D962">
        <v>28</v>
      </c>
      <c r="E962" t="s">
        <v>57</v>
      </c>
      <c r="F962" t="s">
        <v>27</v>
      </c>
      <c r="G962" t="s">
        <v>46</v>
      </c>
      <c r="H962">
        <v>93000</v>
      </c>
      <c r="I962">
        <v>7</v>
      </c>
      <c r="J962">
        <v>5</v>
      </c>
      <c r="K962">
        <v>1</v>
      </c>
      <c r="L962" t="s">
        <v>21</v>
      </c>
      <c r="M962" t="s">
        <v>29</v>
      </c>
      <c r="N962" t="s">
        <v>34</v>
      </c>
      <c r="O962" t="s">
        <v>30</v>
      </c>
      <c r="P962" t="str">
        <f t="shared" ref="P962:P1001" si="75">IF(D962&lt;30,"20-29",IF(D962&lt;40,"30-39",IF(D962&lt;50,"40-49","50+")))</f>
        <v>20-29</v>
      </c>
      <c r="Q962" t="str">
        <f t="shared" ref="Q962:Q1001" si="76">IF(H962&lt;40000,"Low",IF(H962&lt;70000,"Medium","High"))</f>
        <v>High</v>
      </c>
      <c r="R962" t="str">
        <f t="shared" ref="R962:R1001" si="77">IF(I962&lt;3,"Junior",IF(I962&lt;7,"Mid-Level","Senior"))</f>
        <v>Senior</v>
      </c>
      <c r="S962" t="str">
        <f t="shared" ref="S962:S1001" si="78">IF(J962&gt;=4,"High Performer","Needs Improvement")</f>
        <v>High Performer</v>
      </c>
      <c r="T962" s="4" t="str">
        <f t="shared" ref="T962:T1001" si="79">IF(K962&gt;=4,"Satisfied",IF(K962=3,"Neutral","Dissatisfied"))</f>
        <v>Dissatisfied</v>
      </c>
    </row>
    <row r="963" spans="1:20" x14ac:dyDescent="0.3">
      <c r="A963" t="s">
        <v>1167</v>
      </c>
      <c r="B963" t="s">
        <v>372</v>
      </c>
      <c r="C963" t="s">
        <v>17</v>
      </c>
      <c r="D963">
        <v>33</v>
      </c>
      <c r="E963" t="s">
        <v>18</v>
      </c>
      <c r="F963" t="s">
        <v>19</v>
      </c>
      <c r="G963" t="s">
        <v>46</v>
      </c>
      <c r="H963">
        <v>72000</v>
      </c>
      <c r="I963">
        <v>2</v>
      </c>
      <c r="J963">
        <v>5</v>
      </c>
      <c r="K963">
        <v>4</v>
      </c>
      <c r="L963" t="s">
        <v>29</v>
      </c>
      <c r="M963" t="s">
        <v>29</v>
      </c>
      <c r="N963" t="s">
        <v>34</v>
      </c>
      <c r="O963" t="s">
        <v>43</v>
      </c>
      <c r="P963" t="str">
        <f t="shared" si="75"/>
        <v>30-39</v>
      </c>
      <c r="Q963" t="str">
        <f t="shared" si="76"/>
        <v>High</v>
      </c>
      <c r="R963" t="str">
        <f t="shared" si="77"/>
        <v>Junior</v>
      </c>
      <c r="S963" t="str">
        <f t="shared" si="78"/>
        <v>High Performer</v>
      </c>
      <c r="T963" s="4" t="str">
        <f t="shared" si="79"/>
        <v>Satisfied</v>
      </c>
    </row>
    <row r="964" spans="1:20" x14ac:dyDescent="0.3">
      <c r="A964" t="s">
        <v>1168</v>
      </c>
      <c r="B964" t="s">
        <v>199</v>
      </c>
      <c r="C964" t="s">
        <v>17</v>
      </c>
      <c r="D964">
        <v>32</v>
      </c>
      <c r="E964" t="s">
        <v>57</v>
      </c>
      <c r="F964" t="s">
        <v>27</v>
      </c>
      <c r="G964" t="s">
        <v>20</v>
      </c>
      <c r="H964">
        <v>41000</v>
      </c>
      <c r="I964">
        <v>11</v>
      </c>
      <c r="J964">
        <v>4</v>
      </c>
      <c r="K964">
        <v>1</v>
      </c>
      <c r="L964" t="s">
        <v>21</v>
      </c>
      <c r="M964" t="s">
        <v>21</v>
      </c>
      <c r="N964" t="s">
        <v>22</v>
      </c>
      <c r="O964" t="s">
        <v>38</v>
      </c>
      <c r="P964" t="str">
        <f t="shared" si="75"/>
        <v>30-39</v>
      </c>
      <c r="Q964" t="str">
        <f t="shared" si="76"/>
        <v>Medium</v>
      </c>
      <c r="R964" t="str">
        <f t="shared" si="77"/>
        <v>Senior</v>
      </c>
      <c r="S964" t="str">
        <f t="shared" si="78"/>
        <v>High Performer</v>
      </c>
      <c r="T964" s="4" t="str">
        <f t="shared" si="79"/>
        <v>Dissatisfied</v>
      </c>
    </row>
    <row r="965" spans="1:20" x14ac:dyDescent="0.3">
      <c r="A965" t="s">
        <v>1169</v>
      </c>
      <c r="B965" t="s">
        <v>140</v>
      </c>
      <c r="C965" t="s">
        <v>37</v>
      </c>
      <c r="D965">
        <v>28</v>
      </c>
      <c r="E965" t="s">
        <v>26</v>
      </c>
      <c r="F965" t="s">
        <v>27</v>
      </c>
      <c r="G965" t="s">
        <v>28</v>
      </c>
      <c r="H965">
        <v>35000</v>
      </c>
      <c r="I965">
        <v>7</v>
      </c>
      <c r="J965">
        <v>4</v>
      </c>
      <c r="K965">
        <v>2</v>
      </c>
      <c r="L965" t="s">
        <v>29</v>
      </c>
      <c r="M965" t="s">
        <v>29</v>
      </c>
      <c r="N965" t="s">
        <v>22</v>
      </c>
      <c r="O965" t="s">
        <v>54</v>
      </c>
      <c r="P965" t="str">
        <f t="shared" si="75"/>
        <v>20-29</v>
      </c>
      <c r="Q965" t="str">
        <f t="shared" si="76"/>
        <v>Low</v>
      </c>
      <c r="R965" t="str">
        <f t="shared" si="77"/>
        <v>Senior</v>
      </c>
      <c r="S965" t="str">
        <f t="shared" si="78"/>
        <v>High Performer</v>
      </c>
      <c r="T965" s="4" t="str">
        <f t="shared" si="79"/>
        <v>Dissatisfied</v>
      </c>
    </row>
    <row r="966" spans="1:20" x14ac:dyDescent="0.3">
      <c r="A966" t="s">
        <v>1170</v>
      </c>
      <c r="B966" t="s">
        <v>263</v>
      </c>
      <c r="C966" t="s">
        <v>37</v>
      </c>
      <c r="D966">
        <v>51</v>
      </c>
      <c r="E966" t="s">
        <v>49</v>
      </c>
      <c r="F966" t="s">
        <v>27</v>
      </c>
      <c r="G966" t="s">
        <v>20</v>
      </c>
      <c r="H966">
        <v>113000</v>
      </c>
      <c r="I966">
        <v>12</v>
      </c>
      <c r="J966">
        <v>3</v>
      </c>
      <c r="K966">
        <v>5</v>
      </c>
      <c r="L966" t="s">
        <v>21</v>
      </c>
      <c r="M966" t="s">
        <v>29</v>
      </c>
      <c r="N966" t="s">
        <v>34</v>
      </c>
      <c r="O966" t="s">
        <v>75</v>
      </c>
      <c r="P966" t="str">
        <f t="shared" si="75"/>
        <v>50+</v>
      </c>
      <c r="Q966" t="str">
        <f t="shared" si="76"/>
        <v>High</v>
      </c>
      <c r="R966" t="str">
        <f t="shared" si="77"/>
        <v>Senior</v>
      </c>
      <c r="S966" t="str">
        <f t="shared" si="78"/>
        <v>Needs Improvement</v>
      </c>
      <c r="T966" s="4" t="str">
        <f t="shared" si="79"/>
        <v>Satisfied</v>
      </c>
    </row>
    <row r="967" spans="1:20" x14ac:dyDescent="0.3">
      <c r="A967" t="s">
        <v>1171</v>
      </c>
      <c r="B967" t="s">
        <v>379</v>
      </c>
      <c r="C967" t="s">
        <v>17</v>
      </c>
      <c r="D967">
        <v>52</v>
      </c>
      <c r="E967" t="s">
        <v>26</v>
      </c>
      <c r="F967" t="s">
        <v>27</v>
      </c>
      <c r="G967" t="s">
        <v>33</v>
      </c>
      <c r="H967">
        <v>97000</v>
      </c>
      <c r="I967">
        <v>12</v>
      </c>
      <c r="J967">
        <v>2</v>
      </c>
      <c r="K967">
        <v>5</v>
      </c>
      <c r="L967" t="s">
        <v>21</v>
      </c>
      <c r="M967" t="s">
        <v>29</v>
      </c>
      <c r="N967" t="s">
        <v>22</v>
      </c>
      <c r="O967" t="s">
        <v>30</v>
      </c>
      <c r="P967" t="str">
        <f t="shared" si="75"/>
        <v>50+</v>
      </c>
      <c r="Q967" t="str">
        <f t="shared" si="76"/>
        <v>High</v>
      </c>
      <c r="R967" t="str">
        <f t="shared" si="77"/>
        <v>Senior</v>
      </c>
      <c r="S967" t="str">
        <f t="shared" si="78"/>
        <v>Needs Improvement</v>
      </c>
      <c r="T967" s="4" t="str">
        <f t="shared" si="79"/>
        <v>Satisfied</v>
      </c>
    </row>
    <row r="968" spans="1:20" x14ac:dyDescent="0.3">
      <c r="A968" t="s">
        <v>1172</v>
      </c>
      <c r="B968" t="s">
        <v>221</v>
      </c>
      <c r="C968" t="s">
        <v>37</v>
      </c>
      <c r="D968">
        <v>41</v>
      </c>
      <c r="E968" t="s">
        <v>26</v>
      </c>
      <c r="F968" t="s">
        <v>50</v>
      </c>
      <c r="G968" t="s">
        <v>46</v>
      </c>
      <c r="H968">
        <v>96000</v>
      </c>
      <c r="I968">
        <v>3</v>
      </c>
      <c r="J968">
        <v>4</v>
      </c>
      <c r="K968">
        <v>1</v>
      </c>
      <c r="L968" t="s">
        <v>29</v>
      </c>
      <c r="M968" t="s">
        <v>29</v>
      </c>
      <c r="N968" t="s">
        <v>22</v>
      </c>
      <c r="O968" t="s">
        <v>54</v>
      </c>
      <c r="P968" t="str">
        <f t="shared" si="75"/>
        <v>40-49</v>
      </c>
      <c r="Q968" t="str">
        <f t="shared" si="76"/>
        <v>High</v>
      </c>
      <c r="R968" t="str">
        <f t="shared" si="77"/>
        <v>Mid-Level</v>
      </c>
      <c r="S968" t="str">
        <f t="shared" si="78"/>
        <v>High Performer</v>
      </c>
      <c r="T968" s="4" t="str">
        <f t="shared" si="79"/>
        <v>Dissatisfied</v>
      </c>
    </row>
    <row r="969" spans="1:20" x14ac:dyDescent="0.3">
      <c r="A969" t="s">
        <v>1173</v>
      </c>
      <c r="B969" t="s">
        <v>221</v>
      </c>
      <c r="C969" t="s">
        <v>37</v>
      </c>
      <c r="D969">
        <v>41</v>
      </c>
      <c r="E969" t="s">
        <v>57</v>
      </c>
      <c r="F969" t="s">
        <v>27</v>
      </c>
      <c r="G969" t="s">
        <v>33</v>
      </c>
      <c r="H969">
        <v>69000</v>
      </c>
      <c r="I969">
        <v>3</v>
      </c>
      <c r="J969">
        <v>2</v>
      </c>
      <c r="K969">
        <v>3</v>
      </c>
      <c r="L969" t="s">
        <v>21</v>
      </c>
      <c r="M969" t="s">
        <v>29</v>
      </c>
      <c r="N969" t="s">
        <v>34</v>
      </c>
      <c r="O969" t="s">
        <v>38</v>
      </c>
      <c r="P969" t="str">
        <f t="shared" si="75"/>
        <v>40-49</v>
      </c>
      <c r="Q969" t="str">
        <f t="shared" si="76"/>
        <v>Medium</v>
      </c>
      <c r="R969" t="str">
        <f t="shared" si="77"/>
        <v>Mid-Level</v>
      </c>
      <c r="S969" t="str">
        <f t="shared" si="78"/>
        <v>Needs Improvement</v>
      </c>
      <c r="T969" s="4" t="str">
        <f t="shared" si="79"/>
        <v>Neutral</v>
      </c>
    </row>
    <row r="970" spans="1:20" x14ac:dyDescent="0.3">
      <c r="A970" t="s">
        <v>1174</v>
      </c>
      <c r="B970" t="s">
        <v>666</v>
      </c>
      <c r="C970" t="s">
        <v>37</v>
      </c>
      <c r="D970">
        <v>34</v>
      </c>
      <c r="E970" t="s">
        <v>41</v>
      </c>
      <c r="F970" t="s">
        <v>73</v>
      </c>
      <c r="G970" t="s">
        <v>28</v>
      </c>
      <c r="H970">
        <v>79000</v>
      </c>
      <c r="I970">
        <v>13</v>
      </c>
      <c r="J970">
        <v>3</v>
      </c>
      <c r="K970">
        <v>1</v>
      </c>
      <c r="L970" t="s">
        <v>21</v>
      </c>
      <c r="M970" t="s">
        <v>21</v>
      </c>
      <c r="N970" t="s">
        <v>22</v>
      </c>
      <c r="O970" t="s">
        <v>30</v>
      </c>
      <c r="P970" t="str">
        <f t="shared" si="75"/>
        <v>30-39</v>
      </c>
      <c r="Q970" t="str">
        <f t="shared" si="76"/>
        <v>High</v>
      </c>
      <c r="R970" t="str">
        <f t="shared" si="77"/>
        <v>Senior</v>
      </c>
      <c r="S970" t="str">
        <f t="shared" si="78"/>
        <v>Needs Improvement</v>
      </c>
      <c r="T970" s="4" t="str">
        <f t="shared" si="79"/>
        <v>Dissatisfied</v>
      </c>
    </row>
    <row r="971" spans="1:20" x14ac:dyDescent="0.3">
      <c r="A971" t="s">
        <v>1175</v>
      </c>
      <c r="B971" t="s">
        <v>223</v>
      </c>
      <c r="C971" t="s">
        <v>37</v>
      </c>
      <c r="D971">
        <v>40</v>
      </c>
      <c r="E971" t="s">
        <v>41</v>
      </c>
      <c r="F971" t="s">
        <v>73</v>
      </c>
      <c r="G971" t="s">
        <v>33</v>
      </c>
      <c r="H971">
        <v>89000</v>
      </c>
      <c r="I971">
        <v>5</v>
      </c>
      <c r="J971">
        <v>3</v>
      </c>
      <c r="K971">
        <v>4</v>
      </c>
      <c r="L971" t="s">
        <v>21</v>
      </c>
      <c r="M971" t="s">
        <v>29</v>
      </c>
      <c r="N971" t="s">
        <v>34</v>
      </c>
      <c r="O971" t="s">
        <v>30</v>
      </c>
      <c r="P971" t="str">
        <f t="shared" si="75"/>
        <v>40-49</v>
      </c>
      <c r="Q971" t="str">
        <f t="shared" si="76"/>
        <v>High</v>
      </c>
      <c r="R971" t="str">
        <f t="shared" si="77"/>
        <v>Mid-Level</v>
      </c>
      <c r="S971" t="str">
        <f t="shared" si="78"/>
        <v>Needs Improvement</v>
      </c>
      <c r="T971" s="4" t="str">
        <f t="shared" si="79"/>
        <v>Satisfied</v>
      </c>
    </row>
    <row r="972" spans="1:20" x14ac:dyDescent="0.3">
      <c r="A972" t="s">
        <v>1176</v>
      </c>
      <c r="B972" t="s">
        <v>535</v>
      </c>
      <c r="C972" t="s">
        <v>37</v>
      </c>
      <c r="D972">
        <v>34</v>
      </c>
      <c r="E972" t="s">
        <v>57</v>
      </c>
      <c r="F972" t="s">
        <v>50</v>
      </c>
      <c r="G972" t="s">
        <v>20</v>
      </c>
      <c r="H972">
        <v>74000</v>
      </c>
      <c r="I972">
        <v>13</v>
      </c>
      <c r="J972">
        <v>4</v>
      </c>
      <c r="K972">
        <v>1</v>
      </c>
      <c r="L972" t="s">
        <v>21</v>
      </c>
      <c r="M972" t="s">
        <v>21</v>
      </c>
      <c r="N972" t="s">
        <v>22</v>
      </c>
      <c r="O972" t="s">
        <v>38</v>
      </c>
      <c r="P972" t="str">
        <f t="shared" si="75"/>
        <v>30-39</v>
      </c>
      <c r="Q972" t="str">
        <f t="shared" si="76"/>
        <v>High</v>
      </c>
      <c r="R972" t="str">
        <f t="shared" si="77"/>
        <v>Senior</v>
      </c>
      <c r="S972" t="str">
        <f t="shared" si="78"/>
        <v>High Performer</v>
      </c>
      <c r="T972" s="4" t="str">
        <f t="shared" si="79"/>
        <v>Dissatisfied</v>
      </c>
    </row>
    <row r="973" spans="1:20" x14ac:dyDescent="0.3">
      <c r="A973" t="s">
        <v>1177</v>
      </c>
      <c r="B973" t="s">
        <v>328</v>
      </c>
      <c r="C973" t="s">
        <v>37</v>
      </c>
      <c r="D973">
        <v>28</v>
      </c>
      <c r="E973" t="s">
        <v>41</v>
      </c>
      <c r="F973" t="s">
        <v>42</v>
      </c>
      <c r="G973" t="s">
        <v>46</v>
      </c>
      <c r="H973">
        <v>62000</v>
      </c>
      <c r="I973">
        <v>7</v>
      </c>
      <c r="J973">
        <v>3</v>
      </c>
      <c r="K973">
        <v>5</v>
      </c>
      <c r="L973" t="s">
        <v>21</v>
      </c>
      <c r="M973" t="s">
        <v>21</v>
      </c>
      <c r="N973" t="s">
        <v>34</v>
      </c>
      <c r="O973" t="s">
        <v>75</v>
      </c>
      <c r="P973" t="str">
        <f t="shared" si="75"/>
        <v>20-29</v>
      </c>
      <c r="Q973" t="str">
        <f t="shared" si="76"/>
        <v>Medium</v>
      </c>
      <c r="R973" t="str">
        <f t="shared" si="77"/>
        <v>Senior</v>
      </c>
      <c r="S973" t="str">
        <f t="shared" si="78"/>
        <v>Needs Improvement</v>
      </c>
      <c r="T973" s="4" t="str">
        <f t="shared" si="79"/>
        <v>Satisfied</v>
      </c>
    </row>
    <row r="974" spans="1:20" x14ac:dyDescent="0.3">
      <c r="A974" t="s">
        <v>1178</v>
      </c>
      <c r="B974" t="s">
        <v>273</v>
      </c>
      <c r="C974" t="s">
        <v>17</v>
      </c>
      <c r="D974">
        <v>47</v>
      </c>
      <c r="E974" t="s">
        <v>49</v>
      </c>
      <c r="F974" t="s">
        <v>27</v>
      </c>
      <c r="G974" t="s">
        <v>33</v>
      </c>
      <c r="H974">
        <v>85000</v>
      </c>
      <c r="I974">
        <v>3</v>
      </c>
      <c r="J974">
        <v>5</v>
      </c>
      <c r="K974">
        <v>2</v>
      </c>
      <c r="L974" t="s">
        <v>29</v>
      </c>
      <c r="M974" t="s">
        <v>29</v>
      </c>
      <c r="N974" t="s">
        <v>22</v>
      </c>
      <c r="O974" t="s">
        <v>38</v>
      </c>
      <c r="P974" t="str">
        <f t="shared" si="75"/>
        <v>40-49</v>
      </c>
      <c r="Q974" t="str">
        <f t="shared" si="76"/>
        <v>High</v>
      </c>
      <c r="R974" t="str">
        <f t="shared" si="77"/>
        <v>Mid-Level</v>
      </c>
      <c r="S974" t="str">
        <f t="shared" si="78"/>
        <v>High Performer</v>
      </c>
      <c r="T974" s="4" t="str">
        <f t="shared" si="79"/>
        <v>Dissatisfied</v>
      </c>
    </row>
    <row r="975" spans="1:20" x14ac:dyDescent="0.3">
      <c r="A975" t="s">
        <v>1179</v>
      </c>
      <c r="B975" t="s">
        <v>160</v>
      </c>
      <c r="C975" t="s">
        <v>37</v>
      </c>
      <c r="D975">
        <v>50</v>
      </c>
      <c r="E975" t="s">
        <v>66</v>
      </c>
      <c r="F975" t="s">
        <v>82</v>
      </c>
      <c r="G975" t="s">
        <v>20</v>
      </c>
      <c r="H975">
        <v>48000</v>
      </c>
      <c r="I975">
        <v>5</v>
      </c>
      <c r="J975">
        <v>5</v>
      </c>
      <c r="K975">
        <v>3</v>
      </c>
      <c r="L975" t="s">
        <v>21</v>
      </c>
      <c r="M975" t="s">
        <v>29</v>
      </c>
      <c r="N975" t="s">
        <v>22</v>
      </c>
      <c r="O975" t="s">
        <v>75</v>
      </c>
      <c r="P975" t="str">
        <f t="shared" si="75"/>
        <v>50+</v>
      </c>
      <c r="Q975" t="str">
        <f t="shared" si="76"/>
        <v>Medium</v>
      </c>
      <c r="R975" t="str">
        <f t="shared" si="77"/>
        <v>Mid-Level</v>
      </c>
      <c r="S975" t="str">
        <f t="shared" si="78"/>
        <v>High Performer</v>
      </c>
      <c r="T975" s="4" t="str">
        <f t="shared" si="79"/>
        <v>Neutral</v>
      </c>
    </row>
    <row r="976" spans="1:20" x14ac:dyDescent="0.3">
      <c r="A976" t="s">
        <v>1180</v>
      </c>
      <c r="B976" t="s">
        <v>186</v>
      </c>
      <c r="C976" t="s">
        <v>37</v>
      </c>
      <c r="D976">
        <v>27</v>
      </c>
      <c r="E976" t="s">
        <v>57</v>
      </c>
      <c r="F976" t="s">
        <v>27</v>
      </c>
      <c r="G976" t="s">
        <v>46</v>
      </c>
      <c r="H976">
        <v>63000</v>
      </c>
      <c r="I976">
        <v>6</v>
      </c>
      <c r="J976">
        <v>3</v>
      </c>
      <c r="K976">
        <v>3</v>
      </c>
      <c r="L976" t="s">
        <v>21</v>
      </c>
      <c r="M976" t="s">
        <v>29</v>
      </c>
      <c r="N976" t="s">
        <v>22</v>
      </c>
      <c r="O976" t="s">
        <v>43</v>
      </c>
      <c r="P976" t="str">
        <f t="shared" si="75"/>
        <v>20-29</v>
      </c>
      <c r="Q976" t="str">
        <f t="shared" si="76"/>
        <v>Medium</v>
      </c>
      <c r="R976" t="str">
        <f t="shared" si="77"/>
        <v>Mid-Level</v>
      </c>
      <c r="S976" t="str">
        <f t="shared" si="78"/>
        <v>Needs Improvement</v>
      </c>
      <c r="T976" s="4" t="str">
        <f t="shared" si="79"/>
        <v>Neutral</v>
      </c>
    </row>
    <row r="977" spans="1:20" x14ac:dyDescent="0.3">
      <c r="A977" t="s">
        <v>1181</v>
      </c>
      <c r="B977" t="s">
        <v>81</v>
      </c>
      <c r="C977" t="s">
        <v>17</v>
      </c>
      <c r="D977">
        <v>37</v>
      </c>
      <c r="E977" t="s">
        <v>26</v>
      </c>
      <c r="F977" t="s">
        <v>50</v>
      </c>
      <c r="G977" t="s">
        <v>28</v>
      </c>
      <c r="H977">
        <v>114000</v>
      </c>
      <c r="I977">
        <v>1</v>
      </c>
      <c r="J977">
        <v>3</v>
      </c>
      <c r="K977">
        <v>2</v>
      </c>
      <c r="L977" t="s">
        <v>29</v>
      </c>
      <c r="M977" t="s">
        <v>29</v>
      </c>
      <c r="N977" t="s">
        <v>34</v>
      </c>
      <c r="O977" t="s">
        <v>23</v>
      </c>
      <c r="P977" t="str">
        <f t="shared" si="75"/>
        <v>30-39</v>
      </c>
      <c r="Q977" t="str">
        <f t="shared" si="76"/>
        <v>High</v>
      </c>
      <c r="R977" t="str">
        <f t="shared" si="77"/>
        <v>Junior</v>
      </c>
      <c r="S977" t="str">
        <f t="shared" si="78"/>
        <v>Needs Improvement</v>
      </c>
      <c r="T977" s="4" t="str">
        <f t="shared" si="79"/>
        <v>Dissatisfied</v>
      </c>
    </row>
    <row r="978" spans="1:20" x14ac:dyDescent="0.3">
      <c r="A978" t="s">
        <v>1182</v>
      </c>
      <c r="B978" t="s">
        <v>207</v>
      </c>
      <c r="C978" t="s">
        <v>17</v>
      </c>
      <c r="D978">
        <v>43</v>
      </c>
      <c r="E978" t="s">
        <v>26</v>
      </c>
      <c r="F978" t="s">
        <v>50</v>
      </c>
      <c r="G978" t="s">
        <v>20</v>
      </c>
      <c r="H978">
        <v>71000</v>
      </c>
      <c r="I978">
        <v>17</v>
      </c>
      <c r="J978">
        <v>5</v>
      </c>
      <c r="K978">
        <v>2</v>
      </c>
      <c r="L978" t="s">
        <v>29</v>
      </c>
      <c r="M978" t="s">
        <v>29</v>
      </c>
      <c r="N978" t="s">
        <v>22</v>
      </c>
      <c r="O978" t="s">
        <v>75</v>
      </c>
      <c r="P978" t="str">
        <f t="shared" si="75"/>
        <v>40-49</v>
      </c>
      <c r="Q978" t="str">
        <f t="shared" si="76"/>
        <v>High</v>
      </c>
      <c r="R978" t="str">
        <f t="shared" si="77"/>
        <v>Senior</v>
      </c>
      <c r="S978" t="str">
        <f t="shared" si="78"/>
        <v>High Performer</v>
      </c>
      <c r="T978" s="4" t="str">
        <f t="shared" si="79"/>
        <v>Dissatisfied</v>
      </c>
    </row>
    <row r="979" spans="1:20" x14ac:dyDescent="0.3">
      <c r="A979" t="s">
        <v>1183</v>
      </c>
      <c r="B979" t="s">
        <v>40</v>
      </c>
      <c r="C979" t="s">
        <v>37</v>
      </c>
      <c r="D979">
        <v>32</v>
      </c>
      <c r="E979" t="s">
        <v>49</v>
      </c>
      <c r="F979" t="s">
        <v>50</v>
      </c>
      <c r="G979" t="s">
        <v>20</v>
      </c>
      <c r="H979">
        <v>106000</v>
      </c>
      <c r="I979">
        <v>2</v>
      </c>
      <c r="J979">
        <v>4</v>
      </c>
      <c r="K979">
        <v>3</v>
      </c>
      <c r="L979" t="s">
        <v>29</v>
      </c>
      <c r="M979" t="s">
        <v>29</v>
      </c>
      <c r="N979" t="s">
        <v>22</v>
      </c>
      <c r="O979" t="s">
        <v>30</v>
      </c>
      <c r="P979" t="str">
        <f t="shared" si="75"/>
        <v>30-39</v>
      </c>
      <c r="Q979" t="str">
        <f t="shared" si="76"/>
        <v>High</v>
      </c>
      <c r="R979" t="str">
        <f t="shared" si="77"/>
        <v>Junior</v>
      </c>
      <c r="S979" t="str">
        <f t="shared" si="78"/>
        <v>High Performer</v>
      </c>
      <c r="T979" s="4" t="str">
        <f t="shared" si="79"/>
        <v>Neutral</v>
      </c>
    </row>
    <row r="980" spans="1:20" x14ac:dyDescent="0.3">
      <c r="A980" t="s">
        <v>1184</v>
      </c>
      <c r="B980" t="s">
        <v>502</v>
      </c>
      <c r="C980" t="s">
        <v>17</v>
      </c>
      <c r="D980">
        <v>31</v>
      </c>
      <c r="E980" t="s">
        <v>49</v>
      </c>
      <c r="F980" t="s">
        <v>27</v>
      </c>
      <c r="G980" t="s">
        <v>33</v>
      </c>
      <c r="H980">
        <v>43000</v>
      </c>
      <c r="I980">
        <v>2</v>
      </c>
      <c r="J980">
        <v>2</v>
      </c>
      <c r="K980">
        <v>3</v>
      </c>
      <c r="L980" t="s">
        <v>29</v>
      </c>
      <c r="M980" t="s">
        <v>29</v>
      </c>
      <c r="N980" t="s">
        <v>22</v>
      </c>
      <c r="O980" t="s">
        <v>75</v>
      </c>
      <c r="P980" t="str">
        <f t="shared" si="75"/>
        <v>30-39</v>
      </c>
      <c r="Q980" t="str">
        <f t="shared" si="76"/>
        <v>Medium</v>
      </c>
      <c r="R980" t="str">
        <f t="shared" si="77"/>
        <v>Junior</v>
      </c>
      <c r="S980" t="str">
        <f t="shared" si="78"/>
        <v>Needs Improvement</v>
      </c>
      <c r="T980" s="4" t="str">
        <f t="shared" si="79"/>
        <v>Neutral</v>
      </c>
    </row>
    <row r="981" spans="1:20" x14ac:dyDescent="0.3">
      <c r="A981" t="s">
        <v>1185</v>
      </c>
      <c r="B981" t="s">
        <v>16</v>
      </c>
      <c r="C981" t="s">
        <v>37</v>
      </c>
      <c r="D981">
        <v>46</v>
      </c>
      <c r="E981" t="s">
        <v>57</v>
      </c>
      <c r="F981" t="s">
        <v>27</v>
      </c>
      <c r="G981" t="s">
        <v>20</v>
      </c>
      <c r="H981">
        <v>61000</v>
      </c>
      <c r="I981">
        <v>5</v>
      </c>
      <c r="J981">
        <v>4</v>
      </c>
      <c r="K981">
        <v>5</v>
      </c>
      <c r="L981" t="s">
        <v>29</v>
      </c>
      <c r="M981" t="s">
        <v>29</v>
      </c>
      <c r="N981" t="s">
        <v>22</v>
      </c>
      <c r="O981" t="s">
        <v>23</v>
      </c>
      <c r="P981" t="str">
        <f t="shared" si="75"/>
        <v>40-49</v>
      </c>
      <c r="Q981" t="str">
        <f t="shared" si="76"/>
        <v>Medium</v>
      </c>
      <c r="R981" t="str">
        <f t="shared" si="77"/>
        <v>Mid-Level</v>
      </c>
      <c r="S981" t="str">
        <f t="shared" si="78"/>
        <v>High Performer</v>
      </c>
      <c r="T981" s="4" t="str">
        <f t="shared" si="79"/>
        <v>Satisfied</v>
      </c>
    </row>
    <row r="982" spans="1:20" x14ac:dyDescent="0.3">
      <c r="A982" t="s">
        <v>1186</v>
      </c>
      <c r="B982" t="s">
        <v>502</v>
      </c>
      <c r="C982" t="s">
        <v>17</v>
      </c>
      <c r="D982">
        <v>24</v>
      </c>
      <c r="E982" t="s">
        <v>18</v>
      </c>
      <c r="F982" t="s">
        <v>19</v>
      </c>
      <c r="G982" t="s">
        <v>46</v>
      </c>
      <c r="H982">
        <v>67000</v>
      </c>
      <c r="I982">
        <v>3</v>
      </c>
      <c r="J982">
        <v>2</v>
      </c>
      <c r="K982">
        <v>4</v>
      </c>
      <c r="L982" t="s">
        <v>21</v>
      </c>
      <c r="M982" t="s">
        <v>29</v>
      </c>
      <c r="N982" t="s">
        <v>22</v>
      </c>
      <c r="O982" t="s">
        <v>23</v>
      </c>
      <c r="P982" t="str">
        <f t="shared" si="75"/>
        <v>20-29</v>
      </c>
      <c r="Q982" t="str">
        <f t="shared" si="76"/>
        <v>Medium</v>
      </c>
      <c r="R982" t="str">
        <f t="shared" si="77"/>
        <v>Mid-Level</v>
      </c>
      <c r="S982" t="str">
        <f t="shared" si="78"/>
        <v>Needs Improvement</v>
      </c>
      <c r="T982" s="4" t="str">
        <f t="shared" si="79"/>
        <v>Satisfied</v>
      </c>
    </row>
    <row r="983" spans="1:20" x14ac:dyDescent="0.3">
      <c r="A983" t="s">
        <v>1187</v>
      </c>
      <c r="B983" t="s">
        <v>253</v>
      </c>
      <c r="C983" t="s">
        <v>17</v>
      </c>
      <c r="D983">
        <v>47</v>
      </c>
      <c r="E983" t="s">
        <v>57</v>
      </c>
      <c r="F983" t="s">
        <v>27</v>
      </c>
      <c r="G983" t="s">
        <v>33</v>
      </c>
      <c r="H983">
        <v>110000</v>
      </c>
      <c r="I983">
        <v>20</v>
      </c>
      <c r="J983">
        <v>2</v>
      </c>
      <c r="K983">
        <v>1</v>
      </c>
      <c r="L983" t="s">
        <v>29</v>
      </c>
      <c r="M983" t="s">
        <v>21</v>
      </c>
      <c r="N983" t="s">
        <v>34</v>
      </c>
      <c r="O983" t="s">
        <v>38</v>
      </c>
      <c r="P983" t="str">
        <f t="shared" si="75"/>
        <v>40-49</v>
      </c>
      <c r="Q983" t="str">
        <f t="shared" si="76"/>
        <v>High</v>
      </c>
      <c r="R983" t="str">
        <f t="shared" si="77"/>
        <v>Senior</v>
      </c>
      <c r="S983" t="str">
        <f t="shared" si="78"/>
        <v>Needs Improvement</v>
      </c>
      <c r="T983" s="4" t="str">
        <f t="shared" si="79"/>
        <v>Dissatisfied</v>
      </c>
    </row>
    <row r="984" spans="1:20" x14ac:dyDescent="0.3">
      <c r="A984" t="s">
        <v>1188</v>
      </c>
      <c r="B984" t="s">
        <v>156</v>
      </c>
      <c r="C984" t="s">
        <v>17</v>
      </c>
      <c r="D984">
        <v>40</v>
      </c>
      <c r="E984" t="s">
        <v>41</v>
      </c>
      <c r="F984" t="s">
        <v>42</v>
      </c>
      <c r="G984" t="s">
        <v>28</v>
      </c>
      <c r="H984">
        <v>30000</v>
      </c>
      <c r="I984">
        <v>19</v>
      </c>
      <c r="J984">
        <v>4</v>
      </c>
      <c r="K984">
        <v>3</v>
      </c>
      <c r="L984" t="s">
        <v>29</v>
      </c>
      <c r="M984" t="s">
        <v>29</v>
      </c>
      <c r="N984" t="s">
        <v>34</v>
      </c>
      <c r="O984" t="s">
        <v>30</v>
      </c>
      <c r="P984" t="str">
        <f t="shared" si="75"/>
        <v>40-49</v>
      </c>
      <c r="Q984" t="str">
        <f t="shared" si="76"/>
        <v>Low</v>
      </c>
      <c r="R984" t="str">
        <f t="shared" si="77"/>
        <v>Senior</v>
      </c>
      <c r="S984" t="str">
        <f t="shared" si="78"/>
        <v>High Performer</v>
      </c>
      <c r="T984" s="4" t="str">
        <f t="shared" si="79"/>
        <v>Neutral</v>
      </c>
    </row>
    <row r="985" spans="1:20" x14ac:dyDescent="0.3">
      <c r="A985" t="s">
        <v>1189</v>
      </c>
      <c r="B985" t="s">
        <v>586</v>
      </c>
      <c r="C985" t="s">
        <v>17</v>
      </c>
      <c r="D985">
        <v>38</v>
      </c>
      <c r="E985" t="s">
        <v>66</v>
      </c>
      <c r="F985" t="s">
        <v>67</v>
      </c>
      <c r="G985" t="s">
        <v>46</v>
      </c>
      <c r="H985">
        <v>29000</v>
      </c>
      <c r="I985">
        <v>9</v>
      </c>
      <c r="J985">
        <v>4</v>
      </c>
      <c r="K985">
        <v>3</v>
      </c>
      <c r="L985" t="s">
        <v>29</v>
      </c>
      <c r="M985" t="s">
        <v>29</v>
      </c>
      <c r="N985" t="s">
        <v>22</v>
      </c>
      <c r="O985" t="s">
        <v>75</v>
      </c>
      <c r="P985" t="str">
        <f t="shared" si="75"/>
        <v>30-39</v>
      </c>
      <c r="Q985" t="str">
        <f t="shared" si="76"/>
        <v>Low</v>
      </c>
      <c r="R985" t="str">
        <f t="shared" si="77"/>
        <v>Senior</v>
      </c>
      <c r="S985" t="str">
        <f t="shared" si="78"/>
        <v>High Performer</v>
      </c>
      <c r="T985" s="4" t="str">
        <f t="shared" si="79"/>
        <v>Neutral</v>
      </c>
    </row>
    <row r="986" spans="1:20" x14ac:dyDescent="0.3">
      <c r="A986" t="s">
        <v>1190</v>
      </c>
      <c r="B986" t="s">
        <v>535</v>
      </c>
      <c r="C986" t="s">
        <v>37</v>
      </c>
      <c r="D986">
        <v>43</v>
      </c>
      <c r="E986" t="s">
        <v>41</v>
      </c>
      <c r="F986" t="s">
        <v>73</v>
      </c>
      <c r="G986" t="s">
        <v>46</v>
      </c>
      <c r="H986">
        <v>88000</v>
      </c>
      <c r="I986">
        <v>15</v>
      </c>
      <c r="J986">
        <v>5</v>
      </c>
      <c r="K986">
        <v>5</v>
      </c>
      <c r="L986" t="s">
        <v>21</v>
      </c>
      <c r="M986" t="s">
        <v>29</v>
      </c>
      <c r="N986" t="s">
        <v>22</v>
      </c>
      <c r="O986" t="s">
        <v>30</v>
      </c>
      <c r="P986" t="str">
        <f t="shared" si="75"/>
        <v>40-49</v>
      </c>
      <c r="Q986" t="str">
        <f t="shared" si="76"/>
        <v>High</v>
      </c>
      <c r="R986" t="str">
        <f t="shared" si="77"/>
        <v>Senior</v>
      </c>
      <c r="S986" t="str">
        <f t="shared" si="78"/>
        <v>High Performer</v>
      </c>
      <c r="T986" s="4" t="str">
        <f t="shared" si="79"/>
        <v>Satisfied</v>
      </c>
    </row>
    <row r="987" spans="1:20" x14ac:dyDescent="0.3">
      <c r="A987" t="s">
        <v>1191</v>
      </c>
      <c r="B987" t="s">
        <v>111</v>
      </c>
      <c r="C987" t="s">
        <v>17</v>
      </c>
      <c r="D987">
        <v>31</v>
      </c>
      <c r="E987" t="s">
        <v>57</v>
      </c>
      <c r="F987" t="s">
        <v>50</v>
      </c>
      <c r="G987" t="s">
        <v>46</v>
      </c>
      <c r="H987">
        <v>106000</v>
      </c>
      <c r="I987">
        <v>10</v>
      </c>
      <c r="J987">
        <v>2</v>
      </c>
      <c r="K987">
        <v>5</v>
      </c>
      <c r="L987" t="s">
        <v>29</v>
      </c>
      <c r="M987" t="s">
        <v>29</v>
      </c>
      <c r="N987" t="s">
        <v>22</v>
      </c>
      <c r="O987" t="s">
        <v>30</v>
      </c>
      <c r="P987" t="str">
        <f t="shared" si="75"/>
        <v>30-39</v>
      </c>
      <c r="Q987" t="str">
        <f t="shared" si="76"/>
        <v>High</v>
      </c>
      <c r="R987" t="str">
        <f t="shared" si="77"/>
        <v>Senior</v>
      </c>
      <c r="S987" t="str">
        <f t="shared" si="78"/>
        <v>Needs Improvement</v>
      </c>
      <c r="T987" s="4" t="str">
        <f t="shared" si="79"/>
        <v>Satisfied</v>
      </c>
    </row>
    <row r="988" spans="1:20" x14ac:dyDescent="0.3">
      <c r="A988" t="s">
        <v>1192</v>
      </c>
      <c r="B988" t="s">
        <v>292</v>
      </c>
      <c r="C988" t="s">
        <v>37</v>
      </c>
      <c r="D988">
        <v>24</v>
      </c>
      <c r="E988" t="s">
        <v>26</v>
      </c>
      <c r="F988" t="s">
        <v>50</v>
      </c>
      <c r="G988" t="s">
        <v>46</v>
      </c>
      <c r="H988">
        <v>53000</v>
      </c>
      <c r="I988">
        <v>3</v>
      </c>
      <c r="J988">
        <v>3</v>
      </c>
      <c r="K988">
        <v>5</v>
      </c>
      <c r="L988" t="s">
        <v>21</v>
      </c>
      <c r="M988" t="s">
        <v>29</v>
      </c>
      <c r="N988" t="s">
        <v>22</v>
      </c>
      <c r="O988" t="s">
        <v>38</v>
      </c>
      <c r="P988" t="str">
        <f t="shared" si="75"/>
        <v>20-29</v>
      </c>
      <c r="Q988" t="str">
        <f t="shared" si="76"/>
        <v>Medium</v>
      </c>
      <c r="R988" t="str">
        <f t="shared" si="77"/>
        <v>Mid-Level</v>
      </c>
      <c r="S988" t="str">
        <f t="shared" si="78"/>
        <v>Needs Improvement</v>
      </c>
      <c r="T988" s="4" t="str">
        <f t="shared" si="79"/>
        <v>Satisfied</v>
      </c>
    </row>
    <row r="989" spans="1:20" x14ac:dyDescent="0.3">
      <c r="A989" t="s">
        <v>1193</v>
      </c>
      <c r="B989" t="s">
        <v>16</v>
      </c>
      <c r="C989" t="s">
        <v>37</v>
      </c>
      <c r="D989">
        <v>28</v>
      </c>
      <c r="E989" t="s">
        <v>18</v>
      </c>
      <c r="F989" t="s">
        <v>126</v>
      </c>
      <c r="G989" t="s">
        <v>46</v>
      </c>
      <c r="H989">
        <v>108000</v>
      </c>
      <c r="I989">
        <v>7</v>
      </c>
      <c r="J989">
        <v>5</v>
      </c>
      <c r="K989">
        <v>2</v>
      </c>
      <c r="L989" t="s">
        <v>29</v>
      </c>
      <c r="M989" t="s">
        <v>29</v>
      </c>
      <c r="N989" t="s">
        <v>34</v>
      </c>
      <c r="O989" t="s">
        <v>75</v>
      </c>
      <c r="P989" t="str">
        <f t="shared" si="75"/>
        <v>20-29</v>
      </c>
      <c r="Q989" t="str">
        <f t="shared" si="76"/>
        <v>High</v>
      </c>
      <c r="R989" t="str">
        <f t="shared" si="77"/>
        <v>Senior</v>
      </c>
      <c r="S989" t="str">
        <f t="shared" si="78"/>
        <v>High Performer</v>
      </c>
      <c r="T989" s="4" t="str">
        <f t="shared" si="79"/>
        <v>Dissatisfied</v>
      </c>
    </row>
    <row r="990" spans="1:20" x14ac:dyDescent="0.3">
      <c r="A990" t="s">
        <v>1194</v>
      </c>
      <c r="B990" t="s">
        <v>360</v>
      </c>
      <c r="C990" t="s">
        <v>37</v>
      </c>
      <c r="D990">
        <v>27</v>
      </c>
      <c r="E990" t="s">
        <v>57</v>
      </c>
      <c r="F990" t="s">
        <v>27</v>
      </c>
      <c r="G990" t="s">
        <v>33</v>
      </c>
      <c r="H990">
        <v>100000</v>
      </c>
      <c r="I990">
        <v>6</v>
      </c>
      <c r="J990">
        <v>4</v>
      </c>
      <c r="K990">
        <v>1</v>
      </c>
      <c r="L990" t="s">
        <v>21</v>
      </c>
      <c r="M990" t="s">
        <v>21</v>
      </c>
      <c r="N990" t="s">
        <v>34</v>
      </c>
      <c r="O990" t="s">
        <v>51</v>
      </c>
      <c r="P990" t="str">
        <f t="shared" si="75"/>
        <v>20-29</v>
      </c>
      <c r="Q990" t="str">
        <f t="shared" si="76"/>
        <v>High</v>
      </c>
      <c r="R990" t="str">
        <f t="shared" si="77"/>
        <v>Mid-Level</v>
      </c>
      <c r="S990" t="str">
        <f t="shared" si="78"/>
        <v>High Performer</v>
      </c>
      <c r="T990" s="4" t="str">
        <f t="shared" si="79"/>
        <v>Dissatisfied</v>
      </c>
    </row>
    <row r="991" spans="1:20" x14ac:dyDescent="0.3">
      <c r="A991" t="s">
        <v>1195</v>
      </c>
      <c r="B991" t="s">
        <v>608</v>
      </c>
      <c r="C991" t="s">
        <v>37</v>
      </c>
      <c r="D991">
        <v>41</v>
      </c>
      <c r="E991" t="s">
        <v>49</v>
      </c>
      <c r="F991" t="s">
        <v>50</v>
      </c>
      <c r="G991" t="s">
        <v>20</v>
      </c>
      <c r="H991">
        <v>37000</v>
      </c>
      <c r="I991">
        <v>2</v>
      </c>
      <c r="J991">
        <v>5</v>
      </c>
      <c r="K991">
        <v>1</v>
      </c>
      <c r="L991" t="s">
        <v>29</v>
      </c>
      <c r="M991" t="s">
        <v>29</v>
      </c>
      <c r="N991" t="s">
        <v>22</v>
      </c>
      <c r="O991" t="s">
        <v>70</v>
      </c>
      <c r="P991" t="str">
        <f t="shared" si="75"/>
        <v>40-49</v>
      </c>
      <c r="Q991" t="str">
        <f t="shared" si="76"/>
        <v>Low</v>
      </c>
      <c r="R991" t="str">
        <f t="shared" si="77"/>
        <v>Junior</v>
      </c>
      <c r="S991" t="str">
        <f t="shared" si="78"/>
        <v>High Performer</v>
      </c>
      <c r="T991" s="4" t="str">
        <f t="shared" si="79"/>
        <v>Dissatisfied</v>
      </c>
    </row>
    <row r="992" spans="1:20" x14ac:dyDescent="0.3">
      <c r="A992" t="s">
        <v>1196</v>
      </c>
      <c r="B992" t="s">
        <v>94</v>
      </c>
      <c r="C992" t="s">
        <v>17</v>
      </c>
      <c r="D992">
        <v>35</v>
      </c>
      <c r="E992" t="s">
        <v>26</v>
      </c>
      <c r="F992" t="s">
        <v>27</v>
      </c>
      <c r="G992" t="s">
        <v>28</v>
      </c>
      <c r="H992">
        <v>113000</v>
      </c>
      <c r="I992">
        <v>2</v>
      </c>
      <c r="J992">
        <v>2</v>
      </c>
      <c r="K992">
        <v>3</v>
      </c>
      <c r="L992" t="s">
        <v>29</v>
      </c>
      <c r="M992" t="s">
        <v>29</v>
      </c>
      <c r="N992" t="s">
        <v>34</v>
      </c>
      <c r="O992" t="s">
        <v>23</v>
      </c>
      <c r="P992" t="str">
        <f t="shared" si="75"/>
        <v>30-39</v>
      </c>
      <c r="Q992" t="str">
        <f t="shared" si="76"/>
        <v>High</v>
      </c>
      <c r="R992" t="str">
        <f t="shared" si="77"/>
        <v>Junior</v>
      </c>
      <c r="S992" t="str">
        <f t="shared" si="78"/>
        <v>Needs Improvement</v>
      </c>
      <c r="T992" s="4" t="str">
        <f t="shared" si="79"/>
        <v>Neutral</v>
      </c>
    </row>
    <row r="993" spans="1:20" x14ac:dyDescent="0.3">
      <c r="A993" t="s">
        <v>1197</v>
      </c>
      <c r="B993" t="s">
        <v>552</v>
      </c>
      <c r="C993" t="s">
        <v>37</v>
      </c>
      <c r="D993">
        <v>32</v>
      </c>
      <c r="E993" t="s">
        <v>57</v>
      </c>
      <c r="F993" t="s">
        <v>50</v>
      </c>
      <c r="G993" t="s">
        <v>20</v>
      </c>
      <c r="H993">
        <v>39000</v>
      </c>
      <c r="I993">
        <v>11</v>
      </c>
      <c r="J993">
        <v>5</v>
      </c>
      <c r="K993">
        <v>4</v>
      </c>
      <c r="L993" t="s">
        <v>21</v>
      </c>
      <c r="M993" t="s">
        <v>29</v>
      </c>
      <c r="N993" t="s">
        <v>34</v>
      </c>
      <c r="O993" t="s">
        <v>51</v>
      </c>
      <c r="P993" t="str">
        <f t="shared" si="75"/>
        <v>30-39</v>
      </c>
      <c r="Q993" t="str">
        <f t="shared" si="76"/>
        <v>Low</v>
      </c>
      <c r="R993" t="str">
        <f t="shared" si="77"/>
        <v>Senior</v>
      </c>
      <c r="S993" t="str">
        <f t="shared" si="78"/>
        <v>High Performer</v>
      </c>
      <c r="T993" s="4" t="str">
        <f t="shared" si="79"/>
        <v>Satisfied</v>
      </c>
    </row>
    <row r="994" spans="1:20" x14ac:dyDescent="0.3">
      <c r="A994" t="s">
        <v>1198</v>
      </c>
      <c r="B994" t="s">
        <v>379</v>
      </c>
      <c r="C994" t="s">
        <v>37</v>
      </c>
      <c r="D994">
        <v>46</v>
      </c>
      <c r="E994" t="s">
        <v>49</v>
      </c>
      <c r="F994" t="s">
        <v>50</v>
      </c>
      <c r="G994" t="s">
        <v>20</v>
      </c>
      <c r="H994">
        <v>45000</v>
      </c>
      <c r="I994">
        <v>13</v>
      </c>
      <c r="J994">
        <v>5</v>
      </c>
      <c r="K994">
        <v>2</v>
      </c>
      <c r="L994" t="s">
        <v>29</v>
      </c>
      <c r="M994" t="s">
        <v>29</v>
      </c>
      <c r="N994" t="s">
        <v>22</v>
      </c>
      <c r="O994" t="s">
        <v>43</v>
      </c>
      <c r="P994" t="str">
        <f t="shared" si="75"/>
        <v>40-49</v>
      </c>
      <c r="Q994" t="str">
        <f t="shared" si="76"/>
        <v>Medium</v>
      </c>
      <c r="R994" t="str">
        <f t="shared" si="77"/>
        <v>Senior</v>
      </c>
      <c r="S994" t="str">
        <f t="shared" si="78"/>
        <v>High Performer</v>
      </c>
      <c r="T994" s="4" t="str">
        <f t="shared" si="79"/>
        <v>Dissatisfied</v>
      </c>
    </row>
    <row r="995" spans="1:20" x14ac:dyDescent="0.3">
      <c r="A995" t="s">
        <v>1199</v>
      </c>
      <c r="B995" t="s">
        <v>114</v>
      </c>
      <c r="C995" t="s">
        <v>37</v>
      </c>
      <c r="D995">
        <v>47</v>
      </c>
      <c r="E995" t="s">
        <v>41</v>
      </c>
      <c r="F995" t="s">
        <v>73</v>
      </c>
      <c r="G995" t="s">
        <v>20</v>
      </c>
      <c r="H995">
        <v>55000</v>
      </c>
      <c r="I995">
        <v>9</v>
      </c>
      <c r="J995">
        <v>4</v>
      </c>
      <c r="K995">
        <v>3</v>
      </c>
      <c r="L995" t="s">
        <v>29</v>
      </c>
      <c r="M995" t="s">
        <v>29</v>
      </c>
      <c r="N995" t="s">
        <v>22</v>
      </c>
      <c r="O995" t="s">
        <v>43</v>
      </c>
      <c r="P995" t="str">
        <f t="shared" si="75"/>
        <v>40-49</v>
      </c>
      <c r="Q995" t="str">
        <f t="shared" si="76"/>
        <v>Medium</v>
      </c>
      <c r="R995" t="str">
        <f t="shared" si="77"/>
        <v>Senior</v>
      </c>
      <c r="S995" t="str">
        <f t="shared" si="78"/>
        <v>High Performer</v>
      </c>
      <c r="T995" s="4" t="str">
        <f t="shared" si="79"/>
        <v>Neutral</v>
      </c>
    </row>
    <row r="996" spans="1:20" x14ac:dyDescent="0.3">
      <c r="A996" t="s">
        <v>1200</v>
      </c>
      <c r="B996" t="s">
        <v>217</v>
      </c>
      <c r="C996" t="s">
        <v>17</v>
      </c>
      <c r="D996">
        <v>48</v>
      </c>
      <c r="E996" t="s">
        <v>57</v>
      </c>
      <c r="F996" t="s">
        <v>50</v>
      </c>
      <c r="G996" t="s">
        <v>28</v>
      </c>
      <c r="H996">
        <v>75000</v>
      </c>
      <c r="I996">
        <v>6</v>
      </c>
      <c r="J996">
        <v>3</v>
      </c>
      <c r="K996">
        <v>5</v>
      </c>
      <c r="L996" t="s">
        <v>29</v>
      </c>
      <c r="M996" t="s">
        <v>29</v>
      </c>
      <c r="N996" t="s">
        <v>34</v>
      </c>
      <c r="O996" t="s">
        <v>38</v>
      </c>
      <c r="P996" t="str">
        <f t="shared" si="75"/>
        <v>40-49</v>
      </c>
      <c r="Q996" t="str">
        <f t="shared" si="76"/>
        <v>High</v>
      </c>
      <c r="R996" t="str">
        <f t="shared" si="77"/>
        <v>Mid-Level</v>
      </c>
      <c r="S996" t="str">
        <f t="shared" si="78"/>
        <v>Needs Improvement</v>
      </c>
      <c r="T996" s="4" t="str">
        <f t="shared" si="79"/>
        <v>Satisfied</v>
      </c>
    </row>
    <row r="997" spans="1:20" x14ac:dyDescent="0.3">
      <c r="A997" t="s">
        <v>1201</v>
      </c>
      <c r="B997" t="s">
        <v>384</v>
      </c>
      <c r="C997" t="s">
        <v>17</v>
      </c>
      <c r="D997">
        <v>28</v>
      </c>
      <c r="E997" t="s">
        <v>18</v>
      </c>
      <c r="F997" t="s">
        <v>126</v>
      </c>
      <c r="G997" t="s">
        <v>28</v>
      </c>
      <c r="H997">
        <v>93000</v>
      </c>
      <c r="I997">
        <v>7</v>
      </c>
      <c r="J997">
        <v>3</v>
      </c>
      <c r="K997">
        <v>5</v>
      </c>
      <c r="L997" t="s">
        <v>21</v>
      </c>
      <c r="M997" t="s">
        <v>29</v>
      </c>
      <c r="N997" t="s">
        <v>22</v>
      </c>
      <c r="O997" t="s">
        <v>51</v>
      </c>
      <c r="P997" t="str">
        <f t="shared" si="75"/>
        <v>20-29</v>
      </c>
      <c r="Q997" t="str">
        <f t="shared" si="76"/>
        <v>High</v>
      </c>
      <c r="R997" t="str">
        <f t="shared" si="77"/>
        <v>Senior</v>
      </c>
      <c r="S997" t="str">
        <f t="shared" si="78"/>
        <v>Needs Improvement</v>
      </c>
      <c r="T997" s="4" t="str">
        <f t="shared" si="79"/>
        <v>Satisfied</v>
      </c>
    </row>
    <row r="998" spans="1:20" x14ac:dyDescent="0.3">
      <c r="A998" t="s">
        <v>1202</v>
      </c>
      <c r="B998" t="s">
        <v>709</v>
      </c>
      <c r="C998" t="s">
        <v>37</v>
      </c>
      <c r="D998">
        <v>36</v>
      </c>
      <c r="E998" t="s">
        <v>18</v>
      </c>
      <c r="F998" t="s">
        <v>126</v>
      </c>
      <c r="G998" t="s">
        <v>28</v>
      </c>
      <c r="H998">
        <v>66000</v>
      </c>
      <c r="I998">
        <v>12</v>
      </c>
      <c r="J998">
        <v>3</v>
      </c>
      <c r="K998">
        <v>4</v>
      </c>
      <c r="L998" t="s">
        <v>29</v>
      </c>
      <c r="M998" t="s">
        <v>29</v>
      </c>
      <c r="N998" t="s">
        <v>22</v>
      </c>
      <c r="O998" t="s">
        <v>51</v>
      </c>
      <c r="P998" t="str">
        <f t="shared" si="75"/>
        <v>30-39</v>
      </c>
      <c r="Q998" t="str">
        <f t="shared" si="76"/>
        <v>Medium</v>
      </c>
      <c r="R998" t="str">
        <f t="shared" si="77"/>
        <v>Senior</v>
      </c>
      <c r="S998" t="str">
        <f t="shared" si="78"/>
        <v>Needs Improvement</v>
      </c>
      <c r="T998" s="4" t="str">
        <f t="shared" si="79"/>
        <v>Satisfied</v>
      </c>
    </row>
    <row r="999" spans="1:20" x14ac:dyDescent="0.3">
      <c r="A999" t="s">
        <v>1203</v>
      </c>
      <c r="B999" t="s">
        <v>476</v>
      </c>
      <c r="C999" t="s">
        <v>37</v>
      </c>
      <c r="D999">
        <v>48</v>
      </c>
      <c r="E999" t="s">
        <v>49</v>
      </c>
      <c r="F999" t="s">
        <v>50</v>
      </c>
      <c r="G999" t="s">
        <v>28</v>
      </c>
      <c r="H999">
        <v>30000</v>
      </c>
      <c r="I999">
        <v>6</v>
      </c>
      <c r="J999">
        <v>4</v>
      </c>
      <c r="K999">
        <v>2</v>
      </c>
      <c r="L999" t="s">
        <v>21</v>
      </c>
      <c r="M999" t="s">
        <v>21</v>
      </c>
      <c r="N999" t="s">
        <v>22</v>
      </c>
      <c r="O999" t="s">
        <v>75</v>
      </c>
      <c r="P999" t="str">
        <f t="shared" si="75"/>
        <v>40-49</v>
      </c>
      <c r="Q999" t="str">
        <f t="shared" si="76"/>
        <v>Low</v>
      </c>
      <c r="R999" t="str">
        <f t="shared" si="77"/>
        <v>Mid-Level</v>
      </c>
      <c r="S999" t="str">
        <f t="shared" si="78"/>
        <v>High Performer</v>
      </c>
      <c r="T999" s="4" t="str">
        <f t="shared" si="79"/>
        <v>Dissatisfied</v>
      </c>
    </row>
    <row r="1000" spans="1:20" x14ac:dyDescent="0.3">
      <c r="A1000" t="s">
        <v>1204</v>
      </c>
      <c r="B1000" t="s">
        <v>158</v>
      </c>
      <c r="C1000" t="s">
        <v>37</v>
      </c>
      <c r="D1000">
        <v>55</v>
      </c>
      <c r="E1000" t="s">
        <v>26</v>
      </c>
      <c r="F1000" t="s">
        <v>50</v>
      </c>
      <c r="G1000" t="s">
        <v>46</v>
      </c>
      <c r="H1000">
        <v>81000</v>
      </c>
      <c r="I1000">
        <v>8</v>
      </c>
      <c r="J1000">
        <v>3</v>
      </c>
      <c r="K1000">
        <v>3</v>
      </c>
      <c r="L1000" t="s">
        <v>29</v>
      </c>
      <c r="M1000" t="s">
        <v>29</v>
      </c>
      <c r="N1000" t="s">
        <v>22</v>
      </c>
      <c r="O1000" t="s">
        <v>43</v>
      </c>
      <c r="P1000" t="str">
        <f t="shared" si="75"/>
        <v>50+</v>
      </c>
      <c r="Q1000" t="str">
        <f t="shared" si="76"/>
        <v>High</v>
      </c>
      <c r="R1000" t="str">
        <f t="shared" si="77"/>
        <v>Senior</v>
      </c>
      <c r="S1000" t="str">
        <f t="shared" si="78"/>
        <v>Needs Improvement</v>
      </c>
      <c r="T1000" s="4" t="str">
        <f t="shared" si="79"/>
        <v>Neutral</v>
      </c>
    </row>
    <row r="1001" spans="1:20" x14ac:dyDescent="0.3">
      <c r="A1001" t="s">
        <v>1205</v>
      </c>
      <c r="B1001" t="s">
        <v>256</v>
      </c>
      <c r="C1001" t="s">
        <v>37</v>
      </c>
      <c r="D1001">
        <v>48</v>
      </c>
      <c r="E1001" t="s">
        <v>26</v>
      </c>
      <c r="F1001" t="s">
        <v>50</v>
      </c>
      <c r="G1001" t="s">
        <v>46</v>
      </c>
      <c r="H1001">
        <v>41000</v>
      </c>
      <c r="I1001">
        <v>1</v>
      </c>
      <c r="J1001">
        <v>5</v>
      </c>
      <c r="K1001">
        <v>5</v>
      </c>
      <c r="L1001" t="s">
        <v>29</v>
      </c>
      <c r="M1001" t="s">
        <v>29</v>
      </c>
      <c r="N1001" t="s">
        <v>34</v>
      </c>
      <c r="O1001" t="s">
        <v>75</v>
      </c>
      <c r="P1001" t="str">
        <f t="shared" si="75"/>
        <v>40-49</v>
      </c>
      <c r="Q1001" t="str">
        <f t="shared" si="76"/>
        <v>Medium</v>
      </c>
      <c r="R1001" t="str">
        <f t="shared" si="77"/>
        <v>Junior</v>
      </c>
      <c r="S1001" t="str">
        <f t="shared" si="78"/>
        <v>High Performer</v>
      </c>
      <c r="T1001" s="4" t="str">
        <f t="shared" si="79"/>
        <v>Satisfied</v>
      </c>
    </row>
  </sheetData>
  <conditionalFormatting sqref="G783">
    <cfRule type="duplicateValues" dxfId="17" priority="2"/>
  </conditionalFormatting>
  <conditionalFormatting sqref="A1:A1001">
    <cfRule type="duplicateValues" dxfId="16" priority="1"/>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C3725-F374-4303-954D-DC0DA68DDA67}">
  <dimension ref="A1:N50"/>
  <sheetViews>
    <sheetView topLeftCell="A7" zoomScale="67" zoomScaleNormal="67" workbookViewId="0">
      <selection activeCell="R23" sqref="R23"/>
    </sheetView>
  </sheetViews>
  <sheetFormatPr defaultRowHeight="14.4" x14ac:dyDescent="0.3"/>
  <cols>
    <col min="1" max="1" width="24.5546875" bestFit="1" customWidth="1"/>
    <col min="2" max="2" width="14.88671875" bestFit="1" customWidth="1"/>
    <col min="3" max="3" width="4.109375" bestFit="1" customWidth="1"/>
    <col min="4" max="4" width="10.77734375" customWidth="1"/>
    <col min="5" max="5" width="27.21875" bestFit="1" customWidth="1"/>
    <col min="6" max="6" width="15.88671875" bestFit="1" customWidth="1"/>
    <col min="7" max="7" width="11.21875" bestFit="1" customWidth="1"/>
    <col min="8" max="8" width="4.109375" bestFit="1" customWidth="1"/>
    <col min="9" max="9" width="10.77734375" bestFit="1" customWidth="1"/>
    <col min="10" max="10" width="14.88671875" bestFit="1" customWidth="1"/>
    <col min="11" max="11" width="11.21875" bestFit="1" customWidth="1"/>
    <col min="12" max="12" width="4.109375" bestFit="1" customWidth="1"/>
    <col min="13" max="13" width="10.77734375" bestFit="1" customWidth="1"/>
  </cols>
  <sheetData>
    <row r="1" spans="1:12" ht="15.6" x14ac:dyDescent="0.3">
      <c r="A1" s="6" t="s">
        <v>1218</v>
      </c>
      <c r="B1" s="6"/>
      <c r="C1" s="11"/>
      <c r="E1" s="6" t="s">
        <v>1220</v>
      </c>
      <c r="F1" s="6"/>
      <c r="G1" s="14"/>
      <c r="J1" s="6" t="s">
        <v>1222</v>
      </c>
      <c r="K1" s="6"/>
      <c r="L1" s="10"/>
    </row>
    <row r="2" spans="1:12" x14ac:dyDescent="0.3">
      <c r="A2" t="s">
        <v>1219</v>
      </c>
      <c r="E2" s="8" t="s">
        <v>12</v>
      </c>
      <c r="F2" t="s">
        <v>1227</v>
      </c>
      <c r="J2" s="8" t="s">
        <v>2</v>
      </c>
      <c r="K2" t="s">
        <v>1227</v>
      </c>
    </row>
    <row r="3" spans="1:12" x14ac:dyDescent="0.3">
      <c r="A3" s="4">
        <v>1000</v>
      </c>
      <c r="E3" s="9" t="s">
        <v>29</v>
      </c>
      <c r="F3" s="4">
        <v>822</v>
      </c>
      <c r="J3" s="9" t="s">
        <v>17</v>
      </c>
      <c r="K3" s="4">
        <v>499</v>
      </c>
    </row>
    <row r="4" spans="1:12" x14ac:dyDescent="0.3">
      <c r="E4" s="9" t="s">
        <v>21</v>
      </c>
      <c r="F4" s="4">
        <v>178</v>
      </c>
      <c r="J4" s="9" t="s">
        <v>37</v>
      </c>
      <c r="K4" s="4">
        <v>501</v>
      </c>
    </row>
    <row r="5" spans="1:12" x14ac:dyDescent="0.3">
      <c r="E5" s="9" t="s">
        <v>1221</v>
      </c>
      <c r="F5" s="4">
        <v>1000</v>
      </c>
      <c r="J5" s="9" t="s">
        <v>1221</v>
      </c>
      <c r="K5" s="4">
        <v>1000</v>
      </c>
    </row>
    <row r="7" spans="1:12" x14ac:dyDescent="0.3">
      <c r="C7" s="11"/>
    </row>
    <row r="8" spans="1:12" ht="15.6" x14ac:dyDescent="0.3">
      <c r="A8" s="6" t="s">
        <v>1223</v>
      </c>
      <c r="B8" s="6"/>
      <c r="C8" s="14"/>
      <c r="D8" s="14"/>
      <c r="E8" s="6" t="s">
        <v>1224</v>
      </c>
      <c r="F8" s="6"/>
      <c r="G8" s="2"/>
      <c r="J8" s="6" t="s">
        <v>1228</v>
      </c>
      <c r="K8" s="6"/>
      <c r="L8" s="14"/>
    </row>
    <row r="9" spans="1:12" x14ac:dyDescent="0.3">
      <c r="A9" s="8" t="s">
        <v>1226</v>
      </c>
      <c r="B9" t="s">
        <v>1227</v>
      </c>
      <c r="E9" s="8" t="s">
        <v>4</v>
      </c>
      <c r="F9" t="s">
        <v>1225</v>
      </c>
      <c r="J9" t="s">
        <v>1229</v>
      </c>
    </row>
    <row r="10" spans="1:12" x14ac:dyDescent="0.3">
      <c r="A10" s="9" t="s">
        <v>18</v>
      </c>
      <c r="B10" s="4">
        <v>179</v>
      </c>
      <c r="E10" s="9" t="s">
        <v>41</v>
      </c>
      <c r="F10" s="13">
        <v>71005.882352941175</v>
      </c>
      <c r="J10" s="15">
        <v>38.082999999999998</v>
      </c>
    </row>
    <row r="11" spans="1:12" x14ac:dyDescent="0.3">
      <c r="A11" s="9" t="s">
        <v>49</v>
      </c>
      <c r="B11" s="4">
        <v>174</v>
      </c>
      <c r="E11" s="9" t="s">
        <v>18</v>
      </c>
      <c r="F11" s="13">
        <v>71793.296089385476</v>
      </c>
    </row>
    <row r="12" spans="1:12" x14ac:dyDescent="0.3">
      <c r="A12" s="9" t="s">
        <v>41</v>
      </c>
      <c r="B12" s="4">
        <v>170</v>
      </c>
      <c r="E12" s="9" t="s">
        <v>66</v>
      </c>
      <c r="F12" s="13">
        <v>70324.503311258275</v>
      </c>
    </row>
    <row r="13" spans="1:12" x14ac:dyDescent="0.3">
      <c r="A13" s="9" t="s">
        <v>57</v>
      </c>
      <c r="B13" s="4">
        <v>168</v>
      </c>
      <c r="E13" s="9" t="s">
        <v>26</v>
      </c>
      <c r="F13" s="13">
        <v>72848.101265822785</v>
      </c>
    </row>
    <row r="14" spans="1:12" x14ac:dyDescent="0.3">
      <c r="A14" s="9" t="s">
        <v>26</v>
      </c>
      <c r="B14" s="4">
        <v>158</v>
      </c>
      <c r="E14" s="9" t="s">
        <v>57</v>
      </c>
      <c r="F14" s="13">
        <v>74017.857142857145</v>
      </c>
    </row>
    <row r="15" spans="1:12" x14ac:dyDescent="0.3">
      <c r="A15" s="9" t="s">
        <v>66</v>
      </c>
      <c r="B15" s="4">
        <v>151</v>
      </c>
      <c r="E15" s="9" t="s">
        <v>49</v>
      </c>
      <c r="F15" s="13">
        <v>72712.643678160923</v>
      </c>
    </row>
    <row r="16" spans="1:12" x14ac:dyDescent="0.3">
      <c r="A16" s="9" t="s">
        <v>1221</v>
      </c>
      <c r="B16" s="4">
        <v>1000</v>
      </c>
      <c r="E16" s="9" t="s">
        <v>1221</v>
      </c>
      <c r="F16" s="4">
        <v>72138</v>
      </c>
    </row>
    <row r="19" spans="1:14" ht="15.6" x14ac:dyDescent="0.3">
      <c r="A19" s="6" t="s">
        <v>1230</v>
      </c>
      <c r="B19" s="5"/>
      <c r="E19" s="6" t="s">
        <v>1232</v>
      </c>
      <c r="F19" s="5"/>
      <c r="G19" s="2"/>
      <c r="H19" s="14"/>
      <c r="J19" s="7" t="s">
        <v>1234</v>
      </c>
      <c r="K19" s="7"/>
    </row>
    <row r="20" spans="1:14" x14ac:dyDescent="0.3">
      <c r="A20" t="s">
        <v>1231</v>
      </c>
      <c r="E20" t="s">
        <v>1233</v>
      </c>
      <c r="J20" s="8" t="s">
        <v>1227</v>
      </c>
      <c r="K20" s="8" t="s">
        <v>12</v>
      </c>
    </row>
    <row r="21" spans="1:14" x14ac:dyDescent="0.3">
      <c r="A21" s="12">
        <v>3.032</v>
      </c>
      <c r="E21" s="12">
        <v>7.867</v>
      </c>
      <c r="J21" s="8" t="s">
        <v>4</v>
      </c>
      <c r="K21" t="s">
        <v>29</v>
      </c>
      <c r="L21" t="s">
        <v>21</v>
      </c>
      <c r="M21" t="s">
        <v>1221</v>
      </c>
    </row>
    <row r="22" spans="1:14" x14ac:dyDescent="0.3">
      <c r="J22" s="9" t="s">
        <v>41</v>
      </c>
      <c r="K22" s="15">
        <v>139</v>
      </c>
      <c r="L22" s="15">
        <v>31</v>
      </c>
      <c r="M22" s="15">
        <v>170</v>
      </c>
    </row>
    <row r="23" spans="1:14" x14ac:dyDescent="0.3">
      <c r="J23" s="9" t="s">
        <v>18</v>
      </c>
      <c r="K23" s="15">
        <v>145</v>
      </c>
      <c r="L23" s="15">
        <v>34</v>
      </c>
      <c r="M23" s="15">
        <v>179</v>
      </c>
    </row>
    <row r="24" spans="1:14" x14ac:dyDescent="0.3">
      <c r="J24" s="9" t="s">
        <v>66</v>
      </c>
      <c r="K24" s="15">
        <v>125</v>
      </c>
      <c r="L24" s="15">
        <v>26</v>
      </c>
      <c r="M24" s="15">
        <v>151</v>
      </c>
    </row>
    <row r="25" spans="1:14" x14ac:dyDescent="0.3">
      <c r="J25" s="9" t="s">
        <v>26</v>
      </c>
      <c r="K25" s="15">
        <v>136</v>
      </c>
      <c r="L25" s="15">
        <v>22</v>
      </c>
      <c r="M25" s="15">
        <v>158</v>
      </c>
    </row>
    <row r="26" spans="1:14" x14ac:dyDescent="0.3">
      <c r="J26" s="9" t="s">
        <v>57</v>
      </c>
      <c r="K26" s="15">
        <v>124</v>
      </c>
      <c r="L26" s="15">
        <v>44</v>
      </c>
      <c r="M26" s="15">
        <v>168</v>
      </c>
    </row>
    <row r="27" spans="1:14" x14ac:dyDescent="0.3">
      <c r="J27" s="9" t="s">
        <v>49</v>
      </c>
      <c r="K27" s="15">
        <v>153</v>
      </c>
      <c r="L27" s="15">
        <v>21</v>
      </c>
      <c r="M27" s="15">
        <v>174</v>
      </c>
    </row>
    <row r="28" spans="1:14" x14ac:dyDescent="0.3">
      <c r="J28" s="9" t="s">
        <v>1221</v>
      </c>
      <c r="K28" s="15">
        <v>822</v>
      </c>
      <c r="L28" s="15">
        <v>178</v>
      </c>
      <c r="M28" s="15">
        <v>1000</v>
      </c>
    </row>
    <row r="30" spans="1:14" x14ac:dyDescent="0.3">
      <c r="C30" s="14"/>
    </row>
    <row r="32" spans="1:14" ht="15.6" x14ac:dyDescent="0.3">
      <c r="A32" s="6" t="s">
        <v>1242</v>
      </c>
      <c r="B32" s="2"/>
      <c r="C32" s="2"/>
      <c r="D32" s="2"/>
      <c r="F32" s="6" t="s">
        <v>1243</v>
      </c>
      <c r="G32" s="5"/>
      <c r="K32" s="6" t="s">
        <v>1245</v>
      </c>
      <c r="L32" s="6"/>
      <c r="M32" s="10"/>
      <c r="N32" s="10"/>
    </row>
    <row r="33" spans="1:14" x14ac:dyDescent="0.3">
      <c r="A33" s="8" t="s">
        <v>1227</v>
      </c>
      <c r="B33" s="8" t="s">
        <v>12</v>
      </c>
      <c r="F33" s="8" t="s">
        <v>1227</v>
      </c>
      <c r="G33" s="8" t="s">
        <v>12</v>
      </c>
      <c r="K33" s="8" t="s">
        <v>1248</v>
      </c>
      <c r="L33" t="s">
        <v>1227</v>
      </c>
    </row>
    <row r="34" spans="1:14" x14ac:dyDescent="0.3">
      <c r="A34" s="8" t="s">
        <v>2</v>
      </c>
      <c r="B34" t="s">
        <v>29</v>
      </c>
      <c r="C34" t="s">
        <v>21</v>
      </c>
      <c r="D34" t="s">
        <v>1221</v>
      </c>
      <c r="F34" s="8" t="s">
        <v>1244</v>
      </c>
      <c r="G34" t="s">
        <v>29</v>
      </c>
      <c r="H34" t="s">
        <v>21</v>
      </c>
      <c r="I34" t="s">
        <v>1221</v>
      </c>
      <c r="K34" s="9" t="s">
        <v>1238</v>
      </c>
      <c r="L34" s="15">
        <v>530</v>
      </c>
    </row>
    <row r="35" spans="1:14" x14ac:dyDescent="0.3">
      <c r="A35" s="9" t="s">
        <v>17</v>
      </c>
      <c r="B35" s="15">
        <v>412</v>
      </c>
      <c r="C35" s="15">
        <v>87</v>
      </c>
      <c r="D35" s="15">
        <v>499</v>
      </c>
      <c r="F35" s="9" t="s">
        <v>1240</v>
      </c>
      <c r="G35" s="15">
        <v>187</v>
      </c>
      <c r="H35" s="15">
        <v>46</v>
      </c>
      <c r="I35" s="15">
        <v>233</v>
      </c>
      <c r="K35" s="9" t="s">
        <v>1241</v>
      </c>
      <c r="L35" s="15">
        <v>166</v>
      </c>
    </row>
    <row r="36" spans="1:14" x14ac:dyDescent="0.3">
      <c r="A36" s="9" t="s">
        <v>37</v>
      </c>
      <c r="B36" s="15">
        <v>410</v>
      </c>
      <c r="C36" s="15">
        <v>91</v>
      </c>
      <c r="D36" s="15">
        <v>501</v>
      </c>
      <c r="F36" s="9" t="s">
        <v>1239</v>
      </c>
      <c r="G36" s="15">
        <v>267</v>
      </c>
      <c r="H36" s="15">
        <v>58</v>
      </c>
      <c r="I36" s="15">
        <v>325</v>
      </c>
      <c r="K36" s="9" t="s">
        <v>1236</v>
      </c>
      <c r="L36" s="15">
        <v>304</v>
      </c>
    </row>
    <row r="37" spans="1:14" x14ac:dyDescent="0.3">
      <c r="A37" s="9" t="s">
        <v>1221</v>
      </c>
      <c r="B37" s="15">
        <v>822</v>
      </c>
      <c r="C37" s="15">
        <v>178</v>
      </c>
      <c r="D37" s="15">
        <v>1000</v>
      </c>
      <c r="F37" s="9" t="s">
        <v>1235</v>
      </c>
      <c r="G37" s="15">
        <v>226</v>
      </c>
      <c r="H37" s="15">
        <v>55</v>
      </c>
      <c r="I37" s="15">
        <v>281</v>
      </c>
      <c r="K37" s="9" t="s">
        <v>1221</v>
      </c>
      <c r="L37" s="15">
        <v>1000</v>
      </c>
    </row>
    <row r="38" spans="1:14" x14ac:dyDescent="0.3">
      <c r="F38" s="9" t="s">
        <v>1237</v>
      </c>
      <c r="G38" s="15">
        <v>142</v>
      </c>
      <c r="H38" s="15">
        <v>19</v>
      </c>
      <c r="I38" s="15">
        <v>161</v>
      </c>
    </row>
    <row r="39" spans="1:14" x14ac:dyDescent="0.3">
      <c r="F39" s="9" t="s">
        <v>1221</v>
      </c>
      <c r="G39" s="15">
        <v>822</v>
      </c>
      <c r="H39" s="15">
        <v>178</v>
      </c>
      <c r="I39" s="15">
        <v>1000</v>
      </c>
    </row>
    <row r="43" spans="1:14" ht="15.6" x14ac:dyDescent="0.3">
      <c r="A43" s="6" t="s">
        <v>1246</v>
      </c>
      <c r="B43" s="5"/>
    </row>
    <row r="44" spans="1:14" ht="15.6" x14ac:dyDescent="0.3">
      <c r="A44" s="8" t="s">
        <v>1247</v>
      </c>
      <c r="B44" t="s">
        <v>1227</v>
      </c>
      <c r="F44" s="6" t="s">
        <v>1249</v>
      </c>
      <c r="G44" s="6"/>
      <c r="K44" s="6" t="s">
        <v>1250</v>
      </c>
      <c r="L44" s="6"/>
      <c r="M44" s="6"/>
      <c r="N44" s="10"/>
    </row>
    <row r="45" spans="1:14" x14ac:dyDescent="0.3">
      <c r="A45" s="9" t="s">
        <v>28</v>
      </c>
      <c r="B45" s="15">
        <v>251</v>
      </c>
      <c r="F45" s="8" t="s">
        <v>1227</v>
      </c>
      <c r="G45" s="8" t="s">
        <v>12</v>
      </c>
      <c r="K45" s="8" t="s">
        <v>1251</v>
      </c>
      <c r="L45" t="s">
        <v>1227</v>
      </c>
    </row>
    <row r="46" spans="1:14" x14ac:dyDescent="0.3">
      <c r="A46" s="9" t="s">
        <v>46</v>
      </c>
      <c r="B46" s="15">
        <v>244</v>
      </c>
      <c r="F46" s="8" t="s">
        <v>11</v>
      </c>
      <c r="G46" t="s">
        <v>29</v>
      </c>
      <c r="H46" t="s">
        <v>21</v>
      </c>
      <c r="I46" t="s">
        <v>1221</v>
      </c>
      <c r="K46" s="9">
        <v>2</v>
      </c>
      <c r="L46" s="15">
        <v>258</v>
      </c>
    </row>
    <row r="47" spans="1:14" x14ac:dyDescent="0.3">
      <c r="A47" s="9" t="s">
        <v>33</v>
      </c>
      <c r="B47" s="15">
        <v>250</v>
      </c>
      <c r="F47" s="9" t="s">
        <v>29</v>
      </c>
      <c r="G47" s="15">
        <v>452</v>
      </c>
      <c r="H47" s="15">
        <v>24</v>
      </c>
      <c r="I47" s="15">
        <v>476</v>
      </c>
      <c r="K47" s="9">
        <v>3</v>
      </c>
      <c r="L47" s="15">
        <v>253</v>
      </c>
    </row>
    <row r="48" spans="1:14" x14ac:dyDescent="0.3">
      <c r="A48" s="9" t="s">
        <v>20</v>
      </c>
      <c r="B48" s="15">
        <v>255</v>
      </c>
      <c r="F48" s="9" t="s">
        <v>21</v>
      </c>
      <c r="G48" s="15">
        <v>370</v>
      </c>
      <c r="H48" s="15">
        <v>154</v>
      </c>
      <c r="I48" s="15">
        <v>524</v>
      </c>
      <c r="K48" s="9">
        <v>4</v>
      </c>
      <c r="L48" s="15">
        <v>260</v>
      </c>
    </row>
    <row r="49" spans="1:12" x14ac:dyDescent="0.3">
      <c r="A49" s="9" t="s">
        <v>1221</v>
      </c>
      <c r="B49" s="15">
        <v>1000</v>
      </c>
      <c r="F49" s="9" t="s">
        <v>1221</v>
      </c>
      <c r="G49" s="15">
        <v>822</v>
      </c>
      <c r="H49" s="15">
        <v>178</v>
      </c>
      <c r="I49" s="15">
        <v>1000</v>
      </c>
      <c r="K49" s="9">
        <v>5</v>
      </c>
      <c r="L49" s="15">
        <v>229</v>
      </c>
    </row>
    <row r="50" spans="1:12" x14ac:dyDescent="0.3">
      <c r="K50" s="9" t="s">
        <v>1221</v>
      </c>
      <c r="L50" s="15">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2D442-88FB-4D11-ACF4-4C04BF2AD749}">
  <dimension ref="A1:F7"/>
  <sheetViews>
    <sheetView workbookViewId="0">
      <selection activeCell="F7" sqref="F7"/>
    </sheetView>
  </sheetViews>
  <sheetFormatPr defaultRowHeight="14.4" x14ac:dyDescent="0.3"/>
  <sheetData>
    <row r="1" spans="1:6" x14ac:dyDescent="0.3">
      <c r="A1" s="3" t="s">
        <v>1212</v>
      </c>
      <c r="B1" s="3"/>
      <c r="C1" s="3"/>
      <c r="D1" s="3"/>
      <c r="E1" s="3"/>
      <c r="F1" s="3"/>
    </row>
    <row r="2" spans="1:6" x14ac:dyDescent="0.3">
      <c r="A2" s="1" t="s">
        <v>1206</v>
      </c>
      <c r="B2" s="1"/>
      <c r="C2" s="1"/>
      <c r="D2" s="1"/>
      <c r="E2" s="1"/>
      <c r="F2" s="1"/>
    </row>
    <row r="3" spans="1:6" x14ac:dyDescent="0.3">
      <c r="A3" s="1" t="s">
        <v>1207</v>
      </c>
      <c r="B3" s="1"/>
      <c r="C3" s="1"/>
      <c r="D3" s="1"/>
      <c r="E3" s="1"/>
      <c r="F3" s="1"/>
    </row>
    <row r="4" spans="1:6" x14ac:dyDescent="0.3">
      <c r="A4" s="1" t="s">
        <v>1208</v>
      </c>
      <c r="B4" s="1"/>
      <c r="C4" s="1"/>
      <c r="D4" s="1"/>
      <c r="E4" s="1"/>
      <c r="F4" s="1"/>
    </row>
    <row r="5" spans="1:6" x14ac:dyDescent="0.3">
      <c r="A5" s="1" t="s">
        <v>1209</v>
      </c>
      <c r="B5" s="1"/>
      <c r="C5" s="1"/>
      <c r="D5" s="1"/>
      <c r="E5" s="1"/>
      <c r="F5" s="1"/>
    </row>
    <row r="6" spans="1:6" x14ac:dyDescent="0.3">
      <c r="A6" s="1" t="s">
        <v>1210</v>
      </c>
      <c r="B6" s="1"/>
      <c r="C6" s="1"/>
      <c r="D6" s="1"/>
      <c r="E6" s="1"/>
      <c r="F6" s="1"/>
    </row>
    <row r="7" spans="1:6" x14ac:dyDescent="0.3">
      <c r="A7" s="1" t="s">
        <v>1211</v>
      </c>
      <c r="B7" s="1"/>
      <c r="C7" s="1"/>
      <c r="D7" s="1"/>
      <c r="E7" s="1"/>
      <c r="F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Employee_Data</vt:lpstr>
      <vt:lpstr>working_data</vt:lpstr>
      <vt:lpstr>Pivot_Table</vt:lpstr>
      <vt:lpstr>Questions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2026-07-23T15:33:44Z</dcterms:created>
  <dcterms:modified xsi:type="dcterms:W3CDTF">2026-07-27T17:52:19Z</dcterms:modified>
</cp:coreProperties>
</file>